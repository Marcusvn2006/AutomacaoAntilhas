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00000000-0000-0000-0000-0000000000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marcus\Desktop\AutomacaoAntilhas\antilhas\04_PLANILHAS_PAI\"/>
    </mc:Choice>
  </mc:AlternateContent>
  <xr:revisionPtr revIDLastSave="0" documentId="8_{18E1B26F-B61E-4B0F-B839-7A1BD00B3753}" xr6:coauthVersionLast="47" xr6:coauthVersionMax="47" xr10:uidLastSave="{00000000-0000-0000-0000-000000000000}"/>
  <bookViews>
    <workbookView xWindow="-120" yWindow="-120" windowWidth="21840" windowHeight="13020" tabRatio="955" activeTab="4" xr2:uid="{00000000-000D-0000-FFFF-FFFF00000000}"/>
  </bookViews>
  <sheets>
    <sheet name="AUXILIAR" sheetId="1" r:id="rId1"/>
    <sheet name="__BKP__AUXILIAR" sheetId="2" state="veryHidden" r:id="rId2"/>
    <sheet name="AUXILIAR VD'S" sheetId="3" r:id="rId3"/>
    <sheet name="__BKP__AUXILIAR VD'S" sheetId="4" state="veryHidden" r:id="rId4"/>
    <sheet name="JC 3822" sheetId="5" r:id="rId5"/>
    <sheet name="__BKP__JC 3822" sheetId="6" state="veryHidden" r:id="rId6"/>
    <sheet name="JD 14446" sheetId="7" r:id="rId7"/>
    <sheet name="__BKP__JD 14446" sheetId="8" state="veryHidden" r:id="rId8"/>
    <sheet name="BB 12066" sheetId="9" r:id="rId9"/>
    <sheet name="__BKP__BB 12066" sheetId="10" state="veryHidden" r:id="rId10"/>
    <sheet name="SM 23048" sheetId="11" r:id="rId11"/>
    <sheet name="Planilha1" sheetId="12" state="hidden" r:id="rId12"/>
    <sheet name="__BKP__SM 23048" sheetId="13" state="veryHidden" r:id="rId13"/>
    <sheet name="JSH 11722" sheetId="14" r:id="rId14"/>
    <sheet name="__BKP__JSH 11722" sheetId="15" state="veryHidden" r:id="rId15"/>
    <sheet name="CONF 14553" sheetId="16" r:id="rId16"/>
    <sheet name="__BKP__CONF 14553" sheetId="17" state="veryHidden" r:id="rId17"/>
    <sheet name="DC 7529" sheetId="18" r:id="rId18"/>
    <sheet name="__BKP__DC 7529" sheetId="19" state="veryHidden" r:id="rId19"/>
    <sheet name="IT 6942" sheetId="20" r:id="rId20"/>
    <sheet name="__BKP__IT 6942" sheetId="21" state="veryHidden" r:id="rId21"/>
    <sheet name="BR 6954" sheetId="22" r:id="rId22"/>
    <sheet name="TOTAL ITENS DOADOS NATAL.22" sheetId="23" state="hidden" r:id="rId23"/>
    <sheet name="TOTAL ITENS DOADOS MÃES" sheetId="24" state="hidden" r:id="rId24"/>
    <sheet name="__BKP__BR 6954" sheetId="25" state="veryHidden" r:id="rId25"/>
    <sheet name="CDJ 23091" sheetId="26" r:id="rId26"/>
    <sheet name="__BACKUP_ANTES_DA_MACRO__" sheetId="27" state="veryHidden" r:id="rId27"/>
    <sheet name="__BKP__CDJ 23091" sheetId="28" state="veryHidden" r:id="rId28"/>
    <sheet name="ERJ 22838" sheetId="29" r:id="rId29"/>
    <sheet name="__BKP__ERJ 22838" sheetId="30" state="veryHidden" r:id="rId30"/>
    <sheet name="ER SM 24137" sheetId="31" r:id="rId31"/>
    <sheet name="__BKP__ER SM 24137" sheetId="32" state="veryHidden" r:id="rId32"/>
    <sheet name="TOTAL ITENS DOADOS 2026" sheetId="33" r:id="rId33"/>
    <sheet name="TOTAL ITENS DOADOS NAMORADOS" sheetId="34" state="hidden" r:id="rId34"/>
    <sheet name="TOTAL ITENS DOADOS PAIS" sheetId="35" state="hidden" r:id="rId35"/>
    <sheet name="TOTAL ITENS DOADOS DISNEY" sheetId="36" state="hidden" r:id="rId36"/>
    <sheet name="LOJAS JAÚ" sheetId="37" r:id="rId37"/>
    <sheet name="TOTAL ITENS DOADOS NATAL" sheetId="38" state="hidden" r:id="rId38"/>
  </sheets>
  <externalReferences>
    <externalReference r:id="rId39"/>
  </externalReferences>
  <definedNames>
    <definedName name="__ABAS_PROCESSADAS__">"AUXILIAR|AUXILIAR VD'S|JC 3822|JD 14446|BB 12066|SM 23048|JSH 11722|CONF 14553|DC 7529|IT 6942|BR 6954|CDJ 23091|ERJ 22838|ER SM 24137"</definedName>
    <definedName name="__NOME_ABA_ORIGINAL__">"ER SM 24137"</definedName>
    <definedName name="_xlnm.Print_Area" localSheetId="26">__BACKUP_ANTES_DA_MACRO__!$A$1:$AF$52</definedName>
    <definedName name="_xlnm.Print_Area" localSheetId="9">'__BKP__BB 12066'!$A$1:$AY$22</definedName>
    <definedName name="_xlnm.Print_Area" localSheetId="24">'__BKP__BR 6954'!$A$1:$AT$22</definedName>
    <definedName name="_xlnm.Print_Area" localSheetId="27">'__BKP__CDJ 23091'!$A$1:$AF$41</definedName>
    <definedName name="_xlnm.Print_Area" localSheetId="16">'__BKP__CONF 14553'!$A$1:$AU$22</definedName>
    <definedName name="_xlnm.Print_Area" localSheetId="18">'__BKP__DC 7529'!$A$1:$AW$24</definedName>
    <definedName name="_xlnm.Print_Area" localSheetId="31">'__BKP__ER SM 24137'!$A$1:$AG$52</definedName>
    <definedName name="_xlnm.Print_Area" localSheetId="29">'__BKP__ERJ 22838'!$A$1:$AG$57</definedName>
    <definedName name="_xlnm.Print_Area" localSheetId="20">'__BKP__IT 6942'!$A$1:$AR$22</definedName>
    <definedName name="_xlnm.Print_Area" localSheetId="5">'__BKP__JC 3822'!$A$1:$AV$22</definedName>
    <definedName name="_xlnm.Print_Area" localSheetId="7">'__BKP__JD 14446'!$A$1:$AY$22</definedName>
    <definedName name="_xlnm.Print_Area" localSheetId="14">'__BKP__JSH 11722'!$A$1:$BB$22</definedName>
    <definedName name="_xlnm.Print_Area" localSheetId="12">'__BKP__SM 23048'!$A$1:$AT$22</definedName>
    <definedName name="_xlnm.Print_Area" localSheetId="8">'BB 12066'!$A$1:$AZ$22</definedName>
    <definedName name="_xlnm.Print_Area" localSheetId="21">'BR 6954'!$A$1:$AU$22</definedName>
    <definedName name="_xlnm.Print_Area" localSheetId="25">'CDJ 23091'!$A$1:$AG$41</definedName>
    <definedName name="_xlnm.Print_Area" localSheetId="15">'CONF 14553'!$A$1:$AV$22</definedName>
    <definedName name="_xlnm.Print_Area" localSheetId="17">'DC 7529'!$A$1:$AX$24</definedName>
    <definedName name="_xlnm.Print_Area" localSheetId="30">'ER SM 24137'!$A$1:$AH$52</definedName>
    <definedName name="_xlnm.Print_Area" localSheetId="28">'ERJ 22838'!$A$1:$AH$57</definedName>
    <definedName name="_xlnm.Print_Area" localSheetId="19">'IT 6942'!$A$1:$AT$22</definedName>
    <definedName name="_xlnm.Print_Area" localSheetId="4">'JC 3822'!$A$1:$AW$22</definedName>
    <definedName name="_xlnm.Print_Area" localSheetId="6">'JD 14446'!$A$1:$AZ$22</definedName>
    <definedName name="_xlnm.Print_Area" localSheetId="13">'JSH 11722'!$A$1:$BC$22</definedName>
    <definedName name="_xlnm.Print_Area" localSheetId="36">'LOJAS JAÚ'!$A$1:$M$42</definedName>
    <definedName name="_xlnm.Print_Area" localSheetId="10">'SM 23048'!$A$1:$AV$22</definedName>
    <definedName name="DadosExternos_1" localSheetId="1" hidden="1">__BKP__AUXILIAR!#REF!</definedName>
    <definedName name="DadosExternos_1" localSheetId="0" hidden="1">AUXILIAR!#REF!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9" i="38" l="1"/>
  <c r="J89" i="38"/>
  <c r="I89" i="38"/>
  <c r="H89" i="38"/>
  <c r="G89" i="38"/>
  <c r="E89" i="38"/>
  <c r="D89" i="38"/>
  <c r="C89" i="38"/>
  <c r="B89" i="38"/>
  <c r="M88" i="38"/>
  <c r="L88" i="38"/>
  <c r="F88" i="38"/>
  <c r="N88" i="38" s="1"/>
  <c r="M87" i="38"/>
  <c r="L87" i="38"/>
  <c r="F87" i="38"/>
  <c r="N87" i="38" s="1"/>
  <c r="N86" i="38"/>
  <c r="M86" i="38"/>
  <c r="L86" i="38"/>
  <c r="F86" i="38"/>
  <c r="M85" i="38"/>
  <c r="L85" i="38"/>
  <c r="L89" i="38" s="1"/>
  <c r="F85" i="38"/>
  <c r="N85" i="38" s="1"/>
  <c r="M84" i="38"/>
  <c r="M89" i="38" s="1"/>
  <c r="L84" i="38"/>
  <c r="F84" i="38"/>
  <c r="N84" i="38" s="1"/>
  <c r="K79" i="38"/>
  <c r="J79" i="38"/>
  <c r="I79" i="38"/>
  <c r="H79" i="38"/>
  <c r="G79" i="38"/>
  <c r="E79" i="38"/>
  <c r="D79" i="38"/>
  <c r="C79" i="38"/>
  <c r="B79" i="38"/>
  <c r="M78" i="38"/>
  <c r="L78" i="38"/>
  <c r="N78" i="38" s="1"/>
  <c r="F78" i="38"/>
  <c r="M77" i="38"/>
  <c r="L77" i="38"/>
  <c r="N77" i="38" s="1"/>
  <c r="F77" i="38"/>
  <c r="M76" i="38"/>
  <c r="L76" i="38"/>
  <c r="N76" i="38" s="1"/>
  <c r="F76" i="38"/>
  <c r="M75" i="38"/>
  <c r="L75" i="38"/>
  <c r="N75" i="38" s="1"/>
  <c r="F75" i="38"/>
  <c r="M74" i="38"/>
  <c r="M79" i="38" s="1"/>
  <c r="L74" i="38"/>
  <c r="N74" i="38" s="1"/>
  <c r="N79" i="38" s="1"/>
  <c r="F74" i="38"/>
  <c r="F79" i="38" s="1"/>
  <c r="L69" i="38"/>
  <c r="K69" i="38"/>
  <c r="J69" i="38"/>
  <c r="I69" i="38"/>
  <c r="H69" i="38"/>
  <c r="G69" i="38"/>
  <c r="E69" i="38"/>
  <c r="D69" i="38"/>
  <c r="C69" i="38"/>
  <c r="B69" i="38"/>
  <c r="M68" i="38"/>
  <c r="L68" i="38"/>
  <c r="F68" i="38"/>
  <c r="N68" i="38" s="1"/>
  <c r="N67" i="38"/>
  <c r="M67" i="38"/>
  <c r="L67" i="38"/>
  <c r="F67" i="38"/>
  <c r="M66" i="38"/>
  <c r="L66" i="38"/>
  <c r="F66" i="38"/>
  <c r="N66" i="38" s="1"/>
  <c r="M65" i="38"/>
  <c r="L65" i="38"/>
  <c r="F65" i="38"/>
  <c r="N65" i="38" s="1"/>
  <c r="N69" i="38" s="1"/>
  <c r="N64" i="38"/>
  <c r="M64" i="38"/>
  <c r="M69" i="38" s="1"/>
  <c r="L64" i="38"/>
  <c r="F64" i="38"/>
  <c r="F69" i="38" s="1"/>
  <c r="M59" i="38"/>
  <c r="K59" i="38"/>
  <c r="J59" i="38"/>
  <c r="I59" i="38"/>
  <c r="H59" i="38"/>
  <c r="G59" i="38"/>
  <c r="E59" i="38"/>
  <c r="D59" i="38"/>
  <c r="C59" i="38"/>
  <c r="B59" i="38"/>
  <c r="N58" i="38"/>
  <c r="M58" i="38"/>
  <c r="L58" i="38"/>
  <c r="F58" i="38"/>
  <c r="N57" i="38"/>
  <c r="M57" i="38"/>
  <c r="L57" i="38"/>
  <c r="F57" i="38"/>
  <c r="N56" i="38"/>
  <c r="M56" i="38"/>
  <c r="L56" i="38"/>
  <c r="F56" i="38"/>
  <c r="N55" i="38"/>
  <c r="M55" i="38"/>
  <c r="L55" i="38"/>
  <c r="F55" i="38"/>
  <c r="N54" i="38"/>
  <c r="N59" i="38" s="1"/>
  <c r="M54" i="38"/>
  <c r="L54" i="38"/>
  <c r="L59" i="38" s="1"/>
  <c r="F54" i="38"/>
  <c r="F59" i="38" s="1"/>
  <c r="K49" i="38"/>
  <c r="J49" i="38"/>
  <c r="I49" i="38"/>
  <c r="H49" i="38"/>
  <c r="G49" i="38"/>
  <c r="E49" i="38"/>
  <c r="D49" i="38"/>
  <c r="C49" i="38"/>
  <c r="B49" i="38"/>
  <c r="M48" i="38"/>
  <c r="L48" i="38"/>
  <c r="F48" i="38"/>
  <c r="N48" i="38" s="1"/>
  <c r="M47" i="38"/>
  <c r="L47" i="38"/>
  <c r="F47" i="38"/>
  <c r="N47" i="38" s="1"/>
  <c r="N46" i="38"/>
  <c r="M46" i="38"/>
  <c r="L46" i="38"/>
  <c r="F46" i="38"/>
  <c r="M45" i="38"/>
  <c r="L45" i="38"/>
  <c r="L49" i="38" s="1"/>
  <c r="F45" i="38"/>
  <c r="N45" i="38" s="1"/>
  <c r="M44" i="38"/>
  <c r="M49" i="38" s="1"/>
  <c r="L44" i="38"/>
  <c r="F44" i="38"/>
  <c r="N44" i="38" s="1"/>
  <c r="N49" i="38" s="1"/>
  <c r="K39" i="38"/>
  <c r="J39" i="38"/>
  <c r="I39" i="38"/>
  <c r="H39" i="38"/>
  <c r="G39" i="38"/>
  <c r="E39" i="38"/>
  <c r="D39" i="38"/>
  <c r="C39" i="38"/>
  <c r="B39" i="38"/>
  <c r="M38" i="38"/>
  <c r="L38" i="38"/>
  <c r="N38" i="38" s="1"/>
  <c r="F38" i="38"/>
  <c r="M37" i="38"/>
  <c r="L37" i="38"/>
  <c r="N37" i="38" s="1"/>
  <c r="F37" i="38"/>
  <c r="M36" i="38"/>
  <c r="L36" i="38"/>
  <c r="N36" i="38" s="1"/>
  <c r="F36" i="38"/>
  <c r="M35" i="38"/>
  <c r="L35" i="38"/>
  <c r="N35" i="38" s="1"/>
  <c r="F35" i="38"/>
  <c r="M34" i="38"/>
  <c r="M39" i="38" s="1"/>
  <c r="L34" i="38"/>
  <c r="N34" i="38" s="1"/>
  <c r="N39" i="38" s="1"/>
  <c r="F34" i="38"/>
  <c r="F39" i="38" s="1"/>
  <c r="L29" i="38"/>
  <c r="K29" i="38"/>
  <c r="J29" i="38"/>
  <c r="I29" i="38"/>
  <c r="H29" i="38"/>
  <c r="G29" i="38"/>
  <c r="E29" i="38"/>
  <c r="D29" i="38"/>
  <c r="C29" i="38"/>
  <c r="B29" i="38"/>
  <c r="M28" i="38"/>
  <c r="L28" i="38"/>
  <c r="F28" i="38"/>
  <c r="N28" i="38" s="1"/>
  <c r="N27" i="38"/>
  <c r="M27" i="38"/>
  <c r="L27" i="38"/>
  <c r="F27" i="38"/>
  <c r="M26" i="38"/>
  <c r="L26" i="38"/>
  <c r="F26" i="38"/>
  <c r="N26" i="38" s="1"/>
  <c r="M25" i="38"/>
  <c r="L25" i="38"/>
  <c r="F25" i="38"/>
  <c r="N25" i="38" s="1"/>
  <c r="N29" i="38" s="1"/>
  <c r="N24" i="38"/>
  <c r="M24" i="38"/>
  <c r="M29" i="38" s="1"/>
  <c r="L24" i="38"/>
  <c r="F24" i="38"/>
  <c r="F29" i="38" s="1"/>
  <c r="M19" i="38"/>
  <c r="K19" i="38"/>
  <c r="J19" i="38"/>
  <c r="I19" i="38"/>
  <c r="H19" i="38"/>
  <c r="G19" i="38"/>
  <c r="E19" i="38"/>
  <c r="D19" i="38"/>
  <c r="C19" i="38"/>
  <c r="B19" i="38"/>
  <c r="N18" i="38"/>
  <c r="M18" i="38"/>
  <c r="L18" i="38"/>
  <c r="F18" i="38"/>
  <c r="N17" i="38"/>
  <c r="M17" i="38"/>
  <c r="L17" i="38"/>
  <c r="F17" i="38"/>
  <c r="N16" i="38"/>
  <c r="M16" i="38"/>
  <c r="L16" i="38"/>
  <c r="F16" i="38"/>
  <c r="N15" i="38"/>
  <c r="M15" i="38"/>
  <c r="L15" i="38"/>
  <c r="F15" i="38"/>
  <c r="N14" i="38"/>
  <c r="N19" i="38" s="1"/>
  <c r="M14" i="38"/>
  <c r="L14" i="38"/>
  <c r="L19" i="38" s="1"/>
  <c r="F14" i="38"/>
  <c r="F19" i="38" s="1"/>
  <c r="K9" i="38"/>
  <c r="J9" i="38"/>
  <c r="I9" i="38"/>
  <c r="H9" i="38"/>
  <c r="G9" i="38"/>
  <c r="E9" i="38"/>
  <c r="D9" i="38"/>
  <c r="C9" i="38"/>
  <c r="B9" i="38"/>
  <c r="M8" i="38"/>
  <c r="L8" i="38"/>
  <c r="F8" i="38"/>
  <c r="N8" i="38" s="1"/>
  <c r="M7" i="38"/>
  <c r="L7" i="38"/>
  <c r="F7" i="38"/>
  <c r="N7" i="38" s="1"/>
  <c r="N6" i="38"/>
  <c r="M6" i="38"/>
  <c r="L6" i="38"/>
  <c r="F6" i="38"/>
  <c r="M5" i="38"/>
  <c r="L5" i="38"/>
  <c r="L9" i="38" s="1"/>
  <c r="F5" i="38"/>
  <c r="N5" i="38" s="1"/>
  <c r="M4" i="38"/>
  <c r="M9" i="38" s="1"/>
  <c r="L4" i="38"/>
  <c r="F4" i="38"/>
  <c r="N4" i="38" s="1"/>
  <c r="N9" i="38" s="1"/>
  <c r="O56" i="37"/>
  <c r="N56" i="37"/>
  <c r="M56" i="37"/>
  <c r="O55" i="37"/>
  <c r="N55" i="37"/>
  <c r="M55" i="37"/>
  <c r="O54" i="37"/>
  <c r="N54" i="37"/>
  <c r="M54" i="37"/>
  <c r="O53" i="37"/>
  <c r="N53" i="37"/>
  <c r="M53" i="37"/>
  <c r="O52" i="37"/>
  <c r="N52" i="37"/>
  <c r="M52" i="37"/>
  <c r="O51" i="37"/>
  <c r="N51" i="37"/>
  <c r="M51" i="37"/>
  <c r="O50" i="37"/>
  <c r="N50" i="37"/>
  <c r="E50" i="37"/>
  <c r="O49" i="37"/>
  <c r="N49" i="37"/>
  <c r="E49" i="37"/>
  <c r="O48" i="37"/>
  <c r="N48" i="37"/>
  <c r="E48" i="37"/>
  <c r="O47" i="37"/>
  <c r="N47" i="37"/>
  <c r="M47" i="37"/>
  <c r="O46" i="37"/>
  <c r="N46" i="37"/>
  <c r="M46" i="37"/>
  <c r="G46" i="37"/>
  <c r="F46" i="37"/>
  <c r="E46" i="37"/>
  <c r="O45" i="37"/>
  <c r="N45" i="37"/>
  <c r="M45" i="37"/>
  <c r="G45" i="37"/>
  <c r="F45" i="37"/>
  <c r="E45" i="37"/>
  <c r="G44" i="37"/>
  <c r="F44" i="37"/>
  <c r="E44" i="37"/>
  <c r="I43" i="37"/>
  <c r="I42" i="37"/>
  <c r="G42" i="37"/>
  <c r="F42" i="37"/>
  <c r="E42" i="37"/>
  <c r="I41" i="37"/>
  <c r="G41" i="37"/>
  <c r="F41" i="37"/>
  <c r="E41" i="37"/>
  <c r="G40" i="37"/>
  <c r="F40" i="37"/>
  <c r="E40" i="37"/>
  <c r="G38" i="37"/>
  <c r="F38" i="37"/>
  <c r="E38" i="37"/>
  <c r="G37" i="37"/>
  <c r="F37" i="37"/>
  <c r="E37" i="37"/>
  <c r="I36" i="37"/>
  <c r="G36" i="37"/>
  <c r="F36" i="37"/>
  <c r="E36" i="37"/>
  <c r="I35" i="37"/>
  <c r="I34" i="37"/>
  <c r="G34" i="37"/>
  <c r="F34" i="37"/>
  <c r="I33" i="37"/>
  <c r="G33" i="37"/>
  <c r="F33" i="37"/>
  <c r="O32" i="37"/>
  <c r="N32" i="37"/>
  <c r="M32" i="37"/>
  <c r="I32" i="37"/>
  <c r="G32" i="37"/>
  <c r="F32" i="37"/>
  <c r="O31" i="37"/>
  <c r="N31" i="37"/>
  <c r="G31" i="37"/>
  <c r="F31" i="37"/>
  <c r="O30" i="37"/>
  <c r="N30" i="37"/>
  <c r="O29" i="37"/>
  <c r="N29" i="37"/>
  <c r="G29" i="37"/>
  <c r="F29" i="37"/>
  <c r="O28" i="37"/>
  <c r="N28" i="37"/>
  <c r="M28" i="37"/>
  <c r="I28" i="37"/>
  <c r="G28" i="37"/>
  <c r="F28" i="37"/>
  <c r="O27" i="37"/>
  <c r="N27" i="37"/>
  <c r="M27" i="37"/>
  <c r="I27" i="37"/>
  <c r="O26" i="37"/>
  <c r="N26" i="37"/>
  <c r="M26" i="37"/>
  <c r="I26" i="37"/>
  <c r="G26" i="37"/>
  <c r="F26" i="37"/>
  <c r="E26" i="37"/>
  <c r="O25" i="37"/>
  <c r="N25" i="37"/>
  <c r="M25" i="37"/>
  <c r="I25" i="37"/>
  <c r="G25" i="37"/>
  <c r="F25" i="37"/>
  <c r="E25" i="37"/>
  <c r="O24" i="37"/>
  <c r="N24" i="37"/>
  <c r="M24" i="37"/>
  <c r="I24" i="37"/>
  <c r="G24" i="37"/>
  <c r="F24" i="37"/>
  <c r="E24" i="37"/>
  <c r="O23" i="37"/>
  <c r="N23" i="37"/>
  <c r="M23" i="37"/>
  <c r="I23" i="37"/>
  <c r="G23" i="37"/>
  <c r="F23" i="37"/>
  <c r="E23" i="37"/>
  <c r="L19" i="37"/>
  <c r="I19" i="37"/>
  <c r="F19" i="37"/>
  <c r="E19" i="37"/>
  <c r="L18" i="37"/>
  <c r="I18" i="37"/>
  <c r="F18" i="37"/>
  <c r="E18" i="37"/>
  <c r="L17" i="37"/>
  <c r="I17" i="37"/>
  <c r="F17" i="37"/>
  <c r="E17" i="37"/>
  <c r="L16" i="37"/>
  <c r="I16" i="37"/>
  <c r="F16" i="37"/>
  <c r="E16" i="37"/>
  <c r="L14" i="37"/>
  <c r="I14" i="37"/>
  <c r="F14" i="37"/>
  <c r="E14" i="37"/>
  <c r="L13" i="37"/>
  <c r="I13" i="37"/>
  <c r="F13" i="37"/>
  <c r="E13" i="37"/>
  <c r="L12" i="37"/>
  <c r="I12" i="37"/>
  <c r="F12" i="37"/>
  <c r="E12" i="37"/>
  <c r="L11" i="37"/>
  <c r="I11" i="37"/>
  <c r="F11" i="37"/>
  <c r="E11" i="37"/>
  <c r="L9" i="37"/>
  <c r="I9" i="37"/>
  <c r="F9" i="37"/>
  <c r="E9" i="37"/>
  <c r="L8" i="37"/>
  <c r="I8" i="37"/>
  <c r="F8" i="37"/>
  <c r="E8" i="37"/>
  <c r="L7" i="37"/>
  <c r="I7" i="37"/>
  <c r="F7" i="37"/>
  <c r="E7" i="37"/>
  <c r="L6" i="37"/>
  <c r="I6" i="37"/>
  <c r="F6" i="37"/>
  <c r="E6" i="37"/>
  <c r="J87" i="36"/>
  <c r="H87" i="36"/>
  <c r="G87" i="36"/>
  <c r="F87" i="36"/>
  <c r="E87" i="36"/>
  <c r="D87" i="36"/>
  <c r="C87" i="36"/>
  <c r="B87" i="36"/>
  <c r="J86" i="36"/>
  <c r="I86" i="36"/>
  <c r="D86" i="36"/>
  <c r="K86" i="36" s="1"/>
  <c r="J85" i="36"/>
  <c r="I85" i="36"/>
  <c r="D85" i="36"/>
  <c r="K85" i="36" s="1"/>
  <c r="K84" i="36"/>
  <c r="J84" i="36"/>
  <c r="I84" i="36"/>
  <c r="I87" i="36" s="1"/>
  <c r="D84" i="36"/>
  <c r="K87" i="36" s="1"/>
  <c r="J79" i="36"/>
  <c r="H79" i="36"/>
  <c r="G79" i="36"/>
  <c r="F79" i="36"/>
  <c r="E79" i="36"/>
  <c r="C79" i="36"/>
  <c r="B79" i="36"/>
  <c r="J78" i="36"/>
  <c r="I78" i="36"/>
  <c r="D78" i="36"/>
  <c r="K78" i="36" s="1"/>
  <c r="J77" i="36"/>
  <c r="I77" i="36"/>
  <c r="D77" i="36"/>
  <c r="K77" i="36" s="1"/>
  <c r="K76" i="36"/>
  <c r="J76" i="36"/>
  <c r="I76" i="36"/>
  <c r="I79" i="36" s="1"/>
  <c r="D76" i="36"/>
  <c r="K79" i="36" s="1"/>
  <c r="H71" i="36"/>
  <c r="G71" i="36"/>
  <c r="F71" i="36"/>
  <c r="E71" i="36"/>
  <c r="D71" i="36"/>
  <c r="C71" i="36"/>
  <c r="B71" i="36"/>
  <c r="K70" i="36"/>
  <c r="J70" i="36"/>
  <c r="I70" i="36"/>
  <c r="D70" i="36"/>
  <c r="J69" i="36"/>
  <c r="I69" i="36"/>
  <c r="D69" i="36"/>
  <c r="K69" i="36" s="1"/>
  <c r="J68" i="36"/>
  <c r="J71" i="36" s="1"/>
  <c r="I68" i="36"/>
  <c r="I71" i="36" s="1"/>
  <c r="D68" i="36"/>
  <c r="K71" i="36" s="1"/>
  <c r="H63" i="36"/>
  <c r="G63" i="36"/>
  <c r="F63" i="36"/>
  <c r="E63" i="36"/>
  <c r="C63" i="36"/>
  <c r="B63" i="36"/>
  <c r="K62" i="36"/>
  <c r="J62" i="36"/>
  <c r="I62" i="36"/>
  <c r="D62" i="36"/>
  <c r="J61" i="36"/>
  <c r="I61" i="36"/>
  <c r="D61" i="36"/>
  <c r="K61" i="36" s="1"/>
  <c r="J60" i="36"/>
  <c r="J63" i="36" s="1"/>
  <c r="I60" i="36"/>
  <c r="I63" i="36" s="1"/>
  <c r="D60" i="36"/>
  <c r="K60" i="36" s="1"/>
  <c r="I55" i="36"/>
  <c r="H55" i="36"/>
  <c r="G55" i="36"/>
  <c r="F55" i="36"/>
  <c r="E55" i="36"/>
  <c r="D55" i="36"/>
  <c r="C55" i="36"/>
  <c r="B55" i="36"/>
  <c r="J54" i="36"/>
  <c r="I54" i="36"/>
  <c r="D54" i="36"/>
  <c r="K54" i="36" s="1"/>
  <c r="K53" i="36"/>
  <c r="J53" i="36"/>
  <c r="I53" i="36"/>
  <c r="D53" i="36"/>
  <c r="J52" i="36"/>
  <c r="J55" i="36" s="1"/>
  <c r="I52" i="36"/>
  <c r="D52" i="36"/>
  <c r="K52" i="36" s="1"/>
  <c r="J47" i="36"/>
  <c r="I47" i="36"/>
  <c r="H47" i="36"/>
  <c r="G47" i="36"/>
  <c r="F47" i="36"/>
  <c r="E47" i="36"/>
  <c r="C47" i="36"/>
  <c r="B47" i="36"/>
  <c r="J46" i="36"/>
  <c r="I46" i="36"/>
  <c r="D46" i="36"/>
  <c r="K46" i="36" s="1"/>
  <c r="K45" i="36"/>
  <c r="J45" i="36"/>
  <c r="I45" i="36"/>
  <c r="D45" i="36"/>
  <c r="J44" i="36"/>
  <c r="I44" i="36"/>
  <c r="D44" i="36"/>
  <c r="K44" i="36" s="1"/>
  <c r="J39" i="36"/>
  <c r="H39" i="36"/>
  <c r="G39" i="36"/>
  <c r="F39" i="36"/>
  <c r="E39" i="36"/>
  <c r="D39" i="36"/>
  <c r="C39" i="36"/>
  <c r="B39" i="36"/>
  <c r="J38" i="36"/>
  <c r="I38" i="36"/>
  <c r="D38" i="36"/>
  <c r="K38" i="36" s="1"/>
  <c r="J37" i="36"/>
  <c r="I37" i="36"/>
  <c r="D37" i="36"/>
  <c r="K37" i="36" s="1"/>
  <c r="K36" i="36"/>
  <c r="J36" i="36"/>
  <c r="I36" i="36"/>
  <c r="I39" i="36" s="1"/>
  <c r="D36" i="36"/>
  <c r="K39" i="36" s="1"/>
  <c r="J31" i="36"/>
  <c r="H31" i="36"/>
  <c r="G31" i="36"/>
  <c r="F31" i="36"/>
  <c r="E31" i="36"/>
  <c r="C31" i="36"/>
  <c r="B31" i="36"/>
  <c r="J30" i="36"/>
  <c r="I30" i="36"/>
  <c r="D30" i="36"/>
  <c r="K30" i="36" s="1"/>
  <c r="J29" i="36"/>
  <c r="I29" i="36"/>
  <c r="D29" i="36"/>
  <c r="K29" i="36" s="1"/>
  <c r="K28" i="36"/>
  <c r="J28" i="36"/>
  <c r="I28" i="36"/>
  <c r="I31" i="36" s="1"/>
  <c r="D28" i="36"/>
  <c r="K31" i="36" s="1"/>
  <c r="H23" i="36"/>
  <c r="G23" i="36"/>
  <c r="F23" i="36"/>
  <c r="E23" i="36"/>
  <c r="D23" i="36"/>
  <c r="C23" i="36"/>
  <c r="B23" i="36"/>
  <c r="K22" i="36"/>
  <c r="J22" i="36"/>
  <c r="I22" i="36"/>
  <c r="D22" i="36"/>
  <c r="J21" i="36"/>
  <c r="I21" i="36"/>
  <c r="D21" i="36"/>
  <c r="K21" i="36" s="1"/>
  <c r="J20" i="36"/>
  <c r="J23" i="36" s="1"/>
  <c r="I20" i="36"/>
  <c r="I23" i="36" s="1"/>
  <c r="D20" i="36"/>
  <c r="K23" i="36" s="1"/>
  <c r="H15" i="36"/>
  <c r="G15" i="36"/>
  <c r="F15" i="36"/>
  <c r="E15" i="36"/>
  <c r="C15" i="36"/>
  <c r="B15" i="36"/>
  <c r="K14" i="36"/>
  <c r="J14" i="36"/>
  <c r="I14" i="36"/>
  <c r="D14" i="36"/>
  <c r="J13" i="36"/>
  <c r="I13" i="36"/>
  <c r="D13" i="36"/>
  <c r="K13" i="36" s="1"/>
  <c r="J12" i="36"/>
  <c r="J15" i="36" s="1"/>
  <c r="I12" i="36"/>
  <c r="I15" i="36" s="1"/>
  <c r="D12" i="36"/>
  <c r="K12" i="36" s="1"/>
  <c r="I7" i="36"/>
  <c r="H7" i="36"/>
  <c r="G7" i="36"/>
  <c r="F7" i="36"/>
  <c r="E7" i="36"/>
  <c r="D7" i="36"/>
  <c r="C7" i="36"/>
  <c r="B7" i="36"/>
  <c r="J6" i="36"/>
  <c r="I6" i="36"/>
  <c r="D6" i="36"/>
  <c r="K6" i="36" s="1"/>
  <c r="K5" i="36"/>
  <c r="J5" i="36"/>
  <c r="I5" i="36"/>
  <c r="D5" i="36"/>
  <c r="J4" i="36"/>
  <c r="J7" i="36" s="1"/>
  <c r="I4" i="36"/>
  <c r="D4" i="36"/>
  <c r="K4" i="36" s="1"/>
  <c r="J87" i="35"/>
  <c r="I87" i="35"/>
  <c r="H87" i="35"/>
  <c r="G87" i="35"/>
  <c r="F87" i="35"/>
  <c r="E87" i="35"/>
  <c r="C87" i="35"/>
  <c r="B87" i="35"/>
  <c r="J86" i="35"/>
  <c r="I86" i="35"/>
  <c r="D86" i="35"/>
  <c r="K86" i="35" s="1"/>
  <c r="K85" i="35"/>
  <c r="J85" i="35"/>
  <c r="I85" i="35"/>
  <c r="D85" i="35"/>
  <c r="J84" i="35"/>
  <c r="I84" i="35"/>
  <c r="D84" i="35"/>
  <c r="K84" i="35" s="1"/>
  <c r="J79" i="35"/>
  <c r="H79" i="35"/>
  <c r="G79" i="35"/>
  <c r="F79" i="35"/>
  <c r="E79" i="35"/>
  <c r="D79" i="35"/>
  <c r="C79" i="35"/>
  <c r="B79" i="35"/>
  <c r="J78" i="35"/>
  <c r="I78" i="35"/>
  <c r="D78" i="35"/>
  <c r="K78" i="35" s="1"/>
  <c r="J77" i="35"/>
  <c r="I77" i="35"/>
  <c r="D77" i="35"/>
  <c r="K77" i="35" s="1"/>
  <c r="K76" i="35"/>
  <c r="J76" i="35"/>
  <c r="I76" i="35"/>
  <c r="I79" i="35" s="1"/>
  <c r="D76" i="35"/>
  <c r="K79" i="35" s="1"/>
  <c r="J71" i="35"/>
  <c r="H71" i="35"/>
  <c r="G71" i="35"/>
  <c r="F71" i="35"/>
  <c r="E71" i="35"/>
  <c r="C71" i="35"/>
  <c r="B71" i="35"/>
  <c r="J70" i="35"/>
  <c r="I70" i="35"/>
  <c r="D70" i="35"/>
  <c r="K70" i="35" s="1"/>
  <c r="J69" i="35"/>
  <c r="I69" i="35"/>
  <c r="D69" i="35"/>
  <c r="K69" i="35" s="1"/>
  <c r="K68" i="35"/>
  <c r="J68" i="35"/>
  <c r="I68" i="35"/>
  <c r="I71" i="35" s="1"/>
  <c r="D68" i="35"/>
  <c r="K71" i="35" s="1"/>
  <c r="H63" i="35"/>
  <c r="G63" i="35"/>
  <c r="F63" i="35"/>
  <c r="E63" i="35"/>
  <c r="D63" i="35"/>
  <c r="C63" i="35"/>
  <c r="B63" i="35"/>
  <c r="K62" i="35"/>
  <c r="J62" i="35"/>
  <c r="I62" i="35"/>
  <c r="D62" i="35"/>
  <c r="J61" i="35"/>
  <c r="I61" i="35"/>
  <c r="D61" i="35"/>
  <c r="K61" i="35" s="1"/>
  <c r="J60" i="35"/>
  <c r="J63" i="35" s="1"/>
  <c r="I60" i="35"/>
  <c r="I63" i="35" s="1"/>
  <c r="D60" i="35"/>
  <c r="K63" i="35" s="1"/>
  <c r="H55" i="35"/>
  <c r="G55" i="35"/>
  <c r="F55" i="35"/>
  <c r="E55" i="35"/>
  <c r="C55" i="35"/>
  <c r="B55" i="35"/>
  <c r="K54" i="35"/>
  <c r="J54" i="35"/>
  <c r="I54" i="35"/>
  <c r="D54" i="35"/>
  <c r="J53" i="35"/>
  <c r="I53" i="35"/>
  <c r="D53" i="35"/>
  <c r="K53" i="35" s="1"/>
  <c r="J52" i="35"/>
  <c r="J55" i="35" s="1"/>
  <c r="I52" i="35"/>
  <c r="I55" i="35" s="1"/>
  <c r="D52" i="35"/>
  <c r="K52" i="35" s="1"/>
  <c r="I47" i="35"/>
  <c r="H47" i="35"/>
  <c r="G47" i="35"/>
  <c r="F47" i="35"/>
  <c r="E47" i="35"/>
  <c r="D47" i="35"/>
  <c r="C47" i="35"/>
  <c r="B47" i="35"/>
  <c r="J46" i="35"/>
  <c r="I46" i="35"/>
  <c r="D46" i="35"/>
  <c r="K46" i="35" s="1"/>
  <c r="K45" i="35"/>
  <c r="J45" i="35"/>
  <c r="I45" i="35"/>
  <c r="D45" i="35"/>
  <c r="J44" i="35"/>
  <c r="J47" i="35" s="1"/>
  <c r="I44" i="35"/>
  <c r="D44" i="35"/>
  <c r="K44" i="35" s="1"/>
  <c r="J39" i="35"/>
  <c r="I39" i="35"/>
  <c r="H39" i="35"/>
  <c r="G39" i="35"/>
  <c r="F39" i="35"/>
  <c r="E39" i="35"/>
  <c r="C39" i="35"/>
  <c r="B39" i="35"/>
  <c r="J38" i="35"/>
  <c r="I38" i="35"/>
  <c r="D38" i="35"/>
  <c r="K38" i="35" s="1"/>
  <c r="K37" i="35"/>
  <c r="J37" i="35"/>
  <c r="I37" i="35"/>
  <c r="D37" i="35"/>
  <c r="J36" i="35"/>
  <c r="I36" i="35"/>
  <c r="D36" i="35"/>
  <c r="K36" i="35" s="1"/>
  <c r="J31" i="35"/>
  <c r="H31" i="35"/>
  <c r="G31" i="35"/>
  <c r="F31" i="35"/>
  <c r="E31" i="35"/>
  <c r="D31" i="35"/>
  <c r="C31" i="35"/>
  <c r="B31" i="35"/>
  <c r="J30" i="35"/>
  <c r="I30" i="35"/>
  <c r="D30" i="35"/>
  <c r="K30" i="35" s="1"/>
  <c r="J29" i="35"/>
  <c r="I29" i="35"/>
  <c r="D29" i="35"/>
  <c r="K29" i="35" s="1"/>
  <c r="K28" i="35"/>
  <c r="J28" i="35"/>
  <c r="I28" i="35"/>
  <c r="I31" i="35" s="1"/>
  <c r="D28" i="35"/>
  <c r="K31" i="35" s="1"/>
  <c r="J23" i="35"/>
  <c r="H23" i="35"/>
  <c r="G23" i="35"/>
  <c r="F23" i="35"/>
  <c r="E23" i="35"/>
  <c r="C23" i="35"/>
  <c r="B23" i="35"/>
  <c r="J22" i="35"/>
  <c r="I22" i="35"/>
  <c r="D22" i="35"/>
  <c r="K22" i="35" s="1"/>
  <c r="J21" i="35"/>
  <c r="I21" i="35"/>
  <c r="D21" i="35"/>
  <c r="K21" i="35" s="1"/>
  <c r="K20" i="35"/>
  <c r="J20" i="35"/>
  <c r="I20" i="35"/>
  <c r="I23" i="35" s="1"/>
  <c r="D20" i="35"/>
  <c r="K23" i="35" s="1"/>
  <c r="H15" i="35"/>
  <c r="G15" i="35"/>
  <c r="F15" i="35"/>
  <c r="E15" i="35"/>
  <c r="D15" i="35"/>
  <c r="C15" i="35"/>
  <c r="B15" i="35"/>
  <c r="K14" i="35"/>
  <c r="J14" i="35"/>
  <c r="I14" i="35"/>
  <c r="D14" i="35"/>
  <c r="J13" i="35"/>
  <c r="I13" i="35"/>
  <c r="D13" i="35"/>
  <c r="K13" i="35" s="1"/>
  <c r="J12" i="35"/>
  <c r="J15" i="35" s="1"/>
  <c r="I12" i="35"/>
  <c r="I15" i="35" s="1"/>
  <c r="D12" i="35"/>
  <c r="K15" i="35" s="1"/>
  <c r="H7" i="35"/>
  <c r="G7" i="35"/>
  <c r="F7" i="35"/>
  <c r="E7" i="35"/>
  <c r="C7" i="35"/>
  <c r="B7" i="35"/>
  <c r="K6" i="35"/>
  <c r="J6" i="35"/>
  <c r="I6" i="35"/>
  <c r="D6" i="35"/>
  <c r="J5" i="35"/>
  <c r="I5" i="35"/>
  <c r="D5" i="35"/>
  <c r="K5" i="35" s="1"/>
  <c r="J4" i="35"/>
  <c r="J7" i="35" s="1"/>
  <c r="I4" i="35"/>
  <c r="I7" i="35" s="1"/>
  <c r="D4" i="35"/>
  <c r="K4" i="35" s="1"/>
  <c r="H98" i="34"/>
  <c r="G98" i="34"/>
  <c r="F98" i="34"/>
  <c r="E98" i="34"/>
  <c r="D98" i="34"/>
  <c r="B98" i="34"/>
  <c r="J97" i="34"/>
  <c r="I97" i="34"/>
  <c r="K97" i="34" s="1"/>
  <c r="C97" i="34"/>
  <c r="K96" i="34"/>
  <c r="J96" i="34"/>
  <c r="I96" i="34"/>
  <c r="C96" i="34"/>
  <c r="K95" i="34"/>
  <c r="J95" i="34"/>
  <c r="I95" i="34"/>
  <c r="C95" i="34"/>
  <c r="J94" i="34"/>
  <c r="J98" i="34" s="1"/>
  <c r="I94" i="34"/>
  <c r="K94" i="34" s="1"/>
  <c r="K98" i="34" s="1"/>
  <c r="C94" i="34"/>
  <c r="C98" i="34" s="1"/>
  <c r="H89" i="34"/>
  <c r="G89" i="34"/>
  <c r="F89" i="34"/>
  <c r="E89" i="34"/>
  <c r="D89" i="34"/>
  <c r="B89" i="34"/>
  <c r="K88" i="34"/>
  <c r="J88" i="34"/>
  <c r="I88" i="34"/>
  <c r="C88" i="34"/>
  <c r="J87" i="34"/>
  <c r="I87" i="34"/>
  <c r="K87" i="34" s="1"/>
  <c r="C87" i="34"/>
  <c r="K86" i="34"/>
  <c r="J86" i="34"/>
  <c r="J89" i="34" s="1"/>
  <c r="I86" i="34"/>
  <c r="C86" i="34"/>
  <c r="K85" i="34"/>
  <c r="K89" i="34" s="1"/>
  <c r="J85" i="34"/>
  <c r="I85" i="34"/>
  <c r="I89" i="34" s="1"/>
  <c r="C85" i="34"/>
  <c r="C89" i="34" s="1"/>
  <c r="H80" i="34"/>
  <c r="G80" i="34"/>
  <c r="F80" i="34"/>
  <c r="E80" i="34"/>
  <c r="D80" i="34"/>
  <c r="C80" i="34"/>
  <c r="B80" i="34"/>
  <c r="K79" i="34"/>
  <c r="J79" i="34"/>
  <c r="I79" i="34"/>
  <c r="C79" i="34"/>
  <c r="K78" i="34"/>
  <c r="J78" i="34"/>
  <c r="I78" i="34"/>
  <c r="C78" i="34"/>
  <c r="J77" i="34"/>
  <c r="I77" i="34"/>
  <c r="I80" i="34" s="1"/>
  <c r="C77" i="34"/>
  <c r="K76" i="34"/>
  <c r="J76" i="34"/>
  <c r="J80" i="34" s="1"/>
  <c r="I76" i="34"/>
  <c r="C76" i="34"/>
  <c r="J71" i="34"/>
  <c r="H71" i="34"/>
  <c r="G71" i="34"/>
  <c r="F71" i="34"/>
  <c r="E71" i="34"/>
  <c r="D71" i="34"/>
  <c r="B71" i="34"/>
  <c r="J70" i="34"/>
  <c r="I70" i="34"/>
  <c r="K70" i="34" s="1"/>
  <c r="C70" i="34"/>
  <c r="K69" i="34"/>
  <c r="J69" i="34"/>
  <c r="I69" i="34"/>
  <c r="C69" i="34"/>
  <c r="K68" i="34"/>
  <c r="J68" i="34"/>
  <c r="I68" i="34"/>
  <c r="C68" i="34"/>
  <c r="J67" i="34"/>
  <c r="I67" i="34"/>
  <c r="K67" i="34" s="1"/>
  <c r="K71" i="34" s="1"/>
  <c r="C67" i="34"/>
  <c r="C71" i="34" s="1"/>
  <c r="H62" i="34"/>
  <c r="G62" i="34"/>
  <c r="F62" i="34"/>
  <c r="E62" i="34"/>
  <c r="D62" i="34"/>
  <c r="B62" i="34"/>
  <c r="K61" i="34"/>
  <c r="J61" i="34"/>
  <c r="I61" i="34"/>
  <c r="C61" i="34"/>
  <c r="J60" i="34"/>
  <c r="I60" i="34"/>
  <c r="K60" i="34" s="1"/>
  <c r="C60" i="34"/>
  <c r="K59" i="34"/>
  <c r="J59" i="34"/>
  <c r="I59" i="34"/>
  <c r="C59" i="34"/>
  <c r="K58" i="34"/>
  <c r="K62" i="34" s="1"/>
  <c r="J58" i="34"/>
  <c r="J62" i="34" s="1"/>
  <c r="I58" i="34"/>
  <c r="I62" i="34" s="1"/>
  <c r="C58" i="34"/>
  <c r="C62" i="34" s="1"/>
  <c r="J53" i="34"/>
  <c r="I53" i="34"/>
  <c r="H53" i="34"/>
  <c r="G53" i="34"/>
  <c r="F53" i="34"/>
  <c r="E53" i="34"/>
  <c r="D53" i="34"/>
  <c r="B53" i="34"/>
  <c r="K52" i="34"/>
  <c r="J52" i="34"/>
  <c r="I52" i="34"/>
  <c r="C52" i="34"/>
  <c r="K51" i="34"/>
  <c r="J51" i="34"/>
  <c r="I51" i="34"/>
  <c r="C51" i="34"/>
  <c r="J50" i="34"/>
  <c r="I50" i="34"/>
  <c r="K50" i="34" s="1"/>
  <c r="C50" i="34"/>
  <c r="K49" i="34"/>
  <c r="J49" i="34"/>
  <c r="I49" i="34"/>
  <c r="C49" i="34"/>
  <c r="C53" i="34" s="1"/>
  <c r="H44" i="34"/>
  <c r="G44" i="34"/>
  <c r="F44" i="34"/>
  <c r="E44" i="34"/>
  <c r="D44" i="34"/>
  <c r="B44" i="34"/>
  <c r="J43" i="34"/>
  <c r="I43" i="34"/>
  <c r="K43" i="34" s="1"/>
  <c r="C43" i="34"/>
  <c r="K42" i="34"/>
  <c r="J42" i="34"/>
  <c r="I42" i="34"/>
  <c r="C42" i="34"/>
  <c r="K41" i="34"/>
  <c r="J41" i="34"/>
  <c r="I41" i="34"/>
  <c r="C41" i="34"/>
  <c r="J40" i="34"/>
  <c r="J44" i="34" s="1"/>
  <c r="I40" i="34"/>
  <c r="K40" i="34" s="1"/>
  <c r="K44" i="34" s="1"/>
  <c r="C40" i="34"/>
  <c r="C44" i="34" s="1"/>
  <c r="H35" i="34"/>
  <c r="G35" i="34"/>
  <c r="F35" i="34"/>
  <c r="E35" i="34"/>
  <c r="D35" i="34"/>
  <c r="B35" i="34"/>
  <c r="K34" i="34"/>
  <c r="J34" i="34"/>
  <c r="I34" i="34"/>
  <c r="C34" i="34"/>
  <c r="J33" i="34"/>
  <c r="I33" i="34"/>
  <c r="K33" i="34" s="1"/>
  <c r="C33" i="34"/>
  <c r="K32" i="34"/>
  <c r="J32" i="34"/>
  <c r="J35" i="34" s="1"/>
  <c r="I32" i="34"/>
  <c r="C32" i="34"/>
  <c r="K31" i="34"/>
  <c r="K35" i="34" s="1"/>
  <c r="J31" i="34"/>
  <c r="I31" i="34"/>
  <c r="I35" i="34" s="1"/>
  <c r="C31" i="34"/>
  <c r="C35" i="34" s="1"/>
  <c r="H26" i="34"/>
  <c r="G26" i="34"/>
  <c r="F26" i="34"/>
  <c r="E26" i="34"/>
  <c r="D26" i="34"/>
  <c r="C26" i="34"/>
  <c r="B26" i="34"/>
  <c r="K25" i="34"/>
  <c r="J25" i="34"/>
  <c r="I25" i="34"/>
  <c r="C25" i="34"/>
  <c r="K24" i="34"/>
  <c r="J24" i="34"/>
  <c r="I24" i="34"/>
  <c r="C24" i="34"/>
  <c r="J23" i="34"/>
  <c r="I23" i="34"/>
  <c r="I26" i="34" s="1"/>
  <c r="C23" i="34"/>
  <c r="K22" i="34"/>
  <c r="J22" i="34"/>
  <c r="J26" i="34" s="1"/>
  <c r="I22" i="34"/>
  <c r="C22" i="34"/>
  <c r="J17" i="34"/>
  <c r="H17" i="34"/>
  <c r="G17" i="34"/>
  <c r="F17" i="34"/>
  <c r="E17" i="34"/>
  <c r="D17" i="34"/>
  <c r="B17" i="34"/>
  <c r="J16" i="34"/>
  <c r="I16" i="34"/>
  <c r="K16" i="34" s="1"/>
  <c r="C16" i="34"/>
  <c r="K15" i="34"/>
  <c r="J15" i="34"/>
  <c r="I15" i="34"/>
  <c r="C15" i="34"/>
  <c r="K14" i="34"/>
  <c r="J14" i="34"/>
  <c r="I14" i="34"/>
  <c r="C14" i="34"/>
  <c r="J13" i="34"/>
  <c r="I13" i="34"/>
  <c r="K13" i="34" s="1"/>
  <c r="K17" i="34" s="1"/>
  <c r="C13" i="34"/>
  <c r="C17" i="34" s="1"/>
  <c r="H8" i="34"/>
  <c r="G8" i="34"/>
  <c r="F8" i="34"/>
  <c r="E8" i="34"/>
  <c r="D8" i="34"/>
  <c r="B8" i="34"/>
  <c r="K7" i="34"/>
  <c r="J7" i="34"/>
  <c r="I7" i="34"/>
  <c r="C7" i="34"/>
  <c r="J6" i="34"/>
  <c r="I6" i="34"/>
  <c r="K6" i="34" s="1"/>
  <c r="C6" i="34"/>
  <c r="K5" i="34"/>
  <c r="J5" i="34"/>
  <c r="I5" i="34"/>
  <c r="C5" i="34"/>
  <c r="K4" i="34"/>
  <c r="K8" i="34" s="1"/>
  <c r="J4" i="34"/>
  <c r="J8" i="34" s="1"/>
  <c r="I4" i="34"/>
  <c r="I8" i="34" s="1"/>
  <c r="C4" i="34"/>
  <c r="C8" i="34" s="1"/>
  <c r="BL199" i="33"/>
  <c r="BK199" i="33"/>
  <c r="BJ199" i="33"/>
  <c r="BI199" i="33"/>
  <c r="BG199" i="33"/>
  <c r="BF199" i="33"/>
  <c r="BE199" i="33"/>
  <c r="BD199" i="33"/>
  <c r="BC199" i="33"/>
  <c r="BB199" i="33"/>
  <c r="BA199" i="33"/>
  <c r="AZ199" i="33"/>
  <c r="AY199" i="33"/>
  <c r="AX199" i="33"/>
  <c r="AV199" i="33"/>
  <c r="AU199" i="33"/>
  <c r="AT199" i="33"/>
  <c r="AS199" i="33"/>
  <c r="AR199" i="33"/>
  <c r="AQ199" i="33"/>
  <c r="AP199" i="33"/>
  <c r="AO199" i="33"/>
  <c r="AN199" i="33"/>
  <c r="AM199" i="33"/>
  <c r="AK199" i="33"/>
  <c r="AJ199" i="33"/>
  <c r="AI199" i="33"/>
  <c r="AH199" i="33"/>
  <c r="AF199" i="33"/>
  <c r="AE199" i="33"/>
  <c r="AD199" i="33"/>
  <c r="AC199" i="33"/>
  <c r="AB199" i="33"/>
  <c r="Z199" i="33"/>
  <c r="Y199" i="33"/>
  <c r="X199" i="33"/>
  <c r="W199" i="33"/>
  <c r="U199" i="33"/>
  <c r="T199" i="33"/>
  <c r="S199" i="33"/>
  <c r="R199" i="33"/>
  <c r="P199" i="33"/>
  <c r="O199" i="33"/>
  <c r="N199" i="33"/>
  <c r="M199" i="33"/>
  <c r="L199" i="33"/>
  <c r="J199" i="33"/>
  <c r="I199" i="33"/>
  <c r="H199" i="33"/>
  <c r="G199" i="33"/>
  <c r="F199" i="33"/>
  <c r="E199" i="33"/>
  <c r="D199" i="33"/>
  <c r="C199" i="33"/>
  <c r="B199" i="33"/>
  <c r="BM198" i="33"/>
  <c r="BH198" i="33"/>
  <c r="BB198" i="33"/>
  <c r="AW198" i="33"/>
  <c r="AR198" i="33"/>
  <c r="AL198" i="33"/>
  <c r="AG198" i="33"/>
  <c r="AA198" i="33"/>
  <c r="V198" i="33"/>
  <c r="Q198" i="33"/>
  <c r="K198" i="33"/>
  <c r="F198" i="33"/>
  <c r="BM197" i="33"/>
  <c r="BH197" i="33"/>
  <c r="BB197" i="33"/>
  <c r="AW197" i="33"/>
  <c r="AR197" i="33"/>
  <c r="AL197" i="33"/>
  <c r="AG197" i="33"/>
  <c r="AA197" i="33"/>
  <c r="V197" i="33"/>
  <c r="Q197" i="33"/>
  <c r="K197" i="33"/>
  <c r="F197" i="33"/>
  <c r="BM196" i="33"/>
  <c r="BH196" i="33"/>
  <c r="BB196" i="33"/>
  <c r="AW196" i="33"/>
  <c r="AR196" i="33"/>
  <c r="AL196" i="33"/>
  <c r="AG196" i="33"/>
  <c r="AA196" i="33"/>
  <c r="V196" i="33"/>
  <c r="Q196" i="33"/>
  <c r="K196" i="33"/>
  <c r="F196" i="33"/>
  <c r="BM195" i="33"/>
  <c r="BH195" i="33"/>
  <c r="BB195" i="33"/>
  <c r="AW195" i="33"/>
  <c r="AR195" i="33"/>
  <c r="AL195" i="33"/>
  <c r="AG195" i="33"/>
  <c r="AA195" i="33"/>
  <c r="V195" i="33"/>
  <c r="Q195" i="33"/>
  <c r="K195" i="33"/>
  <c r="F195" i="33"/>
  <c r="BM194" i="33"/>
  <c r="BH194" i="33"/>
  <c r="BB194" i="33"/>
  <c r="AW194" i="33"/>
  <c r="AR194" i="33"/>
  <c r="AL194" i="33"/>
  <c r="AG194" i="33"/>
  <c r="AA194" i="33"/>
  <c r="V194" i="33"/>
  <c r="Q194" i="33"/>
  <c r="K194" i="33"/>
  <c r="F194" i="33"/>
  <c r="BM193" i="33"/>
  <c r="BH193" i="33"/>
  <c r="BB193" i="33"/>
  <c r="AW193" i="33"/>
  <c r="AR193" i="33"/>
  <c r="AL193" i="33"/>
  <c r="AG193" i="33"/>
  <c r="AA193" i="33"/>
  <c r="V193" i="33"/>
  <c r="Q193" i="33"/>
  <c r="K193" i="33"/>
  <c r="F193" i="33"/>
  <c r="BM192" i="33"/>
  <c r="BH192" i="33"/>
  <c r="BB192" i="33"/>
  <c r="AW192" i="33"/>
  <c r="AR192" i="33"/>
  <c r="AL192" i="33"/>
  <c r="AG192" i="33"/>
  <c r="AA192" i="33"/>
  <c r="V192" i="33"/>
  <c r="Q192" i="33"/>
  <c r="K192" i="33"/>
  <c r="F192" i="33"/>
  <c r="BM191" i="33"/>
  <c r="BH191" i="33"/>
  <c r="BB191" i="33"/>
  <c r="AW191" i="33"/>
  <c r="AR191" i="33"/>
  <c r="AL191" i="33"/>
  <c r="AG191" i="33"/>
  <c r="AA191" i="33"/>
  <c r="V191" i="33"/>
  <c r="Q191" i="33"/>
  <c r="K191" i="33"/>
  <c r="F191" i="33"/>
  <c r="BM190" i="33"/>
  <c r="BH190" i="33"/>
  <c r="BB190" i="33"/>
  <c r="AW190" i="33"/>
  <c r="AR190" i="33"/>
  <c r="AL190" i="33"/>
  <c r="AG190" i="33"/>
  <c r="AA190" i="33"/>
  <c r="V190" i="33"/>
  <c r="Q190" i="33"/>
  <c r="K190" i="33"/>
  <c r="F190" i="33"/>
  <c r="BM189" i="33"/>
  <c r="BH189" i="33"/>
  <c r="BB189" i="33"/>
  <c r="AW189" i="33"/>
  <c r="AR189" i="33"/>
  <c r="AL189" i="33"/>
  <c r="AG189" i="33"/>
  <c r="AA189" i="33"/>
  <c r="V189" i="33"/>
  <c r="Q189" i="33"/>
  <c r="K189" i="33"/>
  <c r="F189" i="33"/>
  <c r="BM188" i="33"/>
  <c r="BH188" i="33"/>
  <c r="BB188" i="33"/>
  <c r="AW188" i="33"/>
  <c r="AR188" i="33"/>
  <c r="AL188" i="33"/>
  <c r="AG188" i="33"/>
  <c r="AA188" i="33"/>
  <c r="V188" i="33"/>
  <c r="Q188" i="33"/>
  <c r="K188" i="33"/>
  <c r="F188" i="33"/>
  <c r="BM187" i="33"/>
  <c r="BH187" i="33"/>
  <c r="BB187" i="33"/>
  <c r="AW187" i="33"/>
  <c r="AR187" i="33"/>
  <c r="AL187" i="33"/>
  <c r="AG187" i="33"/>
  <c r="AA187" i="33"/>
  <c r="V187" i="33"/>
  <c r="Q187" i="33"/>
  <c r="K187" i="33"/>
  <c r="F187" i="33"/>
  <c r="BM186" i="33"/>
  <c r="BH186" i="33"/>
  <c r="BB186" i="33"/>
  <c r="AW186" i="33"/>
  <c r="AR186" i="33"/>
  <c r="AL186" i="33"/>
  <c r="AG186" i="33"/>
  <c r="AA186" i="33"/>
  <c r="V186" i="33"/>
  <c r="Q186" i="33"/>
  <c r="K186" i="33"/>
  <c r="F186" i="33"/>
  <c r="BM185" i="33"/>
  <c r="BH185" i="33"/>
  <c r="BB185" i="33"/>
  <c r="AW185" i="33"/>
  <c r="AR185" i="33"/>
  <c r="AL185" i="33"/>
  <c r="AG185" i="33"/>
  <c r="AA185" i="33"/>
  <c r="V185" i="33"/>
  <c r="Q185" i="33"/>
  <c r="K185" i="33"/>
  <c r="F185" i="33"/>
  <c r="BM184" i="33"/>
  <c r="BH184" i="33"/>
  <c r="BB184" i="33"/>
  <c r="AW184" i="33"/>
  <c r="AR184" i="33"/>
  <c r="AL184" i="33"/>
  <c r="AG184" i="33"/>
  <c r="AA184" i="33"/>
  <c r="V184" i="33"/>
  <c r="Q184" i="33"/>
  <c r="K184" i="33"/>
  <c r="F184" i="33"/>
  <c r="BM183" i="33"/>
  <c r="BH183" i="33"/>
  <c r="BB183" i="33"/>
  <c r="AW183" i="33"/>
  <c r="AR183" i="33"/>
  <c r="AL183" i="33"/>
  <c r="AG183" i="33"/>
  <c r="AA183" i="33"/>
  <c r="V183" i="33"/>
  <c r="Q183" i="33"/>
  <c r="K183" i="33"/>
  <c r="F183" i="33"/>
  <c r="BM182" i="33"/>
  <c r="BH182" i="33"/>
  <c r="BB182" i="33"/>
  <c r="AW182" i="33"/>
  <c r="AR182" i="33"/>
  <c r="AL182" i="33"/>
  <c r="AG182" i="33"/>
  <c r="AA182" i="33"/>
  <c r="V182" i="33"/>
  <c r="Q182" i="33"/>
  <c r="K182" i="33"/>
  <c r="F182" i="33"/>
  <c r="BM181" i="33"/>
  <c r="BH181" i="33"/>
  <c r="BB181" i="33"/>
  <c r="AW181" i="33"/>
  <c r="AR181" i="33"/>
  <c r="AL181" i="33"/>
  <c r="AG181" i="33"/>
  <c r="AA181" i="33"/>
  <c r="V181" i="33"/>
  <c r="Q181" i="33"/>
  <c r="K181" i="33"/>
  <c r="F181" i="33"/>
  <c r="BM180" i="33"/>
  <c r="BH180" i="33"/>
  <c r="BB180" i="33"/>
  <c r="AW180" i="33"/>
  <c r="AR180" i="33"/>
  <c r="AL180" i="33"/>
  <c r="AG180" i="33"/>
  <c r="AA180" i="33"/>
  <c r="V180" i="33"/>
  <c r="Q180" i="33"/>
  <c r="K180" i="33"/>
  <c r="F180" i="33"/>
  <c r="BM179" i="33"/>
  <c r="BH179" i="33"/>
  <c r="BB179" i="33"/>
  <c r="AW179" i="33"/>
  <c r="AR179" i="33"/>
  <c r="AL179" i="33"/>
  <c r="AG179" i="33"/>
  <c r="AA179" i="33"/>
  <c r="V179" i="33"/>
  <c r="Q179" i="33"/>
  <c r="K179" i="33"/>
  <c r="F179" i="33"/>
  <c r="BM178" i="33"/>
  <c r="BH178" i="33"/>
  <c r="BB178" i="33"/>
  <c r="AW178" i="33"/>
  <c r="AR178" i="33"/>
  <c r="AL178" i="33"/>
  <c r="AG178" i="33"/>
  <c r="AA178" i="33"/>
  <c r="V178" i="33"/>
  <c r="Q178" i="33"/>
  <c r="K178" i="33"/>
  <c r="F178" i="33"/>
  <c r="BM177" i="33"/>
  <c r="BH177" i="33"/>
  <c r="BB177" i="33"/>
  <c r="AW177" i="33"/>
  <c r="AR177" i="33"/>
  <c r="AL177" i="33"/>
  <c r="AG177" i="33"/>
  <c r="AA177" i="33"/>
  <c r="V177" i="33"/>
  <c r="Q177" i="33"/>
  <c r="K177" i="33"/>
  <c r="F177" i="33"/>
  <c r="BM176" i="33"/>
  <c r="BH176" i="33"/>
  <c r="BB176" i="33"/>
  <c r="AW176" i="33"/>
  <c r="AR176" i="33"/>
  <c r="AL176" i="33"/>
  <c r="AG176" i="33"/>
  <c r="AA176" i="33"/>
  <c r="V176" i="33"/>
  <c r="Q176" i="33"/>
  <c r="K176" i="33"/>
  <c r="F176" i="33"/>
  <c r="BM175" i="33"/>
  <c r="BH175" i="33"/>
  <c r="BB175" i="33"/>
  <c r="AW175" i="33"/>
  <c r="AR175" i="33"/>
  <c r="AL175" i="33"/>
  <c r="AG175" i="33"/>
  <c r="AA175" i="33"/>
  <c r="V175" i="33"/>
  <c r="Q175" i="33"/>
  <c r="K175" i="33"/>
  <c r="F175" i="33"/>
  <c r="BM174" i="33"/>
  <c r="BH174" i="33"/>
  <c r="BB174" i="33"/>
  <c r="AW174" i="33"/>
  <c r="AR174" i="33"/>
  <c r="AL174" i="33"/>
  <c r="AG174" i="33"/>
  <c r="AA174" i="33"/>
  <c r="V174" i="33"/>
  <c r="Q174" i="33"/>
  <c r="K174" i="33"/>
  <c r="F174" i="33"/>
  <c r="BM173" i="33"/>
  <c r="BH173" i="33"/>
  <c r="BB173" i="33"/>
  <c r="AW173" i="33"/>
  <c r="AR173" i="33"/>
  <c r="AL173" i="33"/>
  <c r="AG173" i="33"/>
  <c r="AA173" i="33"/>
  <c r="V173" i="33"/>
  <c r="Q173" i="33"/>
  <c r="K173" i="33"/>
  <c r="F173" i="33"/>
  <c r="BM172" i="33"/>
  <c r="BM199" i="33" s="1"/>
  <c r="BH172" i="33"/>
  <c r="BH199" i="33" s="1"/>
  <c r="BB172" i="33"/>
  <c r="AW172" i="33"/>
  <c r="AW199" i="33" s="1"/>
  <c r="AR172" i="33"/>
  <c r="AL172" i="33"/>
  <c r="AL199" i="33" s="1"/>
  <c r="AG172" i="33"/>
  <c r="AG199" i="33" s="1"/>
  <c r="AA172" i="33"/>
  <c r="AA199" i="33" s="1"/>
  <c r="V172" i="33"/>
  <c r="V199" i="33" s="1"/>
  <c r="Q172" i="33"/>
  <c r="Q199" i="33" s="1"/>
  <c r="K172" i="33"/>
  <c r="K199" i="33" s="1"/>
  <c r="F172" i="33"/>
  <c r="BL167" i="33"/>
  <c r="BK167" i="33"/>
  <c r="BJ167" i="33"/>
  <c r="BI167" i="33"/>
  <c r="BG167" i="33"/>
  <c r="BF167" i="33"/>
  <c r="BE167" i="33"/>
  <c r="BD167" i="33"/>
  <c r="BC167" i="33"/>
  <c r="BA167" i="33"/>
  <c r="AZ167" i="33"/>
  <c r="AY167" i="33"/>
  <c r="AX167" i="33"/>
  <c r="AV167" i="33"/>
  <c r="AU167" i="33"/>
  <c r="AT167" i="33"/>
  <c r="AS167" i="33"/>
  <c r="AR167" i="33"/>
  <c r="AQ167" i="33"/>
  <c r="AP167" i="33"/>
  <c r="AO167" i="33"/>
  <c r="AN167" i="33"/>
  <c r="AM167" i="33"/>
  <c r="AK167" i="33"/>
  <c r="AJ167" i="33"/>
  <c r="AI167" i="33"/>
  <c r="AH167" i="33"/>
  <c r="AF167" i="33"/>
  <c r="AE167" i="33"/>
  <c r="AD167" i="33"/>
  <c r="AC167" i="33"/>
  <c r="AB167" i="33"/>
  <c r="Z167" i="33"/>
  <c r="Y167" i="33"/>
  <c r="X167" i="33"/>
  <c r="W167" i="33"/>
  <c r="V167" i="33"/>
  <c r="U167" i="33"/>
  <c r="T167" i="33"/>
  <c r="S167" i="33"/>
  <c r="R167" i="33"/>
  <c r="P167" i="33"/>
  <c r="O167" i="33"/>
  <c r="N167" i="33"/>
  <c r="M167" i="33"/>
  <c r="L167" i="33"/>
  <c r="J167" i="33"/>
  <c r="I167" i="33"/>
  <c r="H167" i="33"/>
  <c r="G167" i="33"/>
  <c r="E167" i="33"/>
  <c r="D167" i="33"/>
  <c r="C167" i="33"/>
  <c r="B167" i="33"/>
  <c r="BM166" i="33"/>
  <c r="BH166" i="33"/>
  <c r="BB166" i="33"/>
  <c r="AW166" i="33"/>
  <c r="AR166" i="33"/>
  <c r="AL166" i="33"/>
  <c r="AG166" i="33"/>
  <c r="AA166" i="33"/>
  <c r="V166" i="33"/>
  <c r="Q166" i="33"/>
  <c r="K166" i="33"/>
  <c r="F166" i="33"/>
  <c r="BM165" i="33"/>
  <c r="BH165" i="33"/>
  <c r="BB165" i="33"/>
  <c r="AW165" i="33"/>
  <c r="AR165" i="33"/>
  <c r="AL165" i="33"/>
  <c r="AG165" i="33"/>
  <c r="AA165" i="33"/>
  <c r="V165" i="33"/>
  <c r="Q165" i="33"/>
  <c r="K165" i="33"/>
  <c r="F165" i="33"/>
  <c r="BM164" i="33"/>
  <c r="BH164" i="33"/>
  <c r="BB164" i="33"/>
  <c r="AW164" i="33"/>
  <c r="AR164" i="33"/>
  <c r="AL164" i="33"/>
  <c r="AG164" i="33"/>
  <c r="AA164" i="33"/>
  <c r="V164" i="33"/>
  <c r="Q164" i="33"/>
  <c r="K164" i="33"/>
  <c r="F164" i="33"/>
  <c r="BM163" i="33"/>
  <c r="BH163" i="33"/>
  <c r="BB163" i="33"/>
  <c r="AW163" i="33"/>
  <c r="AR163" i="33"/>
  <c r="AL163" i="33"/>
  <c r="AG163" i="33"/>
  <c r="AA163" i="33"/>
  <c r="V163" i="33"/>
  <c r="Q163" i="33"/>
  <c r="K163" i="33"/>
  <c r="F163" i="33"/>
  <c r="BM162" i="33"/>
  <c r="BH162" i="33"/>
  <c r="BB162" i="33"/>
  <c r="AW162" i="33"/>
  <c r="AR162" i="33"/>
  <c r="AL162" i="33"/>
  <c r="AG162" i="33"/>
  <c r="AA162" i="33"/>
  <c r="V162" i="33"/>
  <c r="Q162" i="33"/>
  <c r="K162" i="33"/>
  <c r="F162" i="33"/>
  <c r="BM161" i="33"/>
  <c r="BH161" i="33"/>
  <c r="BB161" i="33"/>
  <c r="AW161" i="33"/>
  <c r="AR161" i="33"/>
  <c r="AL161" i="33"/>
  <c r="AG161" i="33"/>
  <c r="AA161" i="33"/>
  <c r="V161" i="33"/>
  <c r="Q161" i="33"/>
  <c r="K161" i="33"/>
  <c r="F161" i="33"/>
  <c r="BM160" i="33"/>
  <c r="BH160" i="33"/>
  <c r="BB160" i="33"/>
  <c r="AW160" i="33"/>
  <c r="AR160" i="33"/>
  <c r="AL160" i="33"/>
  <c r="AG160" i="33"/>
  <c r="AA160" i="33"/>
  <c r="V160" i="33"/>
  <c r="Q160" i="33"/>
  <c r="K160" i="33"/>
  <c r="F160" i="33"/>
  <c r="BM159" i="33"/>
  <c r="BH159" i="33"/>
  <c r="BB159" i="33"/>
  <c r="AW159" i="33"/>
  <c r="AR159" i="33"/>
  <c r="AL159" i="33"/>
  <c r="AG159" i="33"/>
  <c r="AA159" i="33"/>
  <c r="V159" i="33"/>
  <c r="Q159" i="33"/>
  <c r="K159" i="33"/>
  <c r="F159" i="33"/>
  <c r="BM158" i="33"/>
  <c r="BH158" i="33"/>
  <c r="BB158" i="33"/>
  <c r="AW158" i="33"/>
  <c r="AR158" i="33"/>
  <c r="AL158" i="33"/>
  <c r="AG158" i="33"/>
  <c r="AA158" i="33"/>
  <c r="V158" i="33"/>
  <c r="Q158" i="33"/>
  <c r="K158" i="33"/>
  <c r="F158" i="33"/>
  <c r="BM157" i="33"/>
  <c r="BH157" i="33"/>
  <c r="BB157" i="33"/>
  <c r="AW157" i="33"/>
  <c r="AR157" i="33"/>
  <c r="AL157" i="33"/>
  <c r="AG157" i="33"/>
  <c r="AA157" i="33"/>
  <c r="V157" i="33"/>
  <c r="Q157" i="33"/>
  <c r="K157" i="33"/>
  <c r="F157" i="33"/>
  <c r="BM156" i="33"/>
  <c r="BH156" i="33"/>
  <c r="BB156" i="33"/>
  <c r="AW156" i="33"/>
  <c r="AR156" i="33"/>
  <c r="AL156" i="33"/>
  <c r="AG156" i="33"/>
  <c r="AA156" i="33"/>
  <c r="V156" i="33"/>
  <c r="Q156" i="33"/>
  <c r="K156" i="33"/>
  <c r="F156" i="33"/>
  <c r="BM155" i="33"/>
  <c r="BH155" i="33"/>
  <c r="BB155" i="33"/>
  <c r="AW155" i="33"/>
  <c r="AR155" i="33"/>
  <c r="AL155" i="33"/>
  <c r="AG155" i="33"/>
  <c r="AA155" i="33"/>
  <c r="V155" i="33"/>
  <c r="Q155" i="33"/>
  <c r="K155" i="33"/>
  <c r="F155" i="33"/>
  <c r="BM154" i="33"/>
  <c r="BH154" i="33"/>
  <c r="BB154" i="33"/>
  <c r="AW154" i="33"/>
  <c r="AR154" i="33"/>
  <c r="AL154" i="33"/>
  <c r="AG154" i="33"/>
  <c r="AA154" i="33"/>
  <c r="V154" i="33"/>
  <c r="Q154" i="33"/>
  <c r="K154" i="33"/>
  <c r="F154" i="33"/>
  <c r="BM153" i="33"/>
  <c r="BH153" i="33"/>
  <c r="BB153" i="33"/>
  <c r="AW153" i="33"/>
  <c r="AR153" i="33"/>
  <c r="AL153" i="33"/>
  <c r="AG153" i="33"/>
  <c r="AA153" i="33"/>
  <c r="V153" i="33"/>
  <c r="Q153" i="33"/>
  <c r="K153" i="33"/>
  <c r="F153" i="33"/>
  <c r="BM152" i="33"/>
  <c r="BH152" i="33"/>
  <c r="BB152" i="33"/>
  <c r="AW152" i="33"/>
  <c r="AR152" i="33"/>
  <c r="AL152" i="33"/>
  <c r="AG152" i="33"/>
  <c r="AA152" i="33"/>
  <c r="V152" i="33"/>
  <c r="Q152" i="33"/>
  <c r="K152" i="33"/>
  <c r="F152" i="33"/>
  <c r="BM151" i="33"/>
  <c r="BH151" i="33"/>
  <c r="BB151" i="33"/>
  <c r="AW151" i="33"/>
  <c r="AR151" i="33"/>
  <c r="AL151" i="33"/>
  <c r="AG151" i="33"/>
  <c r="AA151" i="33"/>
  <c r="V151" i="33"/>
  <c r="Q151" i="33"/>
  <c r="K151" i="33"/>
  <c r="F151" i="33"/>
  <c r="BM150" i="33"/>
  <c r="BH150" i="33"/>
  <c r="BB150" i="33"/>
  <c r="AW150" i="33"/>
  <c r="AR150" i="33"/>
  <c r="AL150" i="33"/>
  <c r="AG150" i="33"/>
  <c r="AA150" i="33"/>
  <c r="V150" i="33"/>
  <c r="Q150" i="33"/>
  <c r="K150" i="33"/>
  <c r="F150" i="33"/>
  <c r="BM149" i="33"/>
  <c r="BH149" i="33"/>
  <c r="BB149" i="33"/>
  <c r="AW149" i="33"/>
  <c r="AR149" i="33"/>
  <c r="AL149" i="33"/>
  <c r="AG149" i="33"/>
  <c r="AA149" i="33"/>
  <c r="V149" i="33"/>
  <c r="Q149" i="33"/>
  <c r="K149" i="33"/>
  <c r="F149" i="33"/>
  <c r="BM148" i="33"/>
  <c r="BH148" i="33"/>
  <c r="BB148" i="33"/>
  <c r="AW148" i="33"/>
  <c r="AR148" i="33"/>
  <c r="AL148" i="33"/>
  <c r="AG148" i="33"/>
  <c r="AA148" i="33"/>
  <c r="V148" i="33"/>
  <c r="Q148" i="33"/>
  <c r="K148" i="33"/>
  <c r="F148" i="33"/>
  <c r="BM147" i="33"/>
  <c r="BH147" i="33"/>
  <c r="BB147" i="33"/>
  <c r="AW147" i="33"/>
  <c r="AR147" i="33"/>
  <c r="AL147" i="33"/>
  <c r="AG147" i="33"/>
  <c r="AA147" i="33"/>
  <c r="V147" i="33"/>
  <c r="Q147" i="33"/>
  <c r="K147" i="33"/>
  <c r="F147" i="33"/>
  <c r="BM146" i="33"/>
  <c r="BH146" i="33"/>
  <c r="BB146" i="33"/>
  <c r="AW146" i="33"/>
  <c r="AR146" i="33"/>
  <c r="AL146" i="33"/>
  <c r="AG146" i="33"/>
  <c r="AA146" i="33"/>
  <c r="V146" i="33"/>
  <c r="Q146" i="33"/>
  <c r="K146" i="33"/>
  <c r="F146" i="33"/>
  <c r="BM145" i="33"/>
  <c r="BH145" i="33"/>
  <c r="BB145" i="33"/>
  <c r="AW145" i="33"/>
  <c r="AR145" i="33"/>
  <c r="AL145" i="33"/>
  <c r="AG145" i="33"/>
  <c r="AA145" i="33"/>
  <c r="V145" i="33"/>
  <c r="Q145" i="33"/>
  <c r="K145" i="33"/>
  <c r="F145" i="33"/>
  <c r="BM144" i="33"/>
  <c r="BH144" i="33"/>
  <c r="BB144" i="33"/>
  <c r="AW144" i="33"/>
  <c r="AR144" i="33"/>
  <c r="AL144" i="33"/>
  <c r="AG144" i="33"/>
  <c r="AA144" i="33"/>
  <c r="V144" i="33"/>
  <c r="Q144" i="33"/>
  <c r="K144" i="33"/>
  <c r="F144" i="33"/>
  <c r="BM143" i="33"/>
  <c r="BH143" i="33"/>
  <c r="BB143" i="33"/>
  <c r="AW143" i="33"/>
  <c r="AR143" i="33"/>
  <c r="AL143" i="33"/>
  <c r="AG143" i="33"/>
  <c r="AA143" i="33"/>
  <c r="V143" i="33"/>
  <c r="Q143" i="33"/>
  <c r="K143" i="33"/>
  <c r="F143" i="33"/>
  <c r="BM142" i="33"/>
  <c r="BH142" i="33"/>
  <c r="BB142" i="33"/>
  <c r="AW142" i="33"/>
  <c r="AR142" i="33"/>
  <c r="AL142" i="33"/>
  <c r="AG142" i="33"/>
  <c r="AA142" i="33"/>
  <c r="V142" i="33"/>
  <c r="Q142" i="33"/>
  <c r="K142" i="33"/>
  <c r="F142" i="33"/>
  <c r="BM141" i="33"/>
  <c r="BH141" i="33"/>
  <c r="BB141" i="33"/>
  <c r="AW141" i="33"/>
  <c r="AR141" i="33"/>
  <c r="AL141" i="33"/>
  <c r="AG141" i="33"/>
  <c r="AA141" i="33"/>
  <c r="V141" i="33"/>
  <c r="Q141" i="33"/>
  <c r="K141" i="33"/>
  <c r="F141" i="33"/>
  <c r="BM140" i="33"/>
  <c r="BM167" i="33" s="1"/>
  <c r="BH140" i="33"/>
  <c r="BH167" i="33" s="1"/>
  <c r="BB140" i="33"/>
  <c r="BB167" i="33" s="1"/>
  <c r="AW140" i="33"/>
  <c r="AW167" i="33" s="1"/>
  <c r="AR140" i="33"/>
  <c r="AL140" i="33"/>
  <c r="AL167" i="33" s="1"/>
  <c r="AG140" i="33"/>
  <c r="AG167" i="33" s="1"/>
  <c r="AA140" i="33"/>
  <c r="AA167" i="33" s="1"/>
  <c r="V140" i="33"/>
  <c r="Q140" i="33"/>
  <c r="Q167" i="33" s="1"/>
  <c r="K140" i="33"/>
  <c r="K167" i="33" s="1"/>
  <c r="F140" i="33"/>
  <c r="F167" i="33" s="1"/>
  <c r="BM135" i="33"/>
  <c r="BL135" i="33"/>
  <c r="BK135" i="33"/>
  <c r="BJ135" i="33"/>
  <c r="BI135" i="33"/>
  <c r="BG135" i="33"/>
  <c r="BF135" i="33"/>
  <c r="BE135" i="33"/>
  <c r="BD135" i="33"/>
  <c r="BC135" i="33"/>
  <c r="BA135" i="33"/>
  <c r="AZ135" i="33"/>
  <c r="AY135" i="33"/>
  <c r="AX135" i="33"/>
  <c r="AV135" i="33"/>
  <c r="AU135" i="33"/>
  <c r="AT135" i="33"/>
  <c r="AS135" i="33"/>
  <c r="AQ135" i="33"/>
  <c r="AP135" i="33"/>
  <c r="AO135" i="33"/>
  <c r="AN135" i="33"/>
  <c r="AM135" i="33"/>
  <c r="AL135" i="33"/>
  <c r="AK135" i="33"/>
  <c r="AJ135" i="33"/>
  <c r="AI135" i="33"/>
  <c r="AH135" i="33"/>
  <c r="AG135" i="33"/>
  <c r="AF135" i="33"/>
  <c r="AE135" i="33"/>
  <c r="AD135" i="33"/>
  <c r="AC135" i="33"/>
  <c r="AB135" i="33"/>
  <c r="Z135" i="33"/>
  <c r="Y135" i="33"/>
  <c r="X135" i="33"/>
  <c r="W135" i="33"/>
  <c r="U135" i="33"/>
  <c r="T135" i="33"/>
  <c r="S135" i="33"/>
  <c r="R135" i="33"/>
  <c r="P135" i="33"/>
  <c r="O135" i="33"/>
  <c r="N135" i="33"/>
  <c r="M135" i="33"/>
  <c r="L135" i="33"/>
  <c r="K135" i="33"/>
  <c r="J135" i="33"/>
  <c r="I135" i="33"/>
  <c r="H135" i="33"/>
  <c r="G135" i="33"/>
  <c r="E135" i="33"/>
  <c r="D135" i="33"/>
  <c r="C135" i="33"/>
  <c r="B135" i="33"/>
  <c r="BM134" i="33"/>
  <c r="BH134" i="33"/>
  <c r="BB134" i="33"/>
  <c r="AW134" i="33"/>
  <c r="AR134" i="33"/>
  <c r="AL134" i="33"/>
  <c r="AG134" i="33"/>
  <c r="AA134" i="33"/>
  <c r="V134" i="33"/>
  <c r="Q134" i="33"/>
  <c r="K134" i="33"/>
  <c r="F134" i="33"/>
  <c r="BM133" i="33"/>
  <c r="BH133" i="33"/>
  <c r="BB133" i="33"/>
  <c r="AW133" i="33"/>
  <c r="AR133" i="33"/>
  <c r="AL133" i="33"/>
  <c r="AG133" i="33"/>
  <c r="AA133" i="33"/>
  <c r="V133" i="33"/>
  <c r="Q133" i="33"/>
  <c r="K133" i="33"/>
  <c r="F133" i="33"/>
  <c r="BM132" i="33"/>
  <c r="BH132" i="33"/>
  <c r="BB132" i="33"/>
  <c r="AW132" i="33"/>
  <c r="AR132" i="33"/>
  <c r="AL132" i="33"/>
  <c r="AG132" i="33"/>
  <c r="AA132" i="33"/>
  <c r="V132" i="33"/>
  <c r="Q132" i="33"/>
  <c r="K132" i="33"/>
  <c r="F132" i="33"/>
  <c r="BM131" i="33"/>
  <c r="BH131" i="33"/>
  <c r="BB131" i="33"/>
  <c r="AW131" i="33"/>
  <c r="AR131" i="33"/>
  <c r="AL131" i="33"/>
  <c r="AG131" i="33"/>
  <c r="AA131" i="33"/>
  <c r="V131" i="33"/>
  <c r="Q131" i="33"/>
  <c r="K131" i="33"/>
  <c r="F131" i="33"/>
  <c r="BM130" i="33"/>
  <c r="BH130" i="33"/>
  <c r="BB130" i="33"/>
  <c r="AW130" i="33"/>
  <c r="AR130" i="33"/>
  <c r="AL130" i="33"/>
  <c r="AG130" i="33"/>
  <c r="AA130" i="33"/>
  <c r="V130" i="33"/>
  <c r="Q130" i="33"/>
  <c r="K130" i="33"/>
  <c r="F130" i="33"/>
  <c r="BM129" i="33"/>
  <c r="BH129" i="33"/>
  <c r="BB129" i="33"/>
  <c r="AW129" i="33"/>
  <c r="AR129" i="33"/>
  <c r="AL129" i="33"/>
  <c r="AG129" i="33"/>
  <c r="AA129" i="33"/>
  <c r="V129" i="33"/>
  <c r="Q129" i="33"/>
  <c r="K129" i="33"/>
  <c r="F129" i="33"/>
  <c r="BM128" i="33"/>
  <c r="BH128" i="33"/>
  <c r="BB128" i="33"/>
  <c r="AW128" i="33"/>
  <c r="AR128" i="33"/>
  <c r="AL128" i="33"/>
  <c r="AG128" i="33"/>
  <c r="AA128" i="33"/>
  <c r="V128" i="33"/>
  <c r="Q128" i="33"/>
  <c r="K128" i="33"/>
  <c r="F128" i="33"/>
  <c r="BM127" i="33"/>
  <c r="BH127" i="33"/>
  <c r="BB127" i="33"/>
  <c r="AW127" i="33"/>
  <c r="AR127" i="33"/>
  <c r="AL127" i="33"/>
  <c r="AG127" i="33"/>
  <c r="AA127" i="33"/>
  <c r="V127" i="33"/>
  <c r="Q127" i="33"/>
  <c r="K127" i="33"/>
  <c r="F127" i="33"/>
  <c r="BM126" i="33"/>
  <c r="BH126" i="33"/>
  <c r="BB126" i="33"/>
  <c r="AW126" i="33"/>
  <c r="AR126" i="33"/>
  <c r="AL126" i="33"/>
  <c r="AG126" i="33"/>
  <c r="AA126" i="33"/>
  <c r="V126" i="33"/>
  <c r="Q126" i="33"/>
  <c r="K126" i="33"/>
  <c r="F126" i="33"/>
  <c r="BM125" i="33"/>
  <c r="BH125" i="33"/>
  <c r="BB125" i="33"/>
  <c r="AW125" i="33"/>
  <c r="AR125" i="33"/>
  <c r="AL125" i="33"/>
  <c r="AG125" i="33"/>
  <c r="AA125" i="33"/>
  <c r="V125" i="33"/>
  <c r="Q125" i="33"/>
  <c r="K125" i="33"/>
  <c r="F125" i="33"/>
  <c r="BM124" i="33"/>
  <c r="BH124" i="33"/>
  <c r="BB124" i="33"/>
  <c r="AW124" i="33"/>
  <c r="AR124" i="33"/>
  <c r="AL124" i="33"/>
  <c r="AG124" i="33"/>
  <c r="AA124" i="33"/>
  <c r="V124" i="33"/>
  <c r="Q124" i="33"/>
  <c r="K124" i="33"/>
  <c r="F124" i="33"/>
  <c r="BM123" i="33"/>
  <c r="BH123" i="33"/>
  <c r="BB123" i="33"/>
  <c r="AW123" i="33"/>
  <c r="AR123" i="33"/>
  <c r="AL123" i="33"/>
  <c r="AG123" i="33"/>
  <c r="AA123" i="33"/>
  <c r="V123" i="33"/>
  <c r="Q123" i="33"/>
  <c r="K123" i="33"/>
  <c r="F123" i="33"/>
  <c r="BM122" i="33"/>
  <c r="BH122" i="33"/>
  <c r="BB122" i="33"/>
  <c r="AW122" i="33"/>
  <c r="AR122" i="33"/>
  <c r="AL122" i="33"/>
  <c r="AG122" i="33"/>
  <c r="AA122" i="33"/>
  <c r="V122" i="33"/>
  <c r="Q122" i="33"/>
  <c r="K122" i="33"/>
  <c r="F122" i="33"/>
  <c r="BM121" i="33"/>
  <c r="BH121" i="33"/>
  <c r="BH135" i="33" s="1"/>
  <c r="BB121" i="33"/>
  <c r="BB135" i="33" s="1"/>
  <c r="AW121" i="33"/>
  <c r="AW135" i="33" s="1"/>
  <c r="AR121" i="33"/>
  <c r="AR135" i="33" s="1"/>
  <c r="AL121" i="33"/>
  <c r="AG121" i="33"/>
  <c r="AA121" i="33"/>
  <c r="AA135" i="33" s="1"/>
  <c r="V121" i="33"/>
  <c r="V135" i="33" s="1"/>
  <c r="Q121" i="33"/>
  <c r="Q135" i="33" s="1"/>
  <c r="K121" i="33"/>
  <c r="F121" i="33"/>
  <c r="F135" i="33" s="1"/>
  <c r="BL116" i="33"/>
  <c r="BK116" i="33"/>
  <c r="BJ116" i="33"/>
  <c r="BI116" i="33"/>
  <c r="BG116" i="33"/>
  <c r="BF116" i="33"/>
  <c r="BE116" i="33"/>
  <c r="BD116" i="33"/>
  <c r="BC116" i="33"/>
  <c r="BB116" i="33"/>
  <c r="BA116" i="33"/>
  <c r="AZ116" i="33"/>
  <c r="AY116" i="33"/>
  <c r="AX116" i="33"/>
  <c r="AW116" i="33"/>
  <c r="AV116" i="33"/>
  <c r="AU116" i="33"/>
  <c r="AT116" i="33"/>
  <c r="AS116" i="33"/>
  <c r="AR116" i="33"/>
  <c r="AQ116" i="33"/>
  <c r="AP116" i="33"/>
  <c r="AO116" i="33"/>
  <c r="AN116" i="33"/>
  <c r="AM116" i="33"/>
  <c r="AK116" i="33"/>
  <c r="AJ116" i="33"/>
  <c r="AI116" i="33"/>
  <c r="AH116" i="33"/>
  <c r="AG116" i="33"/>
  <c r="AF116" i="33"/>
  <c r="AE116" i="33"/>
  <c r="AD116" i="33"/>
  <c r="AC116" i="33"/>
  <c r="AB116" i="33"/>
  <c r="Z116" i="33"/>
  <c r="Y116" i="33"/>
  <c r="X116" i="33"/>
  <c r="W116" i="33"/>
  <c r="U116" i="33"/>
  <c r="T116" i="33"/>
  <c r="S116" i="33"/>
  <c r="R116" i="33"/>
  <c r="P116" i="33"/>
  <c r="O116" i="33"/>
  <c r="N116" i="33"/>
  <c r="M116" i="33"/>
  <c r="L116" i="33"/>
  <c r="J116" i="33"/>
  <c r="I116" i="33"/>
  <c r="H116" i="33"/>
  <c r="G116" i="33"/>
  <c r="F116" i="33"/>
  <c r="E116" i="33"/>
  <c r="D116" i="33"/>
  <c r="C116" i="33"/>
  <c r="B116" i="33"/>
  <c r="BM115" i="33"/>
  <c r="BH115" i="33"/>
  <c r="BB115" i="33"/>
  <c r="AW115" i="33"/>
  <c r="AR115" i="33"/>
  <c r="AL115" i="33"/>
  <c r="AG115" i="33"/>
  <c r="AA115" i="33"/>
  <c r="V115" i="33"/>
  <c r="Q115" i="33"/>
  <c r="K115" i="33"/>
  <c r="F115" i="33"/>
  <c r="BM114" i="33"/>
  <c r="BH114" i="33"/>
  <c r="BB114" i="33"/>
  <c r="AW114" i="33"/>
  <c r="AR114" i="33"/>
  <c r="AL114" i="33"/>
  <c r="AG114" i="33"/>
  <c r="AA114" i="33"/>
  <c r="V114" i="33"/>
  <c r="Q114" i="33"/>
  <c r="K114" i="33"/>
  <c r="F114" i="33"/>
  <c r="BM113" i="33"/>
  <c r="BH113" i="33"/>
  <c r="BB113" i="33"/>
  <c r="AW113" i="33"/>
  <c r="AR113" i="33"/>
  <c r="AL113" i="33"/>
  <c r="AG113" i="33"/>
  <c r="AA113" i="33"/>
  <c r="V113" i="33"/>
  <c r="Q113" i="33"/>
  <c r="K113" i="33"/>
  <c r="F113" i="33"/>
  <c r="BM112" i="33"/>
  <c r="BH112" i="33"/>
  <c r="BB112" i="33"/>
  <c r="AW112" i="33"/>
  <c r="AR112" i="33"/>
  <c r="AL112" i="33"/>
  <c r="AG112" i="33"/>
  <c r="AA112" i="33"/>
  <c r="V112" i="33"/>
  <c r="Q112" i="33"/>
  <c r="K112" i="33"/>
  <c r="F112" i="33"/>
  <c r="BM111" i="33"/>
  <c r="BH111" i="33"/>
  <c r="BB111" i="33"/>
  <c r="AW111" i="33"/>
  <c r="AR111" i="33"/>
  <c r="AL111" i="33"/>
  <c r="AG111" i="33"/>
  <c r="AA111" i="33"/>
  <c r="V111" i="33"/>
  <c r="Q111" i="33"/>
  <c r="K111" i="33"/>
  <c r="F111" i="33"/>
  <c r="BM110" i="33"/>
  <c r="BH110" i="33"/>
  <c r="BB110" i="33"/>
  <c r="AW110" i="33"/>
  <c r="AR110" i="33"/>
  <c r="AL110" i="33"/>
  <c r="AG110" i="33"/>
  <c r="AA110" i="33"/>
  <c r="V110" i="33"/>
  <c r="Q110" i="33"/>
  <c r="K110" i="33"/>
  <c r="F110" i="33"/>
  <c r="BM109" i="33"/>
  <c r="BH109" i="33"/>
  <c r="BB109" i="33"/>
  <c r="AW109" i="33"/>
  <c r="AR109" i="33"/>
  <c r="AL109" i="33"/>
  <c r="AG109" i="33"/>
  <c r="AA109" i="33"/>
  <c r="V109" i="33"/>
  <c r="Q109" i="33"/>
  <c r="K109" i="33"/>
  <c r="F109" i="33"/>
  <c r="BM108" i="33"/>
  <c r="BM116" i="33" s="1"/>
  <c r="BH108" i="33"/>
  <c r="BH116" i="33" s="1"/>
  <c r="BB108" i="33"/>
  <c r="AW108" i="33"/>
  <c r="AR108" i="33"/>
  <c r="AL108" i="33"/>
  <c r="AL116" i="33" s="1"/>
  <c r="AG108" i="33"/>
  <c r="AA108" i="33"/>
  <c r="AA116" i="33" s="1"/>
  <c r="V108" i="33"/>
  <c r="V116" i="33" s="1"/>
  <c r="Q108" i="33"/>
  <c r="Q116" i="33" s="1"/>
  <c r="K108" i="33"/>
  <c r="K116" i="33" s="1"/>
  <c r="F108" i="33"/>
  <c r="BL103" i="33"/>
  <c r="BK103" i="33"/>
  <c r="BJ103" i="33"/>
  <c r="BI103" i="33"/>
  <c r="BG103" i="33"/>
  <c r="BF103" i="33"/>
  <c r="BE103" i="33"/>
  <c r="BD103" i="33"/>
  <c r="BC103" i="33"/>
  <c r="BA103" i="33"/>
  <c r="AZ103" i="33"/>
  <c r="AY103" i="33"/>
  <c r="AX103" i="33"/>
  <c r="AV103" i="33"/>
  <c r="AU103" i="33"/>
  <c r="AT103" i="33"/>
  <c r="AS103" i="33"/>
  <c r="AR103" i="33"/>
  <c r="AQ103" i="33"/>
  <c r="AP103" i="33"/>
  <c r="AO103" i="33"/>
  <c r="AN103" i="33"/>
  <c r="AM103" i="33"/>
  <c r="AK103" i="33"/>
  <c r="AJ103" i="33"/>
  <c r="AI103" i="33"/>
  <c r="AH103" i="33"/>
  <c r="AF103" i="33"/>
  <c r="AE103" i="33"/>
  <c r="AD103" i="33"/>
  <c r="AC103" i="33"/>
  <c r="AB103" i="33"/>
  <c r="Z103" i="33"/>
  <c r="Y103" i="33"/>
  <c r="X103" i="33"/>
  <c r="W103" i="33"/>
  <c r="V103" i="33"/>
  <c r="U103" i="33"/>
  <c r="T103" i="33"/>
  <c r="S103" i="33"/>
  <c r="R103" i="33"/>
  <c r="P103" i="33"/>
  <c r="O103" i="33"/>
  <c r="N103" i="33"/>
  <c r="M103" i="33"/>
  <c r="L103" i="33"/>
  <c r="J103" i="33"/>
  <c r="I103" i="33"/>
  <c r="H103" i="33"/>
  <c r="G103" i="33"/>
  <c r="E103" i="33"/>
  <c r="D103" i="33"/>
  <c r="C103" i="33"/>
  <c r="B103" i="33"/>
  <c r="BM102" i="33"/>
  <c r="BH102" i="33"/>
  <c r="BB102" i="33"/>
  <c r="AW102" i="33"/>
  <c r="AR102" i="33"/>
  <c r="AL102" i="33"/>
  <c r="AG102" i="33"/>
  <c r="AA102" i="33"/>
  <c r="V102" i="33"/>
  <c r="Q102" i="33"/>
  <c r="K102" i="33"/>
  <c r="F102" i="33"/>
  <c r="BM101" i="33"/>
  <c r="BH101" i="33"/>
  <c r="BB101" i="33"/>
  <c r="AW101" i="33"/>
  <c r="AR101" i="33"/>
  <c r="AL101" i="33"/>
  <c r="AG101" i="33"/>
  <c r="AA101" i="33"/>
  <c r="V101" i="33"/>
  <c r="Q101" i="33"/>
  <c r="K101" i="33"/>
  <c r="F101" i="33"/>
  <c r="BM100" i="33"/>
  <c r="BH100" i="33"/>
  <c r="BB100" i="33"/>
  <c r="AW100" i="33"/>
  <c r="AR100" i="33"/>
  <c r="AL100" i="33"/>
  <c r="AG100" i="33"/>
  <c r="AA100" i="33"/>
  <c r="V100" i="33"/>
  <c r="Q100" i="33"/>
  <c r="K100" i="33"/>
  <c r="F100" i="33"/>
  <c r="BM99" i="33"/>
  <c r="BH99" i="33"/>
  <c r="BB99" i="33"/>
  <c r="AW99" i="33"/>
  <c r="AR99" i="33"/>
  <c r="AL99" i="33"/>
  <c r="AG99" i="33"/>
  <c r="AA99" i="33"/>
  <c r="V99" i="33"/>
  <c r="Q99" i="33"/>
  <c r="K99" i="33"/>
  <c r="F99" i="33"/>
  <c r="BM98" i="33"/>
  <c r="BH98" i="33"/>
  <c r="BB98" i="33"/>
  <c r="AW98" i="33"/>
  <c r="AR98" i="33"/>
  <c r="AL98" i="33"/>
  <c r="AG98" i="33"/>
  <c r="AA98" i="33"/>
  <c r="V98" i="33"/>
  <c r="Q98" i="33"/>
  <c r="K98" i="33"/>
  <c r="F98" i="33"/>
  <c r="BM97" i="33"/>
  <c r="BH97" i="33"/>
  <c r="BB97" i="33"/>
  <c r="AW97" i="33"/>
  <c r="AR97" i="33"/>
  <c r="AL97" i="33"/>
  <c r="AG97" i="33"/>
  <c r="AA97" i="33"/>
  <c r="V97" i="33"/>
  <c r="Q97" i="33"/>
  <c r="K97" i="33"/>
  <c r="F97" i="33"/>
  <c r="BM96" i="33"/>
  <c r="BH96" i="33"/>
  <c r="BB96" i="33"/>
  <c r="AW96" i="33"/>
  <c r="AR96" i="33"/>
  <c r="AL96" i="33"/>
  <c r="AG96" i="33"/>
  <c r="AA96" i="33"/>
  <c r="V96" i="33"/>
  <c r="Q96" i="33"/>
  <c r="K96" i="33"/>
  <c r="F96" i="33"/>
  <c r="BM95" i="33"/>
  <c r="BM103" i="33" s="1"/>
  <c r="BH95" i="33"/>
  <c r="BH103" i="33" s="1"/>
  <c r="BB95" i="33"/>
  <c r="BB103" i="33" s="1"/>
  <c r="AW95" i="33"/>
  <c r="AW103" i="33" s="1"/>
  <c r="AR95" i="33"/>
  <c r="AL95" i="33"/>
  <c r="AL103" i="33" s="1"/>
  <c r="AG95" i="33"/>
  <c r="AG103" i="33" s="1"/>
  <c r="AA95" i="33"/>
  <c r="AA103" i="33" s="1"/>
  <c r="V95" i="33"/>
  <c r="Q95" i="33"/>
  <c r="Q103" i="33" s="1"/>
  <c r="K95" i="33"/>
  <c r="K103" i="33" s="1"/>
  <c r="F95" i="33"/>
  <c r="F103" i="33" s="1"/>
  <c r="BM90" i="33"/>
  <c r="BL90" i="33"/>
  <c r="BK90" i="33"/>
  <c r="BJ90" i="33"/>
  <c r="BI90" i="33"/>
  <c r="BG90" i="33"/>
  <c r="BF90" i="33"/>
  <c r="BE90" i="33"/>
  <c r="BD90" i="33"/>
  <c r="BC90" i="33"/>
  <c r="BA90" i="33"/>
  <c r="AZ90" i="33"/>
  <c r="AY90" i="33"/>
  <c r="AX90" i="33"/>
  <c r="AV90" i="33"/>
  <c r="AU90" i="33"/>
  <c r="AT90" i="33"/>
  <c r="AS90" i="33"/>
  <c r="AQ90" i="33"/>
  <c r="AP90" i="33"/>
  <c r="AO90" i="33"/>
  <c r="AN90" i="33"/>
  <c r="AM90" i="33"/>
  <c r="AL90" i="33"/>
  <c r="AK90" i="33"/>
  <c r="AJ90" i="33"/>
  <c r="AI90" i="33"/>
  <c r="AH90" i="33"/>
  <c r="AG90" i="33"/>
  <c r="AF90" i="33"/>
  <c r="AE90" i="33"/>
  <c r="AD90" i="33"/>
  <c r="AC90" i="33"/>
  <c r="AB90" i="33"/>
  <c r="Z90" i="33"/>
  <c r="Y90" i="33"/>
  <c r="X90" i="33"/>
  <c r="W90" i="33"/>
  <c r="U90" i="33"/>
  <c r="T90" i="33"/>
  <c r="S90" i="33"/>
  <c r="R90" i="33"/>
  <c r="P90" i="33"/>
  <c r="O90" i="33"/>
  <c r="N90" i="33"/>
  <c r="M90" i="33"/>
  <c r="L90" i="33"/>
  <c r="K90" i="33"/>
  <c r="J90" i="33"/>
  <c r="I90" i="33"/>
  <c r="H90" i="33"/>
  <c r="G90" i="33"/>
  <c r="E90" i="33"/>
  <c r="D90" i="33"/>
  <c r="C90" i="33"/>
  <c r="B90" i="33"/>
  <c r="BM89" i="33"/>
  <c r="BH89" i="33"/>
  <c r="BB89" i="33"/>
  <c r="AW89" i="33"/>
  <c r="AR89" i="33"/>
  <c r="AL89" i="33"/>
  <c r="AG89" i="33"/>
  <c r="AA89" i="33"/>
  <c r="V89" i="33"/>
  <c r="Q89" i="33"/>
  <c r="K89" i="33"/>
  <c r="F89" i="33"/>
  <c r="BM88" i="33"/>
  <c r="BH88" i="33"/>
  <c r="BB88" i="33"/>
  <c r="AW88" i="33"/>
  <c r="AR88" i="33"/>
  <c r="AL88" i="33"/>
  <c r="AG88" i="33"/>
  <c r="AA88" i="33"/>
  <c r="V88" i="33"/>
  <c r="Q88" i="33"/>
  <c r="K88" i="33"/>
  <c r="F88" i="33"/>
  <c r="BM87" i="33"/>
  <c r="BH87" i="33"/>
  <c r="BB87" i="33"/>
  <c r="AW87" i="33"/>
  <c r="AR87" i="33"/>
  <c r="AL87" i="33"/>
  <c r="AG87" i="33"/>
  <c r="AA87" i="33"/>
  <c r="V87" i="33"/>
  <c r="Q87" i="33"/>
  <c r="K87" i="33"/>
  <c r="F87" i="33"/>
  <c r="BM86" i="33"/>
  <c r="BH86" i="33"/>
  <c r="BB86" i="33"/>
  <c r="AW86" i="33"/>
  <c r="AR86" i="33"/>
  <c r="AL86" i="33"/>
  <c r="AG86" i="33"/>
  <c r="AA86" i="33"/>
  <c r="V86" i="33"/>
  <c r="Q86" i="33"/>
  <c r="K86" i="33"/>
  <c r="F86" i="33"/>
  <c r="BM85" i="33"/>
  <c r="BH85" i="33"/>
  <c r="BB85" i="33"/>
  <c r="AW85" i="33"/>
  <c r="AR85" i="33"/>
  <c r="AL85" i="33"/>
  <c r="AG85" i="33"/>
  <c r="AA85" i="33"/>
  <c r="V85" i="33"/>
  <c r="Q85" i="33"/>
  <c r="K85" i="33"/>
  <c r="F85" i="33"/>
  <c r="BM84" i="33"/>
  <c r="BH84" i="33"/>
  <c r="BB84" i="33"/>
  <c r="AW84" i="33"/>
  <c r="AR84" i="33"/>
  <c r="AL84" i="33"/>
  <c r="AG84" i="33"/>
  <c r="AA84" i="33"/>
  <c r="V84" i="33"/>
  <c r="Q84" i="33"/>
  <c r="K84" i="33"/>
  <c r="F84" i="33"/>
  <c r="BM83" i="33"/>
  <c r="BH83" i="33"/>
  <c r="BB83" i="33"/>
  <c r="AW83" i="33"/>
  <c r="AR83" i="33"/>
  <c r="AL83" i="33"/>
  <c r="AG83" i="33"/>
  <c r="AA83" i="33"/>
  <c r="V83" i="33"/>
  <c r="Q83" i="33"/>
  <c r="K83" i="33"/>
  <c r="F83" i="33"/>
  <c r="BM82" i="33"/>
  <c r="BH82" i="33"/>
  <c r="BH90" i="33" s="1"/>
  <c r="BB82" i="33"/>
  <c r="BB90" i="33" s="1"/>
  <c r="AW82" i="33"/>
  <c r="AW90" i="33" s="1"/>
  <c r="AR82" i="33"/>
  <c r="AR90" i="33" s="1"/>
  <c r="AL82" i="33"/>
  <c r="AG82" i="33"/>
  <c r="AA82" i="33"/>
  <c r="AA90" i="33" s="1"/>
  <c r="V82" i="33"/>
  <c r="V90" i="33" s="1"/>
  <c r="Q82" i="33"/>
  <c r="Q90" i="33" s="1"/>
  <c r="K82" i="33"/>
  <c r="F82" i="33"/>
  <c r="F90" i="33" s="1"/>
  <c r="BL77" i="33"/>
  <c r="BK77" i="33"/>
  <c r="BJ77" i="33"/>
  <c r="BI77" i="33"/>
  <c r="BG77" i="33"/>
  <c r="BF77" i="33"/>
  <c r="BE77" i="33"/>
  <c r="BD77" i="33"/>
  <c r="BC77" i="33"/>
  <c r="BB77" i="33"/>
  <c r="BA77" i="33"/>
  <c r="AZ77" i="33"/>
  <c r="AY77" i="33"/>
  <c r="AX77" i="33"/>
  <c r="AW77" i="33"/>
  <c r="AV77" i="33"/>
  <c r="AU77" i="33"/>
  <c r="AT77" i="33"/>
  <c r="AS77" i="33"/>
  <c r="AR77" i="33"/>
  <c r="AQ77" i="33"/>
  <c r="AP77" i="33"/>
  <c r="AO77" i="33"/>
  <c r="AN77" i="33"/>
  <c r="AM77" i="33"/>
  <c r="AK77" i="33"/>
  <c r="AJ77" i="33"/>
  <c r="AI77" i="33"/>
  <c r="AH77" i="33"/>
  <c r="AG77" i="33"/>
  <c r="AF77" i="33"/>
  <c r="AE77" i="33"/>
  <c r="AD77" i="33"/>
  <c r="AC77" i="33"/>
  <c r="AB77" i="33"/>
  <c r="Z77" i="33"/>
  <c r="Y77" i="33"/>
  <c r="X77" i="33"/>
  <c r="W77" i="33"/>
  <c r="U77" i="33"/>
  <c r="T77" i="33"/>
  <c r="S77" i="33"/>
  <c r="R77" i="33"/>
  <c r="P77" i="33"/>
  <c r="O77" i="33"/>
  <c r="N77" i="33"/>
  <c r="M77" i="33"/>
  <c r="L77" i="33"/>
  <c r="J77" i="33"/>
  <c r="I77" i="33"/>
  <c r="H77" i="33"/>
  <c r="G77" i="33"/>
  <c r="F77" i="33"/>
  <c r="E77" i="33"/>
  <c r="D77" i="33"/>
  <c r="C77" i="33"/>
  <c r="B77" i="33"/>
  <c r="BM76" i="33"/>
  <c r="BH76" i="33"/>
  <c r="BB76" i="33"/>
  <c r="AW76" i="33"/>
  <c r="AR76" i="33"/>
  <c r="AL76" i="33"/>
  <c r="AG76" i="33"/>
  <c r="AA76" i="33"/>
  <c r="V76" i="33"/>
  <c r="Q76" i="33"/>
  <c r="K76" i="33"/>
  <c r="F76" i="33"/>
  <c r="BM75" i="33"/>
  <c r="BH75" i="33"/>
  <c r="BB75" i="33"/>
  <c r="AW75" i="33"/>
  <c r="AR75" i="33"/>
  <c r="AL75" i="33"/>
  <c r="AG75" i="33"/>
  <c r="AA75" i="33"/>
  <c r="V75" i="33"/>
  <c r="Q75" i="33"/>
  <c r="K75" i="33"/>
  <c r="F75" i="33"/>
  <c r="BM74" i="33"/>
  <c r="BH74" i="33"/>
  <c r="BB74" i="33"/>
  <c r="AW74" i="33"/>
  <c r="AR74" i="33"/>
  <c r="AL74" i="33"/>
  <c r="AG74" i="33"/>
  <c r="AA74" i="33"/>
  <c r="V74" i="33"/>
  <c r="Q74" i="33"/>
  <c r="K74" i="33"/>
  <c r="F74" i="33"/>
  <c r="BM73" i="33"/>
  <c r="BH73" i="33"/>
  <c r="BB73" i="33"/>
  <c r="AW73" i="33"/>
  <c r="AR73" i="33"/>
  <c r="AL73" i="33"/>
  <c r="AG73" i="33"/>
  <c r="AA73" i="33"/>
  <c r="V73" i="33"/>
  <c r="Q73" i="33"/>
  <c r="K73" i="33"/>
  <c r="F73" i="33"/>
  <c r="BM72" i="33"/>
  <c r="BH72" i="33"/>
  <c r="BB72" i="33"/>
  <c r="AW72" i="33"/>
  <c r="AR72" i="33"/>
  <c r="AL72" i="33"/>
  <c r="AG72" i="33"/>
  <c r="AA72" i="33"/>
  <c r="V72" i="33"/>
  <c r="Q72" i="33"/>
  <c r="K72" i="33"/>
  <c r="F72" i="33"/>
  <c r="BM71" i="33"/>
  <c r="BH71" i="33"/>
  <c r="BB71" i="33"/>
  <c r="AW71" i="33"/>
  <c r="AR71" i="33"/>
  <c r="AL71" i="33"/>
  <c r="AG71" i="33"/>
  <c r="AA71" i="33"/>
  <c r="V71" i="33"/>
  <c r="Q71" i="33"/>
  <c r="K71" i="33"/>
  <c r="F71" i="33"/>
  <c r="BM70" i="33"/>
  <c r="BH70" i="33"/>
  <c r="BB70" i="33"/>
  <c r="AW70" i="33"/>
  <c r="AR70" i="33"/>
  <c r="AL70" i="33"/>
  <c r="AG70" i="33"/>
  <c r="AA70" i="33"/>
  <c r="V70" i="33"/>
  <c r="Q70" i="33"/>
  <c r="K70" i="33"/>
  <c r="F70" i="33"/>
  <c r="BM69" i="33"/>
  <c r="BM77" i="33" s="1"/>
  <c r="BH69" i="33"/>
  <c r="BH77" i="33" s="1"/>
  <c r="BB69" i="33"/>
  <c r="AW69" i="33"/>
  <c r="AR69" i="33"/>
  <c r="AL69" i="33"/>
  <c r="AL77" i="33" s="1"/>
  <c r="AG69" i="33"/>
  <c r="AA69" i="33"/>
  <c r="AA77" i="33" s="1"/>
  <c r="V69" i="33"/>
  <c r="V77" i="33" s="1"/>
  <c r="Q69" i="33"/>
  <c r="Q77" i="33" s="1"/>
  <c r="K69" i="33"/>
  <c r="K77" i="33" s="1"/>
  <c r="F69" i="33"/>
  <c r="BL64" i="33"/>
  <c r="BK64" i="33"/>
  <c r="BJ64" i="33"/>
  <c r="BI64" i="33"/>
  <c r="BG64" i="33"/>
  <c r="BF64" i="33"/>
  <c r="BE64" i="33"/>
  <c r="BD64" i="33"/>
  <c r="BC64" i="33"/>
  <c r="BA64" i="33"/>
  <c r="AZ64" i="33"/>
  <c r="AY64" i="33"/>
  <c r="AX64" i="33"/>
  <c r="AV64" i="33"/>
  <c r="AU64" i="33"/>
  <c r="AT64" i="33"/>
  <c r="AS64" i="33"/>
  <c r="AR64" i="33"/>
  <c r="AQ64" i="33"/>
  <c r="AP64" i="33"/>
  <c r="AO64" i="33"/>
  <c r="AN64" i="33"/>
  <c r="AM64" i="33"/>
  <c r="AK64" i="33"/>
  <c r="AJ64" i="33"/>
  <c r="AI64" i="33"/>
  <c r="AH64" i="33"/>
  <c r="AF64" i="33"/>
  <c r="AE64" i="33"/>
  <c r="AD64" i="33"/>
  <c r="AC64" i="33"/>
  <c r="AB64" i="33"/>
  <c r="Z64" i="33"/>
  <c r="Y64" i="33"/>
  <c r="X64" i="33"/>
  <c r="W64" i="33"/>
  <c r="V64" i="33"/>
  <c r="U64" i="33"/>
  <c r="T64" i="33"/>
  <c r="S64" i="33"/>
  <c r="R64" i="33"/>
  <c r="P64" i="33"/>
  <c r="O64" i="33"/>
  <c r="N64" i="33"/>
  <c r="M64" i="33"/>
  <c r="L64" i="33"/>
  <c r="K64" i="33"/>
  <c r="J64" i="33"/>
  <c r="I64" i="33"/>
  <c r="H64" i="33"/>
  <c r="G64" i="33"/>
  <c r="E64" i="33"/>
  <c r="D64" i="33"/>
  <c r="C64" i="33"/>
  <c r="B64" i="33"/>
  <c r="BM63" i="33"/>
  <c r="BH63" i="33"/>
  <c r="BB63" i="33"/>
  <c r="AW63" i="33"/>
  <c r="AR63" i="33"/>
  <c r="AL63" i="33"/>
  <c r="AG63" i="33"/>
  <c r="AA63" i="33"/>
  <c r="V63" i="33"/>
  <c r="Q63" i="33"/>
  <c r="K63" i="33"/>
  <c r="F63" i="33"/>
  <c r="BM62" i="33"/>
  <c r="BH62" i="33"/>
  <c r="BB62" i="33"/>
  <c r="AW62" i="33"/>
  <c r="AR62" i="33"/>
  <c r="AL62" i="33"/>
  <c r="AG62" i="33"/>
  <c r="AA62" i="33"/>
  <c r="V62" i="33"/>
  <c r="Q62" i="33"/>
  <c r="K62" i="33"/>
  <c r="F62" i="33"/>
  <c r="BM61" i="33"/>
  <c r="BH61" i="33"/>
  <c r="BB61" i="33"/>
  <c r="AW61" i="33"/>
  <c r="AR61" i="33"/>
  <c r="AL61" i="33"/>
  <c r="AG61" i="33"/>
  <c r="AA61" i="33"/>
  <c r="V61" i="33"/>
  <c r="Q61" i="33"/>
  <c r="K61" i="33"/>
  <c r="F61" i="33"/>
  <c r="BM60" i="33"/>
  <c r="BH60" i="33"/>
  <c r="BB60" i="33"/>
  <c r="AW60" i="33"/>
  <c r="AR60" i="33"/>
  <c r="AL60" i="33"/>
  <c r="AG60" i="33"/>
  <c r="AA60" i="33"/>
  <c r="V60" i="33"/>
  <c r="Q60" i="33"/>
  <c r="K60" i="33"/>
  <c r="F60" i="33"/>
  <c r="BM59" i="33"/>
  <c r="BH59" i="33"/>
  <c r="BB59" i="33"/>
  <c r="AW59" i="33"/>
  <c r="AR59" i="33"/>
  <c r="AL59" i="33"/>
  <c r="AG59" i="33"/>
  <c r="AA59" i="33"/>
  <c r="V59" i="33"/>
  <c r="Q59" i="33"/>
  <c r="K59" i="33"/>
  <c r="F59" i="33"/>
  <c r="BM58" i="33"/>
  <c r="BH58" i="33"/>
  <c r="BB58" i="33"/>
  <c r="AW58" i="33"/>
  <c r="AR58" i="33"/>
  <c r="AL58" i="33"/>
  <c r="AG58" i="33"/>
  <c r="AA58" i="33"/>
  <c r="V58" i="33"/>
  <c r="Q58" i="33"/>
  <c r="K58" i="33"/>
  <c r="F58" i="33"/>
  <c r="BM57" i="33"/>
  <c r="BH57" i="33"/>
  <c r="BB57" i="33"/>
  <c r="AW57" i="33"/>
  <c r="AR57" i="33"/>
  <c r="AL57" i="33"/>
  <c r="AG57" i="33"/>
  <c r="AA57" i="33"/>
  <c r="V57" i="33"/>
  <c r="Q57" i="33"/>
  <c r="K57" i="33"/>
  <c r="F57" i="33"/>
  <c r="BM56" i="33"/>
  <c r="BM64" i="33" s="1"/>
  <c r="BH56" i="33"/>
  <c r="BH64" i="33" s="1"/>
  <c r="BB56" i="33"/>
  <c r="BB64" i="33" s="1"/>
  <c r="AW56" i="33"/>
  <c r="AW64" i="33" s="1"/>
  <c r="AR56" i="33"/>
  <c r="AL56" i="33"/>
  <c r="AL64" i="33" s="1"/>
  <c r="AG56" i="33"/>
  <c r="AG64" i="33" s="1"/>
  <c r="AA56" i="33"/>
  <c r="AA64" i="33" s="1"/>
  <c r="V56" i="33"/>
  <c r="Q56" i="33"/>
  <c r="Q64" i="33" s="1"/>
  <c r="K56" i="33"/>
  <c r="F56" i="33"/>
  <c r="F64" i="33" s="1"/>
  <c r="BM51" i="33"/>
  <c r="BL51" i="33"/>
  <c r="BK51" i="33"/>
  <c r="BJ51" i="33"/>
  <c r="BI51" i="33"/>
  <c r="BG51" i="33"/>
  <c r="BF51" i="33"/>
  <c r="BE51" i="33"/>
  <c r="BD51" i="33"/>
  <c r="BC51" i="33"/>
  <c r="BA51" i="33"/>
  <c r="AZ51" i="33"/>
  <c r="AY51" i="33"/>
  <c r="AX51" i="33"/>
  <c r="AV51" i="33"/>
  <c r="AU51" i="33"/>
  <c r="AT51" i="33"/>
  <c r="AS51" i="33"/>
  <c r="AR51" i="33"/>
  <c r="AQ51" i="33"/>
  <c r="AP51" i="33"/>
  <c r="AO51" i="33"/>
  <c r="AN51" i="33"/>
  <c r="AM51" i="33"/>
  <c r="AL51" i="33"/>
  <c r="AK51" i="33"/>
  <c r="AJ51" i="33"/>
  <c r="AI51" i="33"/>
  <c r="AH51" i="33"/>
  <c r="AG51" i="33"/>
  <c r="AF51" i="33"/>
  <c r="AE51" i="33"/>
  <c r="AD51" i="33"/>
  <c r="AC51" i="33"/>
  <c r="AB51" i="33"/>
  <c r="Z51" i="33"/>
  <c r="Y51" i="33"/>
  <c r="X51" i="33"/>
  <c r="W51" i="33"/>
  <c r="U51" i="33"/>
  <c r="T51" i="33"/>
  <c r="S51" i="33"/>
  <c r="R51" i="33"/>
  <c r="P51" i="33"/>
  <c r="O51" i="33"/>
  <c r="N51" i="33"/>
  <c r="M51" i="33"/>
  <c r="L51" i="33"/>
  <c r="K51" i="33"/>
  <c r="J51" i="33"/>
  <c r="I51" i="33"/>
  <c r="H51" i="33"/>
  <c r="G51" i="33"/>
  <c r="E51" i="33"/>
  <c r="D51" i="33"/>
  <c r="C51" i="33"/>
  <c r="B51" i="33"/>
  <c r="BM50" i="33"/>
  <c r="BH50" i="33"/>
  <c r="BB50" i="33"/>
  <c r="AW50" i="33"/>
  <c r="AR50" i="33"/>
  <c r="AL50" i="33"/>
  <c r="AG50" i="33"/>
  <c r="AA50" i="33"/>
  <c r="V50" i="33"/>
  <c r="Q50" i="33"/>
  <c r="K50" i="33"/>
  <c r="F50" i="33"/>
  <c r="BM49" i="33"/>
  <c r="BH49" i="33"/>
  <c r="BB49" i="33"/>
  <c r="AW49" i="33"/>
  <c r="AR49" i="33"/>
  <c r="AL49" i="33"/>
  <c r="AG49" i="33"/>
  <c r="AA49" i="33"/>
  <c r="V49" i="33"/>
  <c r="Q49" i="33"/>
  <c r="K49" i="33"/>
  <c r="F49" i="33"/>
  <c r="BM48" i="33"/>
  <c r="BH48" i="33"/>
  <c r="BB48" i="33"/>
  <c r="AW48" i="33"/>
  <c r="AR48" i="33"/>
  <c r="AL48" i="33"/>
  <c r="AG48" i="33"/>
  <c r="AA48" i="33"/>
  <c r="V48" i="33"/>
  <c r="Q48" i="33"/>
  <c r="K48" i="33"/>
  <c r="F48" i="33"/>
  <c r="BM47" i="33"/>
  <c r="BH47" i="33"/>
  <c r="BB47" i="33"/>
  <c r="AW47" i="33"/>
  <c r="AR47" i="33"/>
  <c r="AL47" i="33"/>
  <c r="AG47" i="33"/>
  <c r="AA47" i="33"/>
  <c r="V47" i="33"/>
  <c r="Q47" i="33"/>
  <c r="K47" i="33"/>
  <c r="F47" i="33"/>
  <c r="BM46" i="33"/>
  <c r="BH46" i="33"/>
  <c r="BB46" i="33"/>
  <c r="AW46" i="33"/>
  <c r="AR46" i="33"/>
  <c r="AL46" i="33"/>
  <c r="AG46" i="33"/>
  <c r="AA46" i="33"/>
  <c r="V46" i="33"/>
  <c r="Q46" i="33"/>
  <c r="K46" i="33"/>
  <c r="F46" i="33"/>
  <c r="BM45" i="33"/>
  <c r="BH45" i="33"/>
  <c r="BB45" i="33"/>
  <c r="AW45" i="33"/>
  <c r="AR45" i="33"/>
  <c r="AL45" i="33"/>
  <c r="AG45" i="33"/>
  <c r="AA45" i="33"/>
  <c r="V45" i="33"/>
  <c r="Q45" i="33"/>
  <c r="K45" i="33"/>
  <c r="F45" i="33"/>
  <c r="BM44" i="33"/>
  <c r="BH44" i="33"/>
  <c r="BB44" i="33"/>
  <c r="AW44" i="33"/>
  <c r="AR44" i="33"/>
  <c r="AL44" i="33"/>
  <c r="AG44" i="33"/>
  <c r="AA44" i="33"/>
  <c r="V44" i="33"/>
  <c r="Q44" i="33"/>
  <c r="K44" i="33"/>
  <c r="F44" i="33"/>
  <c r="BM43" i="33"/>
  <c r="BH43" i="33"/>
  <c r="BH51" i="33" s="1"/>
  <c r="BB43" i="33"/>
  <c r="BB51" i="33" s="1"/>
  <c r="AW43" i="33"/>
  <c r="AW51" i="33" s="1"/>
  <c r="AR43" i="33"/>
  <c r="AL43" i="33"/>
  <c r="AG43" i="33"/>
  <c r="AA43" i="33"/>
  <c r="AA51" i="33" s="1"/>
  <c r="V43" i="33"/>
  <c r="V51" i="33" s="1"/>
  <c r="Q43" i="33"/>
  <c r="Q51" i="33" s="1"/>
  <c r="K43" i="33"/>
  <c r="F43" i="33"/>
  <c r="F51" i="33" s="1"/>
  <c r="BL38" i="33"/>
  <c r="BK38" i="33"/>
  <c r="BJ38" i="33"/>
  <c r="BI38" i="33"/>
  <c r="BG38" i="33"/>
  <c r="BF38" i="33"/>
  <c r="BE38" i="33"/>
  <c r="BD38" i="33"/>
  <c r="BC38" i="33"/>
  <c r="BB38" i="33"/>
  <c r="BA38" i="33"/>
  <c r="AZ38" i="33"/>
  <c r="AY38" i="33"/>
  <c r="AX38" i="33"/>
  <c r="AW38" i="33"/>
  <c r="AV38" i="33"/>
  <c r="AU38" i="33"/>
  <c r="AT38" i="33"/>
  <c r="AS38" i="33"/>
  <c r="AR38" i="33"/>
  <c r="AQ38" i="33"/>
  <c r="AP38" i="33"/>
  <c r="AO38" i="33"/>
  <c r="AN38" i="33"/>
  <c r="AM38" i="33"/>
  <c r="AK38" i="33"/>
  <c r="AJ38" i="33"/>
  <c r="AI38" i="33"/>
  <c r="AH38" i="33"/>
  <c r="AG38" i="33"/>
  <c r="AF38" i="33"/>
  <c r="AE38" i="33"/>
  <c r="AD38" i="33"/>
  <c r="AC38" i="33"/>
  <c r="AB38" i="33"/>
  <c r="Z38" i="33"/>
  <c r="Y38" i="33"/>
  <c r="X38" i="33"/>
  <c r="W38" i="33"/>
  <c r="U38" i="33"/>
  <c r="T38" i="33"/>
  <c r="S38" i="33"/>
  <c r="R38" i="33"/>
  <c r="P38" i="33"/>
  <c r="O38" i="33"/>
  <c r="N38" i="33"/>
  <c r="M38" i="33"/>
  <c r="L38" i="33"/>
  <c r="J38" i="33"/>
  <c r="I38" i="33"/>
  <c r="H38" i="33"/>
  <c r="G38" i="33"/>
  <c r="F38" i="33"/>
  <c r="E38" i="33"/>
  <c r="D38" i="33"/>
  <c r="C38" i="33"/>
  <c r="B38" i="33"/>
  <c r="BM37" i="33"/>
  <c r="BH37" i="33"/>
  <c r="BB37" i="33"/>
  <c r="AW37" i="33"/>
  <c r="AR37" i="33"/>
  <c r="AL37" i="33"/>
  <c r="AG37" i="33"/>
  <c r="AA37" i="33"/>
  <c r="V37" i="33"/>
  <c r="Q37" i="33"/>
  <c r="K37" i="33"/>
  <c r="F37" i="33"/>
  <c r="BM36" i="33"/>
  <c r="BH36" i="33"/>
  <c r="BB36" i="33"/>
  <c r="AW36" i="33"/>
  <c r="AR36" i="33"/>
  <c r="AL36" i="33"/>
  <c r="AG36" i="33"/>
  <c r="AA36" i="33"/>
  <c r="V36" i="33"/>
  <c r="Q36" i="33"/>
  <c r="K36" i="33"/>
  <c r="F36" i="33"/>
  <c r="BM35" i="33"/>
  <c r="BH35" i="33"/>
  <c r="BB35" i="33"/>
  <c r="AW35" i="33"/>
  <c r="AR35" i="33"/>
  <c r="AL35" i="33"/>
  <c r="AG35" i="33"/>
  <c r="AA35" i="33"/>
  <c r="V35" i="33"/>
  <c r="Q35" i="33"/>
  <c r="K35" i="33"/>
  <c r="F35" i="33"/>
  <c r="BM34" i="33"/>
  <c r="BH34" i="33"/>
  <c r="BB34" i="33"/>
  <c r="AW34" i="33"/>
  <c r="AR34" i="33"/>
  <c r="AL34" i="33"/>
  <c r="AG34" i="33"/>
  <c r="AA34" i="33"/>
  <c r="V34" i="33"/>
  <c r="Q34" i="33"/>
  <c r="K34" i="33"/>
  <c r="F34" i="33"/>
  <c r="BM33" i="33"/>
  <c r="BH33" i="33"/>
  <c r="BB33" i="33"/>
  <c r="AW33" i="33"/>
  <c r="AR33" i="33"/>
  <c r="AL33" i="33"/>
  <c r="AG33" i="33"/>
  <c r="AA33" i="33"/>
  <c r="V33" i="33"/>
  <c r="Q33" i="33"/>
  <c r="K33" i="33"/>
  <c r="F33" i="33"/>
  <c r="BM32" i="33"/>
  <c r="BH32" i="33"/>
  <c r="BB32" i="33"/>
  <c r="AW32" i="33"/>
  <c r="AR32" i="33"/>
  <c r="AL32" i="33"/>
  <c r="AG32" i="33"/>
  <c r="AA32" i="33"/>
  <c r="V32" i="33"/>
  <c r="Q32" i="33"/>
  <c r="K32" i="33"/>
  <c r="F32" i="33"/>
  <c r="BM31" i="33"/>
  <c r="BH31" i="33"/>
  <c r="BB31" i="33"/>
  <c r="AW31" i="33"/>
  <c r="AR31" i="33"/>
  <c r="AL31" i="33"/>
  <c r="AG31" i="33"/>
  <c r="AA31" i="33"/>
  <c r="V31" i="33"/>
  <c r="Q31" i="33"/>
  <c r="K31" i="33"/>
  <c r="F31" i="33"/>
  <c r="BM30" i="33"/>
  <c r="BM38" i="33" s="1"/>
  <c r="BH30" i="33"/>
  <c r="BH38" i="33" s="1"/>
  <c r="BB30" i="33"/>
  <c r="AW30" i="33"/>
  <c r="AR30" i="33"/>
  <c r="AL30" i="33"/>
  <c r="AL38" i="33" s="1"/>
  <c r="AG30" i="33"/>
  <c r="AA30" i="33"/>
  <c r="AA38" i="33" s="1"/>
  <c r="V30" i="33"/>
  <c r="V38" i="33" s="1"/>
  <c r="Q30" i="33"/>
  <c r="Q38" i="33" s="1"/>
  <c r="K30" i="33"/>
  <c r="K38" i="33" s="1"/>
  <c r="F30" i="33"/>
  <c r="BL25" i="33"/>
  <c r="BK25" i="33"/>
  <c r="BJ25" i="33"/>
  <c r="BI25" i="33"/>
  <c r="BG25" i="33"/>
  <c r="BF25" i="33"/>
  <c r="BE25" i="33"/>
  <c r="BD25" i="33"/>
  <c r="BC25" i="33"/>
  <c r="BA25" i="33"/>
  <c r="AZ25" i="33"/>
  <c r="AY25" i="33"/>
  <c r="AX25" i="33"/>
  <c r="AV25" i="33"/>
  <c r="AU25" i="33"/>
  <c r="AT25" i="33"/>
  <c r="AS25" i="33"/>
  <c r="AR25" i="33"/>
  <c r="AQ25" i="33"/>
  <c r="AP25" i="33"/>
  <c r="AO25" i="33"/>
  <c r="AN25" i="33"/>
  <c r="AM25" i="33"/>
  <c r="AK25" i="33"/>
  <c r="AJ25" i="33"/>
  <c r="AI25" i="33"/>
  <c r="AH25" i="33"/>
  <c r="AF25" i="33"/>
  <c r="AE25" i="33"/>
  <c r="AD25" i="33"/>
  <c r="AC25" i="33"/>
  <c r="AB25" i="33"/>
  <c r="Z25" i="33"/>
  <c r="Y25" i="33"/>
  <c r="X25" i="33"/>
  <c r="W25" i="33"/>
  <c r="V25" i="33"/>
  <c r="U25" i="33"/>
  <c r="T25" i="33"/>
  <c r="S25" i="33"/>
  <c r="R25" i="33"/>
  <c r="P25" i="33"/>
  <c r="O25" i="33"/>
  <c r="N25" i="33"/>
  <c r="M25" i="33"/>
  <c r="L25" i="33"/>
  <c r="J25" i="33"/>
  <c r="I25" i="33"/>
  <c r="H25" i="33"/>
  <c r="G25" i="33"/>
  <c r="E25" i="33"/>
  <c r="D25" i="33"/>
  <c r="C25" i="33"/>
  <c r="B25" i="33"/>
  <c r="BM24" i="33"/>
  <c r="BH24" i="33"/>
  <c r="BB24" i="33"/>
  <c r="AW24" i="33"/>
  <c r="AR24" i="33"/>
  <c r="AL24" i="33"/>
  <c r="AG24" i="33"/>
  <c r="AA24" i="33"/>
  <c r="V24" i="33"/>
  <c r="Q24" i="33"/>
  <c r="K24" i="33"/>
  <c r="F24" i="33"/>
  <c r="BM23" i="33"/>
  <c r="BH23" i="33"/>
  <c r="BB23" i="33"/>
  <c r="AW23" i="33"/>
  <c r="AR23" i="33"/>
  <c r="AL23" i="33"/>
  <c r="AG23" i="33"/>
  <c r="AA23" i="33"/>
  <c r="V23" i="33"/>
  <c r="Q23" i="33"/>
  <c r="K23" i="33"/>
  <c r="F23" i="33"/>
  <c r="BM22" i="33"/>
  <c r="BH22" i="33"/>
  <c r="BB22" i="33"/>
  <c r="AW22" i="33"/>
  <c r="AR22" i="33"/>
  <c r="AL22" i="33"/>
  <c r="AG22" i="33"/>
  <c r="AA22" i="33"/>
  <c r="V22" i="33"/>
  <c r="Q22" i="33"/>
  <c r="K22" i="33"/>
  <c r="F22" i="33"/>
  <c r="BM21" i="33"/>
  <c r="BH21" i="33"/>
  <c r="BB21" i="33"/>
  <c r="AW21" i="33"/>
  <c r="AR21" i="33"/>
  <c r="AL21" i="33"/>
  <c r="AG21" i="33"/>
  <c r="AA21" i="33"/>
  <c r="V21" i="33"/>
  <c r="Q21" i="33"/>
  <c r="K21" i="33"/>
  <c r="F21" i="33"/>
  <c r="BM20" i="33"/>
  <c r="BH20" i="33"/>
  <c r="BB20" i="33"/>
  <c r="AW20" i="33"/>
  <c r="AR20" i="33"/>
  <c r="AL20" i="33"/>
  <c r="AG20" i="33"/>
  <c r="AA20" i="33"/>
  <c r="V20" i="33"/>
  <c r="Q20" i="33"/>
  <c r="K20" i="33"/>
  <c r="F20" i="33"/>
  <c r="BM19" i="33"/>
  <c r="BH19" i="33"/>
  <c r="BB19" i="33"/>
  <c r="AW19" i="33"/>
  <c r="AR19" i="33"/>
  <c r="AL19" i="33"/>
  <c r="AG19" i="33"/>
  <c r="AA19" i="33"/>
  <c r="V19" i="33"/>
  <c r="Q19" i="33"/>
  <c r="K19" i="33"/>
  <c r="F19" i="33"/>
  <c r="BM18" i="33"/>
  <c r="BH18" i="33"/>
  <c r="BB18" i="33"/>
  <c r="AW18" i="33"/>
  <c r="AR18" i="33"/>
  <c r="AL18" i="33"/>
  <c r="AG18" i="33"/>
  <c r="AA18" i="33"/>
  <c r="V18" i="33"/>
  <c r="Q18" i="33"/>
  <c r="K18" i="33"/>
  <c r="F18" i="33"/>
  <c r="BM17" i="33"/>
  <c r="BM25" i="33" s="1"/>
  <c r="BH17" i="33"/>
  <c r="BH25" i="33" s="1"/>
  <c r="BB17" i="33"/>
  <c r="BB25" i="33" s="1"/>
  <c r="AW17" i="33"/>
  <c r="AW25" i="33" s="1"/>
  <c r="AR17" i="33"/>
  <c r="AL17" i="33"/>
  <c r="AL25" i="33" s="1"/>
  <c r="AG17" i="33"/>
  <c r="AG25" i="33" s="1"/>
  <c r="AA17" i="33"/>
  <c r="AA25" i="33" s="1"/>
  <c r="V17" i="33"/>
  <c r="Q17" i="33"/>
  <c r="Q25" i="33" s="1"/>
  <c r="K17" i="33"/>
  <c r="K25" i="33" s="1"/>
  <c r="F17" i="33"/>
  <c r="F25" i="33" s="1"/>
  <c r="BM12" i="33"/>
  <c r="BL12" i="33"/>
  <c r="BK12" i="33"/>
  <c r="BJ12" i="33"/>
  <c r="BI12" i="33"/>
  <c r="BG12" i="33"/>
  <c r="BF12" i="33"/>
  <c r="BE12" i="33"/>
  <c r="BD12" i="33"/>
  <c r="BC12" i="33"/>
  <c r="BA12" i="33"/>
  <c r="AZ12" i="33"/>
  <c r="AY12" i="33"/>
  <c r="AX12" i="33"/>
  <c r="AV12" i="33"/>
  <c r="AU12" i="33"/>
  <c r="AT12" i="33"/>
  <c r="AS12" i="33"/>
  <c r="AR12" i="33"/>
  <c r="AQ12" i="33"/>
  <c r="AP12" i="33"/>
  <c r="AO12" i="33"/>
  <c r="AN12" i="33"/>
  <c r="AM12" i="33"/>
  <c r="AL12" i="33"/>
  <c r="AK12" i="33"/>
  <c r="AJ12" i="33"/>
  <c r="AI12" i="33"/>
  <c r="AH12" i="33"/>
  <c r="AF12" i="33"/>
  <c r="AE12" i="33"/>
  <c r="AD12" i="33"/>
  <c r="AC12" i="33"/>
  <c r="AB12" i="33"/>
  <c r="AA12" i="33"/>
  <c r="Z12" i="33"/>
  <c r="Y12" i="33"/>
  <c r="X12" i="33"/>
  <c r="W12" i="33"/>
  <c r="U12" i="33"/>
  <c r="T12" i="33"/>
  <c r="S12" i="33"/>
  <c r="R12" i="33"/>
  <c r="P12" i="33"/>
  <c r="O12" i="33"/>
  <c r="N12" i="33"/>
  <c r="M12" i="33"/>
  <c r="L12" i="33"/>
  <c r="J12" i="33"/>
  <c r="I12" i="33"/>
  <c r="H12" i="33"/>
  <c r="G12" i="33"/>
  <c r="E12" i="33"/>
  <c r="D12" i="33"/>
  <c r="C12" i="33"/>
  <c r="B12" i="33"/>
  <c r="BM11" i="33"/>
  <c r="BH11" i="33"/>
  <c r="BB11" i="33"/>
  <c r="AW11" i="33"/>
  <c r="AR11" i="33"/>
  <c r="AL11" i="33"/>
  <c r="AG11" i="33"/>
  <c r="AA11" i="33"/>
  <c r="V11" i="33"/>
  <c r="Q11" i="33"/>
  <c r="K11" i="33"/>
  <c r="F11" i="33"/>
  <c r="BM10" i="33"/>
  <c r="BH10" i="33"/>
  <c r="BB10" i="33"/>
  <c r="AW10" i="33"/>
  <c r="AR10" i="33"/>
  <c r="AL10" i="33"/>
  <c r="AG10" i="33"/>
  <c r="AA10" i="33"/>
  <c r="V10" i="33"/>
  <c r="Q10" i="33"/>
  <c r="K10" i="33"/>
  <c r="F10" i="33"/>
  <c r="BM9" i="33"/>
  <c r="BH9" i="33"/>
  <c r="BB9" i="33"/>
  <c r="AW9" i="33"/>
  <c r="AR9" i="33"/>
  <c r="AL9" i="33"/>
  <c r="AG9" i="33"/>
  <c r="AA9" i="33"/>
  <c r="V9" i="33"/>
  <c r="Q9" i="33"/>
  <c r="K9" i="33"/>
  <c r="F9" i="33"/>
  <c r="BM8" i="33"/>
  <c r="BH8" i="33"/>
  <c r="BB8" i="33"/>
  <c r="AW8" i="33"/>
  <c r="AR8" i="33"/>
  <c r="AL8" i="33"/>
  <c r="AG8" i="33"/>
  <c r="AA8" i="33"/>
  <c r="V8" i="33"/>
  <c r="Q8" i="33"/>
  <c r="K8" i="33"/>
  <c r="F8" i="33"/>
  <c r="BM7" i="33"/>
  <c r="BH7" i="33"/>
  <c r="BB7" i="33"/>
  <c r="AW7" i="33"/>
  <c r="AR7" i="33"/>
  <c r="AL7" i="33"/>
  <c r="AG7" i="33"/>
  <c r="AA7" i="33"/>
  <c r="V7" i="33"/>
  <c r="Q7" i="33"/>
  <c r="K7" i="33"/>
  <c r="F7" i="33"/>
  <c r="BM6" i="33"/>
  <c r="BH6" i="33"/>
  <c r="BB6" i="33"/>
  <c r="AW6" i="33"/>
  <c r="AR6" i="33"/>
  <c r="AL6" i="33"/>
  <c r="AG6" i="33"/>
  <c r="AA6" i="33"/>
  <c r="V6" i="33"/>
  <c r="Q6" i="33"/>
  <c r="K6" i="33"/>
  <c r="F6" i="33"/>
  <c r="BM5" i="33"/>
  <c r="BH5" i="33"/>
  <c r="BB5" i="33"/>
  <c r="AW5" i="33"/>
  <c r="AR5" i="33"/>
  <c r="AL5" i="33"/>
  <c r="AG5" i="33"/>
  <c r="AA5" i="33"/>
  <c r="V5" i="33"/>
  <c r="Q5" i="33"/>
  <c r="K5" i="33"/>
  <c r="F5" i="33"/>
  <c r="BM4" i="33"/>
  <c r="BH4" i="33"/>
  <c r="BH12" i="33" s="1"/>
  <c r="BB4" i="33"/>
  <c r="BB12" i="33" s="1"/>
  <c r="AW4" i="33"/>
  <c r="AW12" i="33" s="1"/>
  <c r="AR4" i="33"/>
  <c r="AL4" i="33"/>
  <c r="AG4" i="33"/>
  <c r="AG12" i="33" s="1"/>
  <c r="AA4" i="33"/>
  <c r="V4" i="33"/>
  <c r="V12" i="33" s="1"/>
  <c r="Q4" i="33"/>
  <c r="Q12" i="33" s="1"/>
  <c r="K4" i="33"/>
  <c r="K12" i="33" s="1"/>
  <c r="F4" i="33"/>
  <c r="F12" i="33" s="1"/>
  <c r="AB122" i="32"/>
  <c r="AB121" i="32"/>
  <c r="AB120" i="32"/>
  <c r="AB119" i="32"/>
  <c r="AB118" i="32"/>
  <c r="AB117" i="32"/>
  <c r="AB116" i="32"/>
  <c r="T116" i="32"/>
  <c r="AB115" i="32"/>
  <c r="T115" i="32"/>
  <c r="AB114" i="32"/>
  <c r="T114" i="32"/>
  <c r="AB111" i="32"/>
  <c r="AB110" i="32"/>
  <c r="AB109" i="32"/>
  <c r="AB108" i="32"/>
  <c r="AB107" i="32"/>
  <c r="R107" i="32"/>
  <c r="AB106" i="32"/>
  <c r="R106" i="32"/>
  <c r="AB105" i="32"/>
  <c r="R105" i="32"/>
  <c r="AB100" i="32"/>
  <c r="AB99" i="32"/>
  <c r="AB98" i="32"/>
  <c r="AB95" i="32"/>
  <c r="AB94" i="32"/>
  <c r="AB93" i="32"/>
  <c r="AB92" i="32"/>
  <c r="AB91" i="32"/>
  <c r="AB90" i="32"/>
  <c r="AB89" i="32"/>
  <c r="AB88" i="32"/>
  <c r="AB85" i="32"/>
  <c r="AB84" i="32"/>
  <c r="AB83" i="32"/>
  <c r="AB82" i="32"/>
  <c r="AB81" i="32"/>
  <c r="AB78" i="32"/>
  <c r="AB77" i="32"/>
  <c r="AB76" i="32"/>
  <c r="AB75" i="32"/>
  <c r="AB74" i="32"/>
  <c r="AB73" i="32"/>
  <c r="AB72" i="32"/>
  <c r="AB71" i="32"/>
  <c r="AB70" i="32"/>
  <c r="AB69" i="32"/>
  <c r="AB68" i="32"/>
  <c r="T68" i="32"/>
  <c r="I68" i="32"/>
  <c r="AB67" i="32"/>
  <c r="AA67" i="32"/>
  <c r="AB64" i="32"/>
  <c r="AB63" i="32"/>
  <c r="AB62" i="32"/>
  <c r="AB61" i="32"/>
  <c r="AB60" i="32"/>
  <c r="AB59" i="32"/>
  <c r="AB58" i="32"/>
  <c r="AB57" i="32"/>
  <c r="AB56" i="32"/>
  <c r="AB55" i="32"/>
  <c r="AB52" i="32"/>
  <c r="AB51" i="32"/>
  <c r="AB50" i="32"/>
  <c r="AB47" i="32"/>
  <c r="AB46" i="32"/>
  <c r="AB45" i="32"/>
  <c r="AB44" i="32"/>
  <c r="AB43" i="32"/>
  <c r="AB42" i="32"/>
  <c r="AB41" i="32"/>
  <c r="AB38" i="32"/>
  <c r="AB37" i="32"/>
  <c r="AB34" i="32"/>
  <c r="AB33" i="32"/>
  <c r="AB32" i="32"/>
  <c r="AB29" i="32"/>
  <c r="AB28" i="32"/>
  <c r="AB27" i="32"/>
  <c r="AB24" i="32"/>
  <c r="AB23" i="32"/>
  <c r="AB22" i="32"/>
  <c r="AB19" i="32"/>
  <c r="AB18" i="32"/>
  <c r="AB17" i="32"/>
  <c r="I17" i="32"/>
  <c r="AB16" i="32"/>
  <c r="I16" i="32"/>
  <c r="AB11" i="32"/>
  <c r="Z11" i="32"/>
  <c r="Q11" i="32"/>
  <c r="I11" i="32"/>
  <c r="AB10" i="32"/>
  <c r="Z10" i="32"/>
  <c r="T10" i="32"/>
  <c r="Q10" i="32"/>
  <c r="I10" i="32"/>
  <c r="AB9" i="32"/>
  <c r="Z9" i="32"/>
  <c r="Q9" i="32"/>
  <c r="I9" i="32"/>
  <c r="AB8" i="32"/>
  <c r="Z8" i="32"/>
  <c r="T8" i="32"/>
  <c r="Q8" i="32"/>
  <c r="N8" i="32"/>
  <c r="I8" i="32"/>
  <c r="AG125" i="31"/>
  <c r="AG122" i="31"/>
  <c r="AG121" i="31"/>
  <c r="AG120" i="31"/>
  <c r="AG119" i="31"/>
  <c r="AG118" i="31"/>
  <c r="AG117" i="31"/>
  <c r="AG116" i="31"/>
  <c r="T116" i="31"/>
  <c r="AG115" i="31"/>
  <c r="T115" i="31"/>
  <c r="AG114" i="31"/>
  <c r="T114" i="31"/>
  <c r="AG111" i="31"/>
  <c r="AG110" i="31"/>
  <c r="AG109" i="31"/>
  <c r="AG108" i="31"/>
  <c r="AG107" i="31"/>
  <c r="R107" i="31"/>
  <c r="AG106" i="31"/>
  <c r="R106" i="31"/>
  <c r="AG105" i="31"/>
  <c r="R105" i="31"/>
  <c r="AG100" i="31"/>
  <c r="AG99" i="31"/>
  <c r="AG98" i="31"/>
  <c r="AG95" i="31"/>
  <c r="AG94" i="31"/>
  <c r="AG93" i="31"/>
  <c r="AG92" i="31"/>
  <c r="AG91" i="31"/>
  <c r="AG90" i="31"/>
  <c r="AG89" i="31"/>
  <c r="AG88" i="31"/>
  <c r="AG85" i="31"/>
  <c r="AG84" i="31"/>
  <c r="AG83" i="31"/>
  <c r="AG82" i="31"/>
  <c r="AG81" i="31"/>
  <c r="AG78" i="31"/>
  <c r="AG77" i="31"/>
  <c r="AG76" i="31"/>
  <c r="AG75" i="31"/>
  <c r="AG74" i="31"/>
  <c r="AG73" i="31"/>
  <c r="AG72" i="31"/>
  <c r="AG71" i="31"/>
  <c r="AG70" i="31"/>
  <c r="AG69" i="31"/>
  <c r="AG68" i="31"/>
  <c r="T68" i="31"/>
  <c r="I68" i="31"/>
  <c r="AG67" i="31"/>
  <c r="AA67" i="31"/>
  <c r="AG64" i="31"/>
  <c r="AG63" i="31"/>
  <c r="AG62" i="31"/>
  <c r="AG61" i="31"/>
  <c r="AG60" i="31"/>
  <c r="AG59" i="31"/>
  <c r="AG58" i="31"/>
  <c r="AG57" i="31"/>
  <c r="AG56" i="31"/>
  <c r="AG55" i="31"/>
  <c r="AG52" i="31"/>
  <c r="AG51" i="31"/>
  <c r="AG50" i="31"/>
  <c r="AG47" i="31"/>
  <c r="AG46" i="31"/>
  <c r="AG45" i="31"/>
  <c r="AG44" i="31"/>
  <c r="AG43" i="31"/>
  <c r="AG42" i="31"/>
  <c r="AG41" i="31"/>
  <c r="AG38" i="31"/>
  <c r="AG37" i="31"/>
  <c r="AG34" i="31"/>
  <c r="AG33" i="31"/>
  <c r="AG32" i="31"/>
  <c r="AG29" i="31"/>
  <c r="AG28" i="31"/>
  <c r="AG27" i="31"/>
  <c r="AG24" i="31"/>
  <c r="AG23" i="31"/>
  <c r="AG22" i="31"/>
  <c r="AG19" i="31"/>
  <c r="AG18" i="31"/>
  <c r="AG17" i="31"/>
  <c r="I17" i="31"/>
  <c r="AG16" i="31"/>
  <c r="I16" i="31"/>
  <c r="AG11" i="31"/>
  <c r="Z11" i="31"/>
  <c r="Q11" i="31"/>
  <c r="I11" i="31"/>
  <c r="AG10" i="31"/>
  <c r="Z10" i="31"/>
  <c r="T10" i="31"/>
  <c r="Q10" i="31"/>
  <c r="I10" i="31"/>
  <c r="AG9" i="31"/>
  <c r="Z9" i="31"/>
  <c r="Q9" i="31"/>
  <c r="I9" i="31"/>
  <c r="AG8" i="31"/>
  <c r="Z8" i="31"/>
  <c r="T8" i="31"/>
  <c r="Q8" i="31"/>
  <c r="N8" i="31"/>
  <c r="I8" i="31"/>
  <c r="AB132" i="30"/>
  <c r="Q132" i="30"/>
  <c r="AB131" i="30"/>
  <c r="AB130" i="30"/>
  <c r="AB129" i="30"/>
  <c r="AB128" i="30"/>
  <c r="Q128" i="30"/>
  <c r="AB127" i="30"/>
  <c r="Q127" i="30"/>
  <c r="AB126" i="30"/>
  <c r="T126" i="30"/>
  <c r="AB125" i="30"/>
  <c r="T125" i="30"/>
  <c r="AB124" i="30"/>
  <c r="T124" i="30"/>
  <c r="AB121" i="30"/>
  <c r="Q121" i="30"/>
  <c r="AB120" i="30"/>
  <c r="Q120" i="30"/>
  <c r="AB119" i="30"/>
  <c r="AB118" i="30"/>
  <c r="Q118" i="30"/>
  <c r="AB117" i="30"/>
  <c r="Q117" i="30"/>
  <c r="AB116" i="30"/>
  <c r="Q116" i="30"/>
  <c r="AB115" i="30"/>
  <c r="Q115" i="30"/>
  <c r="AB110" i="30"/>
  <c r="AB109" i="30"/>
  <c r="AB108" i="30"/>
  <c r="AB107" i="30"/>
  <c r="AB106" i="30"/>
  <c r="AB105" i="30"/>
  <c r="AB104" i="30"/>
  <c r="AB103" i="30"/>
  <c r="AB100" i="30"/>
  <c r="AB99" i="30"/>
  <c r="AB98" i="30"/>
  <c r="AB97" i="30"/>
  <c r="AB96" i="30"/>
  <c r="AB93" i="30"/>
  <c r="AB92" i="30"/>
  <c r="AB91" i="30"/>
  <c r="AB88" i="30"/>
  <c r="AB87" i="30"/>
  <c r="AB86" i="30"/>
  <c r="AB83" i="30"/>
  <c r="AB82" i="30"/>
  <c r="AB81" i="30"/>
  <c r="AB80" i="30"/>
  <c r="AB79" i="30"/>
  <c r="AB78" i="30"/>
  <c r="L78" i="30"/>
  <c r="AB77" i="30"/>
  <c r="AB76" i="30"/>
  <c r="AB75" i="30"/>
  <c r="AB74" i="30"/>
  <c r="G74" i="30"/>
  <c r="AB73" i="30"/>
  <c r="Q73" i="30"/>
  <c r="G73" i="30"/>
  <c r="AB72" i="30"/>
  <c r="AA72" i="30"/>
  <c r="T72" i="30"/>
  <c r="N72" i="30"/>
  <c r="L72" i="30"/>
  <c r="G72" i="30"/>
  <c r="AB69" i="30"/>
  <c r="AB68" i="30"/>
  <c r="AB67" i="30"/>
  <c r="AB66" i="30"/>
  <c r="AB65" i="30"/>
  <c r="AB64" i="30"/>
  <c r="AB63" i="30"/>
  <c r="AB62" i="30"/>
  <c r="AB61" i="30"/>
  <c r="AB60" i="30"/>
  <c r="AB57" i="30"/>
  <c r="AB56" i="30"/>
  <c r="AB55" i="30"/>
  <c r="AB52" i="30"/>
  <c r="AB51" i="30"/>
  <c r="AB50" i="30"/>
  <c r="AB49" i="30"/>
  <c r="AB48" i="30"/>
  <c r="AB47" i="30"/>
  <c r="AB46" i="30"/>
  <c r="AB43" i="30"/>
  <c r="AB42" i="30"/>
  <c r="AB39" i="30"/>
  <c r="AB38" i="30"/>
  <c r="Q38" i="30"/>
  <c r="AB37" i="30"/>
  <c r="AB34" i="30"/>
  <c r="AB33" i="30"/>
  <c r="AB32" i="30"/>
  <c r="Q32" i="30"/>
  <c r="AB29" i="30"/>
  <c r="AB28" i="30"/>
  <c r="AB27" i="30"/>
  <c r="AB24" i="30"/>
  <c r="AB23" i="30"/>
  <c r="AB22" i="30"/>
  <c r="AB19" i="30"/>
  <c r="Z18" i="30"/>
  <c r="AB18" i="30" s="1"/>
  <c r="AB17" i="30"/>
  <c r="Z17" i="30"/>
  <c r="AA16" i="30"/>
  <c r="Z16" i="30"/>
  <c r="AB16" i="30" s="1"/>
  <c r="K16" i="30"/>
  <c r="AB13" i="30"/>
  <c r="Q13" i="30"/>
  <c r="K13" i="30"/>
  <c r="F13" i="30"/>
  <c r="Z12" i="30"/>
  <c r="AB12" i="30" s="1"/>
  <c r="T12" i="30"/>
  <c r="N12" i="30"/>
  <c r="M12" i="30"/>
  <c r="K12" i="30"/>
  <c r="AB11" i="30"/>
  <c r="Q11" i="30"/>
  <c r="N11" i="30"/>
  <c r="K11" i="30"/>
  <c r="G11" i="30"/>
  <c r="AB10" i="30"/>
  <c r="U10" i="30"/>
  <c r="T10" i="30"/>
  <c r="S10" i="30"/>
  <c r="R10" i="30"/>
  <c r="Q10" i="30"/>
  <c r="N10" i="30"/>
  <c r="K10" i="30"/>
  <c r="G10" i="30"/>
  <c r="F10" i="30"/>
  <c r="AB9" i="30"/>
  <c r="U9" i="30"/>
  <c r="S9" i="30"/>
  <c r="R9" i="30"/>
  <c r="Q9" i="30"/>
  <c r="M9" i="30"/>
  <c r="L9" i="30"/>
  <c r="K9" i="30"/>
  <c r="G9" i="30"/>
  <c r="F9" i="30"/>
  <c r="AB8" i="30"/>
  <c r="Z8" i="30"/>
  <c r="U8" i="30"/>
  <c r="T8" i="30"/>
  <c r="R8" i="30"/>
  <c r="N8" i="30"/>
  <c r="M8" i="30"/>
  <c r="L8" i="30"/>
  <c r="K8" i="30"/>
  <c r="G8" i="30"/>
  <c r="F8" i="30"/>
  <c r="AG132" i="29"/>
  <c r="Q132" i="29"/>
  <c r="AG131" i="29"/>
  <c r="AG130" i="29"/>
  <c r="AG129" i="29"/>
  <c r="AG128" i="29"/>
  <c r="Q128" i="29"/>
  <c r="AG127" i="29"/>
  <c r="Q127" i="29"/>
  <c r="AG126" i="29"/>
  <c r="T126" i="29"/>
  <c r="AG125" i="29"/>
  <c r="T125" i="29"/>
  <c r="AG124" i="29"/>
  <c r="T124" i="29"/>
  <c r="AG121" i="29"/>
  <c r="Q121" i="29"/>
  <c r="AG120" i="29"/>
  <c r="Q120" i="29"/>
  <c r="AG119" i="29"/>
  <c r="AG118" i="29"/>
  <c r="Q118" i="29"/>
  <c r="AG117" i="29"/>
  <c r="Q117" i="29"/>
  <c r="AG116" i="29"/>
  <c r="Q116" i="29"/>
  <c r="AG115" i="29"/>
  <c r="Q115" i="29"/>
  <c r="AG110" i="29"/>
  <c r="AG109" i="29"/>
  <c r="AG108" i="29"/>
  <c r="AG107" i="29"/>
  <c r="AG106" i="29"/>
  <c r="AG105" i="29"/>
  <c r="AG104" i="29"/>
  <c r="AG103" i="29"/>
  <c r="AG100" i="29"/>
  <c r="AG99" i="29"/>
  <c r="AG98" i="29"/>
  <c r="AG97" i="29"/>
  <c r="AG96" i="29"/>
  <c r="AG93" i="29"/>
  <c r="AG92" i="29"/>
  <c r="AG91" i="29"/>
  <c r="AG88" i="29"/>
  <c r="AG87" i="29"/>
  <c r="AG86" i="29"/>
  <c r="AG83" i="29"/>
  <c r="AG82" i="29"/>
  <c r="AG81" i="29"/>
  <c r="AG80" i="29"/>
  <c r="AG79" i="29"/>
  <c r="AG78" i="29"/>
  <c r="L78" i="29"/>
  <c r="AG77" i="29"/>
  <c r="AG76" i="29"/>
  <c r="AG75" i="29"/>
  <c r="AG74" i="29"/>
  <c r="G74" i="29"/>
  <c r="AG73" i="29"/>
  <c r="Q73" i="29"/>
  <c r="G73" i="29"/>
  <c r="AG72" i="29"/>
  <c r="AA72" i="29"/>
  <c r="T72" i="29"/>
  <c r="N72" i="29"/>
  <c r="L72" i="29"/>
  <c r="G72" i="29"/>
  <c r="AG69" i="29"/>
  <c r="AG68" i="29"/>
  <c r="AG67" i="29"/>
  <c r="AG66" i="29"/>
  <c r="AG65" i="29"/>
  <c r="AG64" i="29"/>
  <c r="AG63" i="29"/>
  <c r="AG62" i="29"/>
  <c r="AG61" i="29"/>
  <c r="AG60" i="29"/>
  <c r="AG57" i="29"/>
  <c r="AG56" i="29"/>
  <c r="AG55" i="29"/>
  <c r="AG52" i="29"/>
  <c r="AG51" i="29"/>
  <c r="AG50" i="29"/>
  <c r="AG49" i="29"/>
  <c r="AG48" i="29"/>
  <c r="AG47" i="29"/>
  <c r="AG46" i="29"/>
  <c r="AG43" i="29"/>
  <c r="AG42" i="29"/>
  <c r="AG39" i="29"/>
  <c r="AG38" i="29"/>
  <c r="Q38" i="29"/>
  <c r="AG37" i="29"/>
  <c r="AG34" i="29"/>
  <c r="AG33" i="29"/>
  <c r="AG32" i="29"/>
  <c r="Q32" i="29"/>
  <c r="AG29" i="29"/>
  <c r="AG28" i="29"/>
  <c r="AG27" i="29"/>
  <c r="AG24" i="29"/>
  <c r="AG23" i="29"/>
  <c r="AG22" i="29"/>
  <c r="AG19" i="29"/>
  <c r="AG18" i="29"/>
  <c r="Z18" i="29"/>
  <c r="AG17" i="29"/>
  <c r="Z17" i="29"/>
  <c r="AG16" i="29"/>
  <c r="AA16" i="29"/>
  <c r="Z16" i="29"/>
  <c r="K16" i="29"/>
  <c r="AG13" i="29"/>
  <c r="Q13" i="29"/>
  <c r="K13" i="29"/>
  <c r="F13" i="29"/>
  <c r="AG12" i="29"/>
  <c r="Z12" i="29"/>
  <c r="T12" i="29"/>
  <c r="N12" i="29"/>
  <c r="M12" i="29"/>
  <c r="K12" i="29"/>
  <c r="AG11" i="29"/>
  <c r="Q11" i="29"/>
  <c r="N11" i="29"/>
  <c r="K11" i="29"/>
  <c r="G11" i="29"/>
  <c r="AG10" i="29"/>
  <c r="U10" i="29"/>
  <c r="T10" i="29"/>
  <c r="S10" i="29"/>
  <c r="R10" i="29"/>
  <c r="Q10" i="29"/>
  <c r="N10" i="29"/>
  <c r="K10" i="29"/>
  <c r="G10" i="29"/>
  <c r="F10" i="29"/>
  <c r="AG9" i="29"/>
  <c r="U9" i="29"/>
  <c r="S9" i="29"/>
  <c r="R9" i="29"/>
  <c r="Q9" i="29"/>
  <c r="M9" i="29"/>
  <c r="L9" i="29"/>
  <c r="K9" i="29"/>
  <c r="G9" i="29"/>
  <c r="F9" i="29"/>
  <c r="AG8" i="29"/>
  <c r="Z8" i="29"/>
  <c r="U8" i="29"/>
  <c r="T8" i="29"/>
  <c r="R8" i="29"/>
  <c r="N8" i="29"/>
  <c r="M8" i="29"/>
  <c r="L8" i="29"/>
  <c r="K8" i="29"/>
  <c r="G8" i="29"/>
  <c r="F8" i="29"/>
  <c r="AA118" i="28"/>
  <c r="S118" i="28"/>
  <c r="AA117" i="28"/>
  <c r="S117" i="28"/>
  <c r="AA116" i="28"/>
  <c r="P116" i="28"/>
  <c r="AA115" i="28"/>
  <c r="S115" i="28"/>
  <c r="AA114" i="28"/>
  <c r="S114" i="28"/>
  <c r="AA113" i="28"/>
  <c r="S113" i="28"/>
  <c r="AA112" i="28"/>
  <c r="S112" i="28"/>
  <c r="AA111" i="28"/>
  <c r="S111" i="28"/>
  <c r="AA110" i="28"/>
  <c r="S110" i="28"/>
  <c r="AA107" i="28"/>
  <c r="AA106" i="28"/>
  <c r="P106" i="28"/>
  <c r="AA105" i="28"/>
  <c r="P105" i="28"/>
  <c r="AA104" i="28"/>
  <c r="P104" i="28"/>
  <c r="AA103" i="28"/>
  <c r="P103" i="28"/>
  <c r="AA102" i="28"/>
  <c r="P102" i="28"/>
  <c r="AA101" i="28"/>
  <c r="P101" i="28"/>
  <c r="AA96" i="28"/>
  <c r="AA95" i="28"/>
  <c r="AA92" i="28"/>
  <c r="AA91" i="28"/>
  <c r="AA90" i="28"/>
  <c r="AA89" i="28"/>
  <c r="AA88" i="28"/>
  <c r="AA87" i="28"/>
  <c r="AA86" i="28"/>
  <c r="AA85" i="28"/>
  <c r="AA82" i="28"/>
  <c r="AA81" i="28"/>
  <c r="AA80" i="28"/>
  <c r="AA79" i="28"/>
  <c r="AA78" i="28"/>
  <c r="AA69" i="28"/>
  <c r="AA68" i="28"/>
  <c r="Z65" i="28"/>
  <c r="AA65" i="28" s="1"/>
  <c r="R65" i="28"/>
  <c r="Z64" i="28"/>
  <c r="AA64" i="28" s="1"/>
  <c r="AA63" i="28"/>
  <c r="AA60" i="28"/>
  <c r="AA59" i="28"/>
  <c r="AA58" i="28"/>
  <c r="K58" i="28"/>
  <c r="AA57" i="28"/>
  <c r="AA56" i="28"/>
  <c r="AA55" i="28"/>
  <c r="F55" i="28"/>
  <c r="AA54" i="28"/>
  <c r="P54" i="28"/>
  <c r="AA53" i="28"/>
  <c r="Z53" i="28"/>
  <c r="AA52" i="28"/>
  <c r="Y52" i="28"/>
  <c r="T52" i="28"/>
  <c r="S52" i="28"/>
  <c r="P52" i="28"/>
  <c r="L52" i="28"/>
  <c r="F52" i="28"/>
  <c r="AA49" i="28"/>
  <c r="AA48" i="28"/>
  <c r="AA47" i="28"/>
  <c r="AA46" i="28"/>
  <c r="AA45" i="28"/>
  <c r="AA44" i="28"/>
  <c r="AA41" i="28"/>
  <c r="AA40" i="28"/>
  <c r="AA39" i="28"/>
  <c r="AA36" i="28"/>
  <c r="Y36" i="28"/>
  <c r="AA35" i="28"/>
  <c r="AA34" i="28"/>
  <c r="AA33" i="28"/>
  <c r="AA26" i="28"/>
  <c r="AA25" i="28"/>
  <c r="K25" i="28"/>
  <c r="AA24" i="28"/>
  <c r="K24" i="28"/>
  <c r="AA21" i="28"/>
  <c r="AA20" i="28"/>
  <c r="AA19" i="28"/>
  <c r="P19" i="28"/>
  <c r="K19" i="28"/>
  <c r="AA16" i="28"/>
  <c r="M16" i="28"/>
  <c r="AA15" i="28"/>
  <c r="M15" i="28"/>
  <c r="AA14" i="28"/>
  <c r="P14" i="28"/>
  <c r="AA11" i="28"/>
  <c r="Q11" i="28"/>
  <c r="P11" i="28"/>
  <c r="J11" i="28"/>
  <c r="AA10" i="28"/>
  <c r="P10" i="28"/>
  <c r="J10" i="28"/>
  <c r="AA9" i="28"/>
  <c r="R9" i="28"/>
  <c r="P9" i="28"/>
  <c r="O9" i="28"/>
  <c r="M9" i="28"/>
  <c r="L9" i="28"/>
  <c r="K9" i="28"/>
  <c r="J9" i="28"/>
  <c r="H9" i="28"/>
  <c r="AA8" i="28"/>
  <c r="Y8" i="28"/>
  <c r="R8" i="28"/>
  <c r="Q8" i="28"/>
  <c r="J8" i="28"/>
  <c r="AA123" i="27"/>
  <c r="AA122" i="27"/>
  <c r="AA121" i="27"/>
  <c r="AA120" i="27"/>
  <c r="AA119" i="27"/>
  <c r="AA118" i="27"/>
  <c r="AA117" i="27"/>
  <c r="AA116" i="27"/>
  <c r="T116" i="27"/>
  <c r="AA115" i="27"/>
  <c r="T115" i="27"/>
  <c r="AA114" i="27"/>
  <c r="T114" i="27"/>
  <c r="AA111" i="27"/>
  <c r="AA110" i="27"/>
  <c r="AA109" i="27"/>
  <c r="AA108" i="27"/>
  <c r="AA107" i="27"/>
  <c r="R107" i="27"/>
  <c r="AA106" i="27"/>
  <c r="R106" i="27"/>
  <c r="AA105" i="27"/>
  <c r="R105" i="27"/>
  <c r="AA100" i="27"/>
  <c r="AA99" i="27"/>
  <c r="AA98" i="27"/>
  <c r="AA95" i="27"/>
  <c r="AA94" i="27"/>
  <c r="AA93" i="27"/>
  <c r="AA92" i="27"/>
  <c r="AA91" i="27"/>
  <c r="AA90" i="27"/>
  <c r="AA89" i="27"/>
  <c r="AA88" i="27"/>
  <c r="AA85" i="27"/>
  <c r="AA84" i="27"/>
  <c r="AA83" i="27"/>
  <c r="AA82" i="27"/>
  <c r="AA81" i="27"/>
  <c r="AA78" i="27"/>
  <c r="AA77" i="27"/>
  <c r="AA76" i="27"/>
  <c r="AA75" i="27"/>
  <c r="AA74" i="27"/>
  <c r="AA73" i="27"/>
  <c r="AA72" i="27"/>
  <c r="AA71" i="27"/>
  <c r="AA70" i="27"/>
  <c r="AA69" i="27"/>
  <c r="AA68" i="27"/>
  <c r="T68" i="27"/>
  <c r="I68" i="27"/>
  <c r="AA67" i="27"/>
  <c r="AA64" i="27"/>
  <c r="AA63" i="27"/>
  <c r="AA62" i="27"/>
  <c r="AA61" i="27"/>
  <c r="AA60" i="27"/>
  <c r="AA59" i="27"/>
  <c r="AA58" i="27"/>
  <c r="AA57" i="27"/>
  <c r="AA56" i="27"/>
  <c r="AA55" i="27"/>
  <c r="AA52" i="27"/>
  <c r="AA51" i="27"/>
  <c r="AA50" i="27"/>
  <c r="AA47" i="27"/>
  <c r="AA46" i="27"/>
  <c r="AA45" i="27"/>
  <c r="AA44" i="27"/>
  <c r="AA43" i="27"/>
  <c r="AA42" i="27"/>
  <c r="AA41" i="27"/>
  <c r="AA38" i="27"/>
  <c r="AA37" i="27"/>
  <c r="AA34" i="27"/>
  <c r="AA33" i="27"/>
  <c r="AA32" i="27"/>
  <c r="AA29" i="27"/>
  <c r="AA28" i="27"/>
  <c r="AA27" i="27"/>
  <c r="AA24" i="27"/>
  <c r="AA23" i="27"/>
  <c r="AA22" i="27"/>
  <c r="AA19" i="27"/>
  <c r="AA18" i="27"/>
  <c r="AA17" i="27"/>
  <c r="I17" i="27"/>
  <c r="AA16" i="27"/>
  <c r="I16" i="27"/>
  <c r="AA13" i="27"/>
  <c r="AA12" i="27"/>
  <c r="Z11" i="27"/>
  <c r="AA11" i="27" s="1"/>
  <c r="Q11" i="27"/>
  <c r="I11" i="27"/>
  <c r="AA10" i="27"/>
  <c r="Z10" i="27"/>
  <c r="T10" i="27"/>
  <c r="Q10" i="27"/>
  <c r="I10" i="27"/>
  <c r="AA9" i="27"/>
  <c r="Z9" i="27"/>
  <c r="Q9" i="27"/>
  <c r="I9" i="27"/>
  <c r="AA8" i="27"/>
  <c r="Z8" i="27"/>
  <c r="T8" i="27"/>
  <c r="Q8" i="27"/>
  <c r="N8" i="27"/>
  <c r="I8" i="27"/>
  <c r="AF118" i="26"/>
  <c r="S118" i="26"/>
  <c r="AF117" i="26"/>
  <c r="S117" i="26"/>
  <c r="AF116" i="26"/>
  <c r="P116" i="26"/>
  <c r="AF115" i="26"/>
  <c r="S115" i="26"/>
  <c r="AF114" i="26"/>
  <c r="S114" i="26"/>
  <c r="AF113" i="26"/>
  <c r="S113" i="26"/>
  <c r="AF112" i="26"/>
  <c r="S112" i="26"/>
  <c r="AF111" i="26"/>
  <c r="S111" i="26"/>
  <c r="AF110" i="26"/>
  <c r="S110" i="26"/>
  <c r="AF107" i="26"/>
  <c r="AF106" i="26"/>
  <c r="P106" i="26"/>
  <c r="AF105" i="26"/>
  <c r="P105" i="26"/>
  <c r="AF104" i="26"/>
  <c r="P104" i="26"/>
  <c r="AF103" i="26"/>
  <c r="P103" i="26"/>
  <c r="AF102" i="26"/>
  <c r="P102" i="26"/>
  <c r="AF101" i="26"/>
  <c r="P101" i="26"/>
  <c r="AF96" i="26"/>
  <c r="AF95" i="26"/>
  <c r="AF92" i="26"/>
  <c r="AF91" i="26"/>
  <c r="AF90" i="26"/>
  <c r="AF89" i="26"/>
  <c r="AF88" i="26"/>
  <c r="AF87" i="26"/>
  <c r="AF86" i="26"/>
  <c r="AF85" i="26"/>
  <c r="AF82" i="26"/>
  <c r="AF81" i="26"/>
  <c r="AF80" i="26"/>
  <c r="AF79" i="26"/>
  <c r="AF78" i="26"/>
  <c r="AF69" i="26"/>
  <c r="AF68" i="26"/>
  <c r="AF65" i="26"/>
  <c r="Z65" i="26"/>
  <c r="R65" i="26"/>
  <c r="AF64" i="26"/>
  <c r="Z64" i="26"/>
  <c r="AF63" i="26"/>
  <c r="AF60" i="26"/>
  <c r="AF59" i="26"/>
  <c r="AF58" i="26"/>
  <c r="K58" i="26"/>
  <c r="AF57" i="26"/>
  <c r="AF56" i="26"/>
  <c r="AF55" i="26"/>
  <c r="F55" i="26"/>
  <c r="AF54" i="26"/>
  <c r="P54" i="26"/>
  <c r="AF53" i="26"/>
  <c r="Z53" i="26"/>
  <c r="AF52" i="26"/>
  <c r="Y52" i="26"/>
  <c r="T52" i="26"/>
  <c r="S52" i="26"/>
  <c r="P52" i="26"/>
  <c r="L52" i="26"/>
  <c r="F52" i="26"/>
  <c r="AF49" i="26"/>
  <c r="AF48" i="26"/>
  <c r="AF47" i="26"/>
  <c r="AF46" i="26"/>
  <c r="AF45" i="26"/>
  <c r="AF44" i="26"/>
  <c r="AF41" i="26"/>
  <c r="AF40" i="26"/>
  <c r="AF39" i="26"/>
  <c r="AF36" i="26"/>
  <c r="Y36" i="26"/>
  <c r="AF35" i="26"/>
  <c r="AF34" i="26"/>
  <c r="AF33" i="26"/>
  <c r="AF26" i="26"/>
  <c r="AF25" i="26"/>
  <c r="K25" i="26"/>
  <c r="AF24" i="26"/>
  <c r="K24" i="26"/>
  <c r="AF21" i="26"/>
  <c r="AF20" i="26"/>
  <c r="AF19" i="26"/>
  <c r="P19" i="26"/>
  <c r="K19" i="26"/>
  <c r="AF16" i="26"/>
  <c r="M16" i="26"/>
  <c r="AF15" i="26"/>
  <c r="M15" i="26"/>
  <c r="AF14" i="26"/>
  <c r="P14" i="26"/>
  <c r="AF11" i="26"/>
  <c r="Q11" i="26"/>
  <c r="P11" i="26"/>
  <c r="J11" i="26"/>
  <c r="AF10" i="26"/>
  <c r="P10" i="26"/>
  <c r="J10" i="26"/>
  <c r="AF9" i="26"/>
  <c r="R9" i="26"/>
  <c r="P9" i="26"/>
  <c r="O9" i="26"/>
  <c r="M9" i="26"/>
  <c r="L9" i="26"/>
  <c r="K9" i="26"/>
  <c r="J9" i="26"/>
  <c r="H9" i="26"/>
  <c r="AF8" i="26"/>
  <c r="Y8" i="26"/>
  <c r="R8" i="26"/>
  <c r="Q8" i="26"/>
  <c r="J8" i="26"/>
  <c r="AA49" i="25"/>
  <c r="AA48" i="25"/>
  <c r="AA47" i="25"/>
  <c r="AA46" i="25"/>
  <c r="AA45" i="25"/>
  <c r="AA44" i="25"/>
  <c r="AA43" i="25"/>
  <c r="AA42" i="25"/>
  <c r="AA41" i="25"/>
  <c r="AA40" i="25"/>
  <c r="AA39" i="25"/>
  <c r="AA38" i="25"/>
  <c r="AA37" i="25"/>
  <c r="AA36" i="25"/>
  <c r="AA35" i="25"/>
  <c r="AA34" i="25"/>
  <c r="AA33" i="25"/>
  <c r="AA32" i="25"/>
  <c r="AA31" i="25"/>
  <c r="AA30" i="25"/>
  <c r="AA29" i="25"/>
  <c r="AA28" i="25"/>
  <c r="AA27" i="25"/>
  <c r="AA26" i="25"/>
  <c r="BD23" i="25"/>
  <c r="AX23" i="25"/>
  <c r="AA23" i="25"/>
  <c r="BD22" i="25"/>
  <c r="AA22" i="25"/>
  <c r="BD21" i="25"/>
  <c r="AA21" i="25"/>
  <c r="L21" i="25"/>
  <c r="BD20" i="25"/>
  <c r="AA20" i="25"/>
  <c r="L20" i="25"/>
  <c r="AA17" i="25"/>
  <c r="Y17" i="25"/>
  <c r="V17" i="25"/>
  <c r="AA16" i="25"/>
  <c r="Y16" i="25"/>
  <c r="V16" i="25"/>
  <c r="L16" i="25"/>
  <c r="BD15" i="25"/>
  <c r="AX15" i="25"/>
  <c r="AA15" i="25"/>
  <c r="BD14" i="25"/>
  <c r="AX14" i="25"/>
  <c r="AA14" i="25"/>
  <c r="Y14" i="25"/>
  <c r="S14" i="25"/>
  <c r="Q14" i="25"/>
  <c r="J14" i="25"/>
  <c r="BD11" i="25"/>
  <c r="AX11" i="25"/>
  <c r="AA11" i="25"/>
  <c r="BD10" i="25"/>
  <c r="AX10" i="25"/>
  <c r="AA10" i="25"/>
  <c r="S10" i="25"/>
  <c r="J10" i="25"/>
  <c r="BD9" i="25"/>
  <c r="AX9" i="25"/>
  <c r="AA9" i="25"/>
  <c r="Y9" i="25"/>
  <c r="V9" i="25"/>
  <c r="S9" i="25"/>
  <c r="Q9" i="25"/>
  <c r="L9" i="25"/>
  <c r="J9" i="25"/>
  <c r="AA8" i="25"/>
  <c r="Y8" i="25"/>
  <c r="J8" i="25"/>
  <c r="N120" i="24"/>
  <c r="M120" i="24"/>
  <c r="L120" i="24"/>
  <c r="K120" i="24"/>
  <c r="J120" i="24"/>
  <c r="H120" i="24"/>
  <c r="G120" i="24"/>
  <c r="F120" i="24"/>
  <c r="E120" i="24"/>
  <c r="C120" i="24"/>
  <c r="B120" i="24"/>
  <c r="O119" i="24"/>
  <c r="N119" i="24"/>
  <c r="I119" i="24"/>
  <c r="D119" i="24"/>
  <c r="P119" i="24" s="1"/>
  <c r="O118" i="24"/>
  <c r="N118" i="24"/>
  <c r="P118" i="24" s="1"/>
  <c r="I118" i="24"/>
  <c r="D118" i="24"/>
  <c r="O117" i="24"/>
  <c r="N117" i="24"/>
  <c r="I117" i="24"/>
  <c r="D117" i="24"/>
  <c r="P117" i="24" s="1"/>
  <c r="O116" i="24"/>
  <c r="N116" i="24"/>
  <c r="I116" i="24"/>
  <c r="D116" i="24"/>
  <c r="P116" i="24" s="1"/>
  <c r="O115" i="24"/>
  <c r="N115" i="24"/>
  <c r="I115" i="24"/>
  <c r="P115" i="24" s="1"/>
  <c r="D115" i="24"/>
  <c r="O114" i="24"/>
  <c r="O120" i="24" s="1"/>
  <c r="N114" i="24"/>
  <c r="I114" i="24"/>
  <c r="I120" i="24" s="1"/>
  <c r="D114" i="24"/>
  <c r="D120" i="24" s="1"/>
  <c r="M109" i="24"/>
  <c r="L109" i="24"/>
  <c r="K109" i="24"/>
  <c r="J109" i="24"/>
  <c r="H109" i="24"/>
  <c r="G109" i="24"/>
  <c r="F109" i="24"/>
  <c r="E109" i="24"/>
  <c r="C109" i="24"/>
  <c r="B109" i="24"/>
  <c r="O108" i="24"/>
  <c r="N108" i="24"/>
  <c r="I108" i="24"/>
  <c r="D108" i="24"/>
  <c r="P108" i="24" s="1"/>
  <c r="P107" i="24"/>
  <c r="O107" i="24"/>
  <c r="N107" i="24"/>
  <c r="I107" i="24"/>
  <c r="D107" i="24"/>
  <c r="O106" i="24"/>
  <c r="N106" i="24"/>
  <c r="I106" i="24"/>
  <c r="D106" i="24"/>
  <c r="P106" i="24" s="1"/>
  <c r="O105" i="24"/>
  <c r="N105" i="24"/>
  <c r="I105" i="24"/>
  <c r="D105" i="24"/>
  <c r="P105" i="24" s="1"/>
  <c r="O104" i="24"/>
  <c r="N104" i="24"/>
  <c r="N109" i="24" s="1"/>
  <c r="I104" i="24"/>
  <c r="D104" i="24"/>
  <c r="O103" i="24"/>
  <c r="O109" i="24" s="1"/>
  <c r="N103" i="24"/>
  <c r="I103" i="24"/>
  <c r="I109" i="24" s="1"/>
  <c r="D103" i="24"/>
  <c r="D109" i="24" s="1"/>
  <c r="M98" i="24"/>
  <c r="L98" i="24"/>
  <c r="K98" i="24"/>
  <c r="J98" i="24"/>
  <c r="H98" i="24"/>
  <c r="G98" i="24"/>
  <c r="F98" i="24"/>
  <c r="E98" i="24"/>
  <c r="C98" i="24"/>
  <c r="B98" i="24"/>
  <c r="P97" i="24"/>
  <c r="O97" i="24"/>
  <c r="N97" i="24"/>
  <c r="I97" i="24"/>
  <c r="D97" i="24"/>
  <c r="P96" i="24"/>
  <c r="O96" i="24"/>
  <c r="N96" i="24"/>
  <c r="I96" i="24"/>
  <c r="D96" i="24"/>
  <c r="O95" i="24"/>
  <c r="N95" i="24"/>
  <c r="I95" i="24"/>
  <c r="P95" i="24" s="1"/>
  <c r="D95" i="24"/>
  <c r="O94" i="24"/>
  <c r="N94" i="24"/>
  <c r="I94" i="24"/>
  <c r="D94" i="24"/>
  <c r="P94" i="24" s="1"/>
  <c r="P93" i="24"/>
  <c r="O93" i="24"/>
  <c r="O98" i="24" s="1"/>
  <c r="N93" i="24"/>
  <c r="N98" i="24" s="1"/>
  <c r="I93" i="24"/>
  <c r="D93" i="24"/>
  <c r="O92" i="24"/>
  <c r="N92" i="24"/>
  <c r="I92" i="24"/>
  <c r="I98" i="24" s="1"/>
  <c r="D92" i="24"/>
  <c r="P92" i="24" s="1"/>
  <c r="P98" i="24" s="1"/>
  <c r="N87" i="24"/>
  <c r="M87" i="24"/>
  <c r="L87" i="24"/>
  <c r="K87" i="24"/>
  <c r="J87" i="24"/>
  <c r="H87" i="24"/>
  <c r="G87" i="24"/>
  <c r="F87" i="24"/>
  <c r="E87" i="24"/>
  <c r="C87" i="24"/>
  <c r="B87" i="24"/>
  <c r="O86" i="24"/>
  <c r="N86" i="24"/>
  <c r="I86" i="24"/>
  <c r="D86" i="24"/>
  <c r="P86" i="24" s="1"/>
  <c r="O85" i="24"/>
  <c r="N85" i="24"/>
  <c r="I85" i="24"/>
  <c r="P85" i="24" s="1"/>
  <c r="D85" i="24"/>
  <c r="O84" i="24"/>
  <c r="N84" i="24"/>
  <c r="I84" i="24"/>
  <c r="D84" i="24"/>
  <c r="P84" i="24" s="1"/>
  <c r="P83" i="24"/>
  <c r="O83" i="24"/>
  <c r="N83" i="24"/>
  <c r="I83" i="24"/>
  <c r="D83" i="24"/>
  <c r="P82" i="24"/>
  <c r="O82" i="24"/>
  <c r="N82" i="24"/>
  <c r="I82" i="24"/>
  <c r="D82" i="24"/>
  <c r="O81" i="24"/>
  <c r="O87" i="24" s="1"/>
  <c r="N81" i="24"/>
  <c r="I81" i="24"/>
  <c r="I87" i="24" s="1"/>
  <c r="D81" i="24"/>
  <c r="D87" i="24" s="1"/>
  <c r="N76" i="24"/>
  <c r="M76" i="24"/>
  <c r="L76" i="24"/>
  <c r="K76" i="24"/>
  <c r="J76" i="24"/>
  <c r="H76" i="24"/>
  <c r="G76" i="24"/>
  <c r="F76" i="24"/>
  <c r="E76" i="24"/>
  <c r="C76" i="24"/>
  <c r="B76" i="24"/>
  <c r="O75" i="24"/>
  <c r="N75" i="24"/>
  <c r="I75" i="24"/>
  <c r="D75" i="24"/>
  <c r="P75" i="24" s="1"/>
  <c r="O74" i="24"/>
  <c r="N74" i="24"/>
  <c r="P74" i="24" s="1"/>
  <c r="I74" i="24"/>
  <c r="D74" i="24"/>
  <c r="O73" i="24"/>
  <c r="N73" i="24"/>
  <c r="I73" i="24"/>
  <c r="D73" i="24"/>
  <c r="P73" i="24" s="1"/>
  <c r="O72" i="24"/>
  <c r="N72" i="24"/>
  <c r="I72" i="24"/>
  <c r="D72" i="24"/>
  <c r="P72" i="24" s="1"/>
  <c r="O71" i="24"/>
  <c r="N71" i="24"/>
  <c r="I71" i="24"/>
  <c r="P71" i="24" s="1"/>
  <c r="D71" i="24"/>
  <c r="O70" i="24"/>
  <c r="O76" i="24" s="1"/>
  <c r="N70" i="24"/>
  <c r="I70" i="24"/>
  <c r="I76" i="24" s="1"/>
  <c r="D70" i="24"/>
  <c r="D76" i="24" s="1"/>
  <c r="M65" i="24"/>
  <c r="L65" i="24"/>
  <c r="K65" i="24"/>
  <c r="J65" i="24"/>
  <c r="H65" i="24"/>
  <c r="G65" i="24"/>
  <c r="F65" i="24"/>
  <c r="E65" i="24"/>
  <c r="C65" i="24"/>
  <c r="B65" i="24"/>
  <c r="O64" i="24"/>
  <c r="N64" i="24"/>
  <c r="I64" i="24"/>
  <c r="D64" i="24"/>
  <c r="P64" i="24" s="1"/>
  <c r="P63" i="24"/>
  <c r="O63" i="24"/>
  <c r="N63" i="24"/>
  <c r="I63" i="24"/>
  <c r="D63" i="24"/>
  <c r="O62" i="24"/>
  <c r="N62" i="24"/>
  <c r="I62" i="24"/>
  <c r="D62" i="24"/>
  <c r="P62" i="24" s="1"/>
  <c r="O61" i="24"/>
  <c r="N61" i="24"/>
  <c r="I61" i="24"/>
  <c r="D61" i="24"/>
  <c r="P61" i="24" s="1"/>
  <c r="O60" i="24"/>
  <c r="N60" i="24"/>
  <c r="N65" i="24" s="1"/>
  <c r="I60" i="24"/>
  <c r="D60" i="24"/>
  <c r="O59" i="24"/>
  <c r="O65" i="24" s="1"/>
  <c r="N59" i="24"/>
  <c r="I59" i="24"/>
  <c r="I65" i="24" s="1"/>
  <c r="D59" i="24"/>
  <c r="D65" i="24" s="1"/>
  <c r="M54" i="24"/>
  <c r="L54" i="24"/>
  <c r="K54" i="24"/>
  <c r="J54" i="24"/>
  <c r="H54" i="24"/>
  <c r="G54" i="24"/>
  <c r="F54" i="24"/>
  <c r="E54" i="24"/>
  <c r="C54" i="24"/>
  <c r="B54" i="24"/>
  <c r="P53" i="24"/>
  <c r="O53" i="24"/>
  <c r="N53" i="24"/>
  <c r="I53" i="24"/>
  <c r="D53" i="24"/>
  <c r="P52" i="24"/>
  <c r="O52" i="24"/>
  <c r="N52" i="24"/>
  <c r="I52" i="24"/>
  <c r="D52" i="24"/>
  <c r="O51" i="24"/>
  <c r="N51" i="24"/>
  <c r="I51" i="24"/>
  <c r="P51" i="24" s="1"/>
  <c r="D51" i="24"/>
  <c r="O50" i="24"/>
  <c r="N50" i="24"/>
  <c r="I50" i="24"/>
  <c r="D50" i="24"/>
  <c r="P50" i="24" s="1"/>
  <c r="P49" i="24"/>
  <c r="O49" i="24"/>
  <c r="O54" i="24" s="1"/>
  <c r="N49" i="24"/>
  <c r="N54" i="24" s="1"/>
  <c r="I49" i="24"/>
  <c r="D49" i="24"/>
  <c r="O48" i="24"/>
  <c r="N48" i="24"/>
  <c r="I48" i="24"/>
  <c r="I54" i="24" s="1"/>
  <c r="D48" i="24"/>
  <c r="P48" i="24" s="1"/>
  <c r="P54" i="24" s="1"/>
  <c r="N43" i="24"/>
  <c r="M43" i="24"/>
  <c r="L43" i="24"/>
  <c r="K43" i="24"/>
  <c r="J43" i="24"/>
  <c r="H43" i="24"/>
  <c r="G43" i="24"/>
  <c r="F43" i="24"/>
  <c r="E43" i="24"/>
  <c r="C43" i="24"/>
  <c r="B43" i="24"/>
  <c r="O42" i="24"/>
  <c r="N42" i="24"/>
  <c r="I42" i="24"/>
  <c r="D42" i="24"/>
  <c r="P42" i="24" s="1"/>
  <c r="O41" i="24"/>
  <c r="N41" i="24"/>
  <c r="I41" i="24"/>
  <c r="P41" i="24" s="1"/>
  <c r="D41" i="24"/>
  <c r="O40" i="24"/>
  <c r="N40" i="24"/>
  <c r="I40" i="24"/>
  <c r="D40" i="24"/>
  <c r="P40" i="24" s="1"/>
  <c r="P39" i="24"/>
  <c r="O39" i="24"/>
  <c r="N39" i="24"/>
  <c r="I39" i="24"/>
  <c r="D39" i="24"/>
  <c r="P38" i="24"/>
  <c r="O38" i="24"/>
  <c r="N38" i="24"/>
  <c r="I38" i="24"/>
  <c r="D38" i="24"/>
  <c r="O37" i="24"/>
  <c r="O43" i="24" s="1"/>
  <c r="N37" i="24"/>
  <c r="I37" i="24"/>
  <c r="I43" i="24" s="1"/>
  <c r="D37" i="24"/>
  <c r="D43" i="24" s="1"/>
  <c r="N32" i="24"/>
  <c r="M32" i="24"/>
  <c r="L32" i="24"/>
  <c r="K32" i="24"/>
  <c r="J32" i="24"/>
  <c r="H32" i="24"/>
  <c r="G32" i="24"/>
  <c r="F32" i="24"/>
  <c r="E32" i="24"/>
  <c r="C32" i="24"/>
  <c r="B32" i="24"/>
  <c r="O31" i="24"/>
  <c r="N31" i="24"/>
  <c r="I31" i="24"/>
  <c r="D31" i="24"/>
  <c r="P31" i="24" s="1"/>
  <c r="O30" i="24"/>
  <c r="N30" i="24"/>
  <c r="P30" i="24" s="1"/>
  <c r="I30" i="24"/>
  <c r="D30" i="24"/>
  <c r="O29" i="24"/>
  <c r="N29" i="24"/>
  <c r="I29" i="24"/>
  <c r="D29" i="24"/>
  <c r="P29" i="24" s="1"/>
  <c r="O28" i="24"/>
  <c r="N28" i="24"/>
  <c r="I28" i="24"/>
  <c r="D28" i="24"/>
  <c r="P28" i="24" s="1"/>
  <c r="O27" i="24"/>
  <c r="N27" i="24"/>
  <c r="I27" i="24"/>
  <c r="P27" i="24" s="1"/>
  <c r="D27" i="24"/>
  <c r="O26" i="24"/>
  <c r="O32" i="24" s="1"/>
  <c r="N26" i="24"/>
  <c r="I26" i="24"/>
  <c r="I32" i="24" s="1"/>
  <c r="D26" i="24"/>
  <c r="D32" i="24" s="1"/>
  <c r="M21" i="24"/>
  <c r="L21" i="24"/>
  <c r="K21" i="24"/>
  <c r="J21" i="24"/>
  <c r="H21" i="24"/>
  <c r="G21" i="24"/>
  <c r="F21" i="24"/>
  <c r="E21" i="24"/>
  <c r="C21" i="24"/>
  <c r="B21" i="24"/>
  <c r="O20" i="24"/>
  <c r="N20" i="24"/>
  <c r="I20" i="24"/>
  <c r="D20" i="24"/>
  <c r="P20" i="24" s="1"/>
  <c r="P19" i="24"/>
  <c r="O19" i="24"/>
  <c r="N19" i="24"/>
  <c r="I19" i="24"/>
  <c r="D19" i="24"/>
  <c r="O18" i="24"/>
  <c r="N18" i="24"/>
  <c r="I18" i="24"/>
  <c r="D18" i="24"/>
  <c r="P18" i="24" s="1"/>
  <c r="O17" i="24"/>
  <c r="N17" i="24"/>
  <c r="I17" i="24"/>
  <c r="D17" i="24"/>
  <c r="P17" i="24" s="1"/>
  <c r="O16" i="24"/>
  <c r="N16" i="24"/>
  <c r="N21" i="24" s="1"/>
  <c r="I16" i="24"/>
  <c r="D16" i="24"/>
  <c r="O15" i="24"/>
  <c r="O21" i="24" s="1"/>
  <c r="N15" i="24"/>
  <c r="I15" i="24"/>
  <c r="I21" i="24" s="1"/>
  <c r="D15" i="24"/>
  <c r="D21" i="24" s="1"/>
  <c r="M10" i="24"/>
  <c r="L10" i="24"/>
  <c r="K10" i="24"/>
  <c r="J10" i="24"/>
  <c r="H10" i="24"/>
  <c r="G10" i="24"/>
  <c r="F10" i="24"/>
  <c r="E10" i="24"/>
  <c r="C10" i="24"/>
  <c r="B10" i="24"/>
  <c r="P9" i="24"/>
  <c r="O9" i="24"/>
  <c r="N9" i="24"/>
  <c r="I9" i="24"/>
  <c r="D9" i="24"/>
  <c r="P8" i="24"/>
  <c r="O8" i="24"/>
  <c r="N8" i="24"/>
  <c r="I8" i="24"/>
  <c r="D8" i="24"/>
  <c r="O7" i="24"/>
  <c r="N7" i="24"/>
  <c r="I7" i="24"/>
  <c r="P7" i="24" s="1"/>
  <c r="D7" i="24"/>
  <c r="O6" i="24"/>
  <c r="N6" i="24"/>
  <c r="I6" i="24"/>
  <c r="D6" i="24"/>
  <c r="P6" i="24" s="1"/>
  <c r="P5" i="24"/>
  <c r="O5" i="24"/>
  <c r="O10" i="24" s="1"/>
  <c r="N5" i="24"/>
  <c r="N10" i="24" s="1"/>
  <c r="I5" i="24"/>
  <c r="D5" i="24"/>
  <c r="O4" i="24"/>
  <c r="N4" i="24"/>
  <c r="I4" i="24"/>
  <c r="I10" i="24" s="1"/>
  <c r="D4" i="24"/>
  <c r="P4" i="24" s="1"/>
  <c r="P10" i="24" s="1"/>
  <c r="U141" i="23"/>
  <c r="T141" i="23"/>
  <c r="S141" i="23"/>
  <c r="R141" i="23"/>
  <c r="P141" i="23"/>
  <c r="O141" i="23"/>
  <c r="N141" i="23"/>
  <c r="M141" i="23"/>
  <c r="K141" i="23"/>
  <c r="J141" i="23"/>
  <c r="I141" i="23"/>
  <c r="H141" i="23"/>
  <c r="G141" i="23"/>
  <c r="E141" i="23"/>
  <c r="D141" i="23"/>
  <c r="C141" i="23"/>
  <c r="B141" i="23"/>
  <c r="V140" i="23"/>
  <c r="Q140" i="23"/>
  <c r="F140" i="23"/>
  <c r="V139" i="23"/>
  <c r="Q139" i="23"/>
  <c r="F139" i="23"/>
  <c r="V138" i="23"/>
  <c r="Q138" i="23"/>
  <c r="L138" i="23"/>
  <c r="F138" i="23"/>
  <c r="V137" i="23"/>
  <c r="Q137" i="23"/>
  <c r="L137" i="23"/>
  <c r="F137" i="23"/>
  <c r="V136" i="23"/>
  <c r="Q136" i="23"/>
  <c r="L136" i="23"/>
  <c r="F136" i="23"/>
  <c r="V135" i="23"/>
  <c r="Q135" i="23"/>
  <c r="L135" i="23"/>
  <c r="F135" i="23"/>
  <c r="V134" i="23"/>
  <c r="Q134" i="23"/>
  <c r="L134" i="23"/>
  <c r="F134" i="23"/>
  <c r="V133" i="23"/>
  <c r="Q133" i="23"/>
  <c r="L133" i="23"/>
  <c r="F133" i="23"/>
  <c r="V132" i="23"/>
  <c r="Q132" i="23"/>
  <c r="L132" i="23"/>
  <c r="F132" i="23"/>
  <c r="V131" i="23"/>
  <c r="Q131" i="23"/>
  <c r="Q141" i="23" s="1"/>
  <c r="L131" i="23"/>
  <c r="F131" i="23"/>
  <c r="V130" i="23"/>
  <c r="V141" i="23" s="1"/>
  <c r="Q130" i="23"/>
  <c r="L130" i="23"/>
  <c r="L141" i="23" s="1"/>
  <c r="F130" i="23"/>
  <c r="F141" i="23" s="1"/>
  <c r="V125" i="23"/>
  <c r="U125" i="23"/>
  <c r="T125" i="23"/>
  <c r="S125" i="23"/>
  <c r="R125" i="23"/>
  <c r="P125" i="23"/>
  <c r="O125" i="23"/>
  <c r="N125" i="23"/>
  <c r="M125" i="23"/>
  <c r="K125" i="23"/>
  <c r="J125" i="23"/>
  <c r="I125" i="23"/>
  <c r="H125" i="23"/>
  <c r="G125" i="23"/>
  <c r="E125" i="23"/>
  <c r="D125" i="23"/>
  <c r="C125" i="23"/>
  <c r="B125" i="23"/>
  <c r="V124" i="23"/>
  <c r="Q124" i="23"/>
  <c r="L124" i="23"/>
  <c r="F124" i="23"/>
  <c r="V123" i="23"/>
  <c r="Q123" i="23"/>
  <c r="L123" i="23"/>
  <c r="F123" i="23"/>
  <c r="V122" i="23"/>
  <c r="Q122" i="23"/>
  <c r="L122" i="23"/>
  <c r="F122" i="23"/>
  <c r="V121" i="23"/>
  <c r="Q121" i="23"/>
  <c r="L121" i="23"/>
  <c r="F121" i="23"/>
  <c r="V120" i="23"/>
  <c r="Q120" i="23"/>
  <c r="L120" i="23"/>
  <c r="F120" i="23"/>
  <c r="V119" i="23"/>
  <c r="Q119" i="23"/>
  <c r="L119" i="23"/>
  <c r="F119" i="23"/>
  <c r="V118" i="23"/>
  <c r="Q118" i="23"/>
  <c r="L118" i="23"/>
  <c r="F118" i="23"/>
  <c r="V117" i="23"/>
  <c r="Q117" i="23"/>
  <c r="Q125" i="23" s="1"/>
  <c r="L117" i="23"/>
  <c r="L125" i="23" s="1"/>
  <c r="F117" i="23"/>
  <c r="V116" i="23"/>
  <c r="Q116" i="23"/>
  <c r="L116" i="23"/>
  <c r="F116" i="23"/>
  <c r="F125" i="23" s="1"/>
  <c r="U111" i="23"/>
  <c r="T111" i="23"/>
  <c r="S111" i="23"/>
  <c r="R111" i="23"/>
  <c r="P111" i="23"/>
  <c r="O111" i="23"/>
  <c r="N111" i="23"/>
  <c r="M111" i="23"/>
  <c r="K111" i="23"/>
  <c r="J111" i="23"/>
  <c r="I111" i="23"/>
  <c r="H111" i="23"/>
  <c r="G111" i="23"/>
  <c r="E111" i="23"/>
  <c r="D111" i="23"/>
  <c r="C111" i="23"/>
  <c r="B111" i="23"/>
  <c r="V110" i="23"/>
  <c r="Q110" i="23"/>
  <c r="L110" i="23"/>
  <c r="F110" i="23"/>
  <c r="V109" i="23"/>
  <c r="Q109" i="23"/>
  <c r="L109" i="23"/>
  <c r="F109" i="23"/>
  <c r="V108" i="23"/>
  <c r="Q108" i="23"/>
  <c r="L108" i="23"/>
  <c r="F108" i="23"/>
  <c r="V107" i="23"/>
  <c r="Q107" i="23"/>
  <c r="L107" i="23"/>
  <c r="F107" i="23"/>
  <c r="V106" i="23"/>
  <c r="Q106" i="23"/>
  <c r="L106" i="23"/>
  <c r="F106" i="23"/>
  <c r="V105" i="23"/>
  <c r="Q105" i="23"/>
  <c r="L105" i="23"/>
  <c r="F105" i="23"/>
  <c r="V104" i="23"/>
  <c r="Q104" i="23"/>
  <c r="L104" i="23"/>
  <c r="F104" i="23"/>
  <c r="V103" i="23"/>
  <c r="Q103" i="23"/>
  <c r="L103" i="23"/>
  <c r="F103" i="23"/>
  <c r="F111" i="23" s="1"/>
  <c r="V102" i="23"/>
  <c r="V111" i="23" s="1"/>
  <c r="Q102" i="23"/>
  <c r="Q111" i="23" s="1"/>
  <c r="L102" i="23"/>
  <c r="L111" i="23" s="1"/>
  <c r="F102" i="23"/>
  <c r="U97" i="23"/>
  <c r="T97" i="23"/>
  <c r="S97" i="23"/>
  <c r="R97" i="23"/>
  <c r="Q97" i="23"/>
  <c r="P97" i="23"/>
  <c r="O97" i="23"/>
  <c r="N97" i="23"/>
  <c r="M97" i="23"/>
  <c r="L97" i="23"/>
  <c r="K97" i="23"/>
  <c r="J97" i="23"/>
  <c r="I97" i="23"/>
  <c r="H97" i="23"/>
  <c r="G97" i="23"/>
  <c r="E97" i="23"/>
  <c r="D97" i="23"/>
  <c r="C97" i="23"/>
  <c r="B97" i="23"/>
  <c r="V96" i="23"/>
  <c r="Q96" i="23"/>
  <c r="L96" i="23"/>
  <c r="F96" i="23"/>
  <c r="V95" i="23"/>
  <c r="Q95" i="23"/>
  <c r="L95" i="23"/>
  <c r="F95" i="23"/>
  <c r="V94" i="23"/>
  <c r="Q94" i="23"/>
  <c r="L94" i="23"/>
  <c r="F94" i="23"/>
  <c r="V93" i="23"/>
  <c r="Q93" i="23"/>
  <c r="L93" i="23"/>
  <c r="F93" i="23"/>
  <c r="V92" i="23"/>
  <c r="Q92" i="23"/>
  <c r="L92" i="23"/>
  <c r="F92" i="23"/>
  <c r="V91" i="23"/>
  <c r="Q91" i="23"/>
  <c r="L91" i="23"/>
  <c r="F91" i="23"/>
  <c r="V90" i="23"/>
  <c r="Q90" i="23"/>
  <c r="L90" i="23"/>
  <c r="F90" i="23"/>
  <c r="V89" i="23"/>
  <c r="Q89" i="23"/>
  <c r="L89" i="23"/>
  <c r="F89" i="23"/>
  <c r="V88" i="23"/>
  <c r="V97" i="23" s="1"/>
  <c r="Q88" i="23"/>
  <c r="L88" i="23"/>
  <c r="F88" i="23"/>
  <c r="F97" i="23" s="1"/>
  <c r="U83" i="23"/>
  <c r="T83" i="23"/>
  <c r="S83" i="23"/>
  <c r="R83" i="23"/>
  <c r="Q83" i="23"/>
  <c r="P83" i="23"/>
  <c r="O83" i="23"/>
  <c r="N83" i="23"/>
  <c r="M83" i="23"/>
  <c r="L83" i="23"/>
  <c r="K83" i="23"/>
  <c r="J83" i="23"/>
  <c r="I83" i="23"/>
  <c r="H83" i="23"/>
  <c r="G83" i="23"/>
  <c r="E83" i="23"/>
  <c r="D83" i="23"/>
  <c r="C83" i="23"/>
  <c r="B83" i="23"/>
  <c r="V82" i="23"/>
  <c r="Q82" i="23"/>
  <c r="L82" i="23"/>
  <c r="F82" i="23"/>
  <c r="V81" i="23"/>
  <c r="Q81" i="23"/>
  <c r="L81" i="23"/>
  <c r="F81" i="23"/>
  <c r="V80" i="23"/>
  <c r="Q80" i="23"/>
  <c r="L80" i="23"/>
  <c r="F80" i="23"/>
  <c r="V79" i="23"/>
  <c r="Q79" i="23"/>
  <c r="L79" i="23"/>
  <c r="F79" i="23"/>
  <c r="V78" i="23"/>
  <c r="Q78" i="23"/>
  <c r="L78" i="23"/>
  <c r="F78" i="23"/>
  <c r="V77" i="23"/>
  <c r="Q77" i="23"/>
  <c r="L77" i="23"/>
  <c r="F77" i="23"/>
  <c r="V76" i="23"/>
  <c r="Q76" i="23"/>
  <c r="L76" i="23"/>
  <c r="F76" i="23"/>
  <c r="V75" i="23"/>
  <c r="Q75" i="23"/>
  <c r="L75" i="23"/>
  <c r="F75" i="23"/>
  <c r="V74" i="23"/>
  <c r="V83" i="23" s="1"/>
  <c r="Q74" i="23"/>
  <c r="L74" i="23"/>
  <c r="F74" i="23"/>
  <c r="F83" i="23" s="1"/>
  <c r="V69" i="23"/>
  <c r="U69" i="23"/>
  <c r="T69" i="23"/>
  <c r="S69" i="23"/>
  <c r="R69" i="23"/>
  <c r="P69" i="23"/>
  <c r="O69" i="23"/>
  <c r="N69" i="23"/>
  <c r="M69" i="23"/>
  <c r="K69" i="23"/>
  <c r="J69" i="23"/>
  <c r="I69" i="23"/>
  <c r="H69" i="23"/>
  <c r="G69" i="23"/>
  <c r="E69" i="23"/>
  <c r="D69" i="23"/>
  <c r="C69" i="23"/>
  <c r="B69" i="23"/>
  <c r="V68" i="23"/>
  <c r="Q68" i="23"/>
  <c r="L68" i="23"/>
  <c r="F68" i="23"/>
  <c r="V67" i="23"/>
  <c r="Q67" i="23"/>
  <c r="L67" i="23"/>
  <c r="F67" i="23"/>
  <c r="V66" i="23"/>
  <c r="Q66" i="23"/>
  <c r="L66" i="23"/>
  <c r="F66" i="23"/>
  <c r="V65" i="23"/>
  <c r="Q65" i="23"/>
  <c r="L65" i="23"/>
  <c r="F65" i="23"/>
  <c r="V64" i="23"/>
  <c r="Q64" i="23"/>
  <c r="L64" i="23"/>
  <c r="F64" i="23"/>
  <c r="V63" i="23"/>
  <c r="Q63" i="23"/>
  <c r="L63" i="23"/>
  <c r="F63" i="23"/>
  <c r="V62" i="23"/>
  <c r="Q62" i="23"/>
  <c r="L62" i="23"/>
  <c r="F62" i="23"/>
  <c r="V61" i="23"/>
  <c r="Q61" i="23"/>
  <c r="Q69" i="23" s="1"/>
  <c r="L61" i="23"/>
  <c r="L69" i="23" s="1"/>
  <c r="F61" i="23"/>
  <c r="V60" i="23"/>
  <c r="Q60" i="23"/>
  <c r="L60" i="23"/>
  <c r="F60" i="23"/>
  <c r="F69" i="23" s="1"/>
  <c r="U55" i="23"/>
  <c r="T55" i="23"/>
  <c r="S55" i="23"/>
  <c r="R55" i="23"/>
  <c r="P55" i="23"/>
  <c r="O55" i="23"/>
  <c r="N55" i="23"/>
  <c r="M55" i="23"/>
  <c r="K55" i="23"/>
  <c r="J55" i="23"/>
  <c r="I55" i="23"/>
  <c r="H55" i="23"/>
  <c r="G55" i="23"/>
  <c r="E55" i="23"/>
  <c r="D55" i="23"/>
  <c r="C55" i="23"/>
  <c r="B55" i="23"/>
  <c r="V54" i="23"/>
  <c r="Q54" i="23"/>
  <c r="L54" i="23"/>
  <c r="F54" i="23"/>
  <c r="V53" i="23"/>
  <c r="Q53" i="23"/>
  <c r="L53" i="23"/>
  <c r="F53" i="23"/>
  <c r="V52" i="23"/>
  <c r="Q52" i="23"/>
  <c r="L52" i="23"/>
  <c r="F52" i="23"/>
  <c r="V51" i="23"/>
  <c r="Q51" i="23"/>
  <c r="L51" i="23"/>
  <c r="F51" i="23"/>
  <c r="V50" i="23"/>
  <c r="Q50" i="23"/>
  <c r="L50" i="23"/>
  <c r="F50" i="23"/>
  <c r="V49" i="23"/>
  <c r="Q49" i="23"/>
  <c r="L49" i="23"/>
  <c r="F49" i="23"/>
  <c r="V48" i="23"/>
  <c r="Q48" i="23"/>
  <c r="L48" i="23"/>
  <c r="F48" i="23"/>
  <c r="V47" i="23"/>
  <c r="Q47" i="23"/>
  <c r="L47" i="23"/>
  <c r="F47" i="23"/>
  <c r="F55" i="23" s="1"/>
  <c r="V46" i="23"/>
  <c r="V55" i="23" s="1"/>
  <c r="Q46" i="23"/>
  <c r="Q55" i="23" s="1"/>
  <c r="L46" i="23"/>
  <c r="L55" i="23" s="1"/>
  <c r="F46" i="23"/>
  <c r="U41" i="23"/>
  <c r="T41" i="23"/>
  <c r="S41" i="23"/>
  <c r="R41" i="23"/>
  <c r="Q41" i="23"/>
  <c r="P41" i="23"/>
  <c r="O41" i="23"/>
  <c r="N41" i="23"/>
  <c r="M41" i="23"/>
  <c r="L41" i="23"/>
  <c r="K41" i="23"/>
  <c r="J41" i="23"/>
  <c r="I41" i="23"/>
  <c r="H41" i="23"/>
  <c r="G41" i="23"/>
  <c r="E41" i="23"/>
  <c r="D41" i="23"/>
  <c r="C41" i="23"/>
  <c r="B41" i="23"/>
  <c r="V40" i="23"/>
  <c r="Q40" i="23"/>
  <c r="L40" i="23"/>
  <c r="F40" i="23"/>
  <c r="V39" i="23"/>
  <c r="Q39" i="23"/>
  <c r="L39" i="23"/>
  <c r="F39" i="23"/>
  <c r="V38" i="23"/>
  <c r="Q38" i="23"/>
  <c r="L38" i="23"/>
  <c r="F38" i="23"/>
  <c r="V37" i="23"/>
  <c r="Q37" i="23"/>
  <c r="L37" i="23"/>
  <c r="F37" i="23"/>
  <c r="V36" i="23"/>
  <c r="Q36" i="23"/>
  <c r="L36" i="23"/>
  <c r="F36" i="23"/>
  <c r="V35" i="23"/>
  <c r="Q35" i="23"/>
  <c r="L35" i="23"/>
  <c r="F35" i="23"/>
  <c r="V34" i="23"/>
  <c r="Q34" i="23"/>
  <c r="L34" i="23"/>
  <c r="F34" i="23"/>
  <c r="V33" i="23"/>
  <c r="Q33" i="23"/>
  <c r="L33" i="23"/>
  <c r="F33" i="23"/>
  <c r="V32" i="23"/>
  <c r="V41" i="23" s="1"/>
  <c r="Q32" i="23"/>
  <c r="L32" i="23"/>
  <c r="F32" i="23"/>
  <c r="F41" i="23" s="1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E27" i="23"/>
  <c r="D27" i="23"/>
  <c r="C27" i="23"/>
  <c r="B27" i="23"/>
  <c r="V26" i="23"/>
  <c r="Q26" i="23"/>
  <c r="L26" i="23"/>
  <c r="F26" i="23"/>
  <c r="V25" i="23"/>
  <c r="Q25" i="23"/>
  <c r="L25" i="23"/>
  <c r="F25" i="23"/>
  <c r="V24" i="23"/>
  <c r="Q24" i="23"/>
  <c r="L24" i="23"/>
  <c r="F24" i="23"/>
  <c r="V23" i="23"/>
  <c r="Q23" i="23"/>
  <c r="L23" i="23"/>
  <c r="F23" i="23"/>
  <c r="V22" i="23"/>
  <c r="Q22" i="23"/>
  <c r="L22" i="23"/>
  <c r="F22" i="23"/>
  <c r="V21" i="23"/>
  <c r="Q21" i="23"/>
  <c r="L21" i="23"/>
  <c r="F21" i="23"/>
  <c r="V20" i="23"/>
  <c r="Q20" i="23"/>
  <c r="L20" i="23"/>
  <c r="F20" i="23"/>
  <c r="V19" i="23"/>
  <c r="Q19" i="23"/>
  <c r="L19" i="23"/>
  <c r="F19" i="23"/>
  <c r="V18" i="23"/>
  <c r="V27" i="23" s="1"/>
  <c r="Q18" i="23"/>
  <c r="L18" i="23"/>
  <c r="F18" i="23"/>
  <c r="F27" i="23" s="1"/>
  <c r="V13" i="23"/>
  <c r="U13" i="23"/>
  <c r="T13" i="23"/>
  <c r="S13" i="23"/>
  <c r="R13" i="23"/>
  <c r="P13" i="23"/>
  <c r="O13" i="23"/>
  <c r="N13" i="23"/>
  <c r="M13" i="23"/>
  <c r="K13" i="23"/>
  <c r="J13" i="23"/>
  <c r="I13" i="23"/>
  <c r="H13" i="23"/>
  <c r="G13" i="23"/>
  <c r="E13" i="23"/>
  <c r="D13" i="23"/>
  <c r="C13" i="23"/>
  <c r="B13" i="23"/>
  <c r="V12" i="23"/>
  <c r="Q12" i="23"/>
  <c r="L12" i="23"/>
  <c r="F12" i="23"/>
  <c r="V11" i="23"/>
  <c r="Q11" i="23"/>
  <c r="L11" i="23"/>
  <c r="F11" i="23"/>
  <c r="V10" i="23"/>
  <c r="Q10" i="23"/>
  <c r="L10" i="23"/>
  <c r="F10" i="23"/>
  <c r="V9" i="23"/>
  <c r="Q9" i="23"/>
  <c r="L9" i="23"/>
  <c r="F9" i="23"/>
  <c r="V8" i="23"/>
  <c r="Q8" i="23"/>
  <c r="L8" i="23"/>
  <c r="F8" i="23"/>
  <c r="V7" i="23"/>
  <c r="Q7" i="23"/>
  <c r="L7" i="23"/>
  <c r="F7" i="23"/>
  <c r="V6" i="23"/>
  <c r="Q6" i="23"/>
  <c r="L6" i="23"/>
  <c r="F6" i="23"/>
  <c r="V5" i="23"/>
  <c r="Q5" i="23"/>
  <c r="Q13" i="23" s="1"/>
  <c r="L5" i="23"/>
  <c r="L13" i="23" s="1"/>
  <c r="F5" i="23"/>
  <c r="V4" i="23"/>
  <c r="Q4" i="23"/>
  <c r="L4" i="23"/>
  <c r="F4" i="23"/>
  <c r="F13" i="23" s="1"/>
  <c r="AF49" i="22"/>
  <c r="AF48" i="22"/>
  <c r="AF47" i="22"/>
  <c r="AF46" i="22"/>
  <c r="AF45" i="22"/>
  <c r="AF44" i="22"/>
  <c r="AF43" i="22"/>
  <c r="AF42" i="22"/>
  <c r="AF41" i="22"/>
  <c r="AF40" i="22"/>
  <c r="AF39" i="22"/>
  <c r="AF38" i="22"/>
  <c r="AF37" i="22"/>
  <c r="AF36" i="22"/>
  <c r="AF35" i="22"/>
  <c r="AF34" i="22"/>
  <c r="AF33" i="22"/>
  <c r="AF32" i="22"/>
  <c r="AF31" i="22"/>
  <c r="AF30" i="22"/>
  <c r="AF29" i="22"/>
  <c r="AF28" i="22"/>
  <c r="AF27" i="22"/>
  <c r="AF26" i="22"/>
  <c r="BN23" i="22"/>
  <c r="BC23" i="22"/>
  <c r="AF23" i="22"/>
  <c r="BN22" i="22"/>
  <c r="AF22" i="22"/>
  <c r="BN21" i="22"/>
  <c r="AF21" i="22"/>
  <c r="L21" i="22"/>
  <c r="BN20" i="22"/>
  <c r="AF20" i="22"/>
  <c r="L20" i="22"/>
  <c r="AF17" i="22"/>
  <c r="Y17" i="22"/>
  <c r="V17" i="22"/>
  <c r="AF16" i="22"/>
  <c r="Y16" i="22"/>
  <c r="V16" i="22"/>
  <c r="L16" i="22"/>
  <c r="BN15" i="22"/>
  <c r="BC15" i="22"/>
  <c r="AF15" i="22"/>
  <c r="BN14" i="22"/>
  <c r="BC14" i="22"/>
  <c r="AF14" i="22"/>
  <c r="Y14" i="22"/>
  <c r="S14" i="22"/>
  <c r="Q14" i="22"/>
  <c r="J14" i="22"/>
  <c r="BN11" i="22"/>
  <c r="BC11" i="22"/>
  <c r="AF11" i="22"/>
  <c r="BN10" i="22"/>
  <c r="BC10" i="22"/>
  <c r="AF10" i="22"/>
  <c r="S10" i="22"/>
  <c r="J10" i="22"/>
  <c r="BN9" i="22"/>
  <c r="BC9" i="22"/>
  <c r="AF9" i="22"/>
  <c r="Y9" i="22"/>
  <c r="V9" i="22"/>
  <c r="S9" i="22"/>
  <c r="Q9" i="22"/>
  <c r="L9" i="22"/>
  <c r="J9" i="22"/>
  <c r="AF8" i="22"/>
  <c r="Y8" i="22"/>
  <c r="J8" i="22"/>
  <c r="AA34" i="21"/>
  <c r="AA33" i="21"/>
  <c r="AA32" i="21"/>
  <c r="AA31" i="21"/>
  <c r="AA30" i="21"/>
  <c r="AA29" i="21"/>
  <c r="AA28" i="21"/>
  <c r="AA27" i="21"/>
  <c r="AA26" i="21"/>
  <c r="BB23" i="21"/>
  <c r="AA23" i="21"/>
  <c r="BB22" i="21"/>
  <c r="AA22" i="21"/>
  <c r="BB21" i="21"/>
  <c r="AA21" i="21"/>
  <c r="BB20" i="21"/>
  <c r="AA20" i="21"/>
  <c r="AA17" i="21"/>
  <c r="F17" i="21"/>
  <c r="AA16" i="21"/>
  <c r="Y16" i="21"/>
  <c r="F16" i="21"/>
  <c r="BB15" i="21"/>
  <c r="AV15" i="21"/>
  <c r="AA15" i="21"/>
  <c r="BB14" i="21"/>
  <c r="AV14" i="21"/>
  <c r="AA14" i="21"/>
  <c r="BB11" i="21"/>
  <c r="Z11" i="21"/>
  <c r="AA11" i="21" s="1"/>
  <c r="BB10" i="21"/>
  <c r="AV10" i="21"/>
  <c r="AA10" i="21"/>
  <c r="R10" i="21"/>
  <c r="F10" i="21"/>
  <c r="BB9" i="21"/>
  <c r="AV9" i="21"/>
  <c r="AA9" i="21"/>
  <c r="Z9" i="21"/>
  <c r="R9" i="21"/>
  <c r="F9" i="21"/>
  <c r="AA8" i="21"/>
  <c r="I8" i="21"/>
  <c r="F8" i="21"/>
  <c r="AF34" i="20"/>
  <c r="AF33" i="20"/>
  <c r="AF32" i="20"/>
  <c r="AF31" i="20"/>
  <c r="AF30" i="20"/>
  <c r="AF29" i="20"/>
  <c r="AF28" i="20"/>
  <c r="AF27" i="20"/>
  <c r="AF26" i="20"/>
  <c r="BM23" i="20"/>
  <c r="AF23" i="20"/>
  <c r="K14" i="37" s="1"/>
  <c r="BM22" i="20"/>
  <c r="AF22" i="20"/>
  <c r="K13" i="37" s="1"/>
  <c r="BM21" i="20"/>
  <c r="AF21" i="20"/>
  <c r="K12" i="37" s="1"/>
  <c r="BM20" i="20"/>
  <c r="AF20" i="20"/>
  <c r="K11" i="37" s="1"/>
  <c r="AF17" i="20"/>
  <c r="K19" i="37" s="1"/>
  <c r="F17" i="20"/>
  <c r="AF16" i="20"/>
  <c r="K18" i="37" s="1"/>
  <c r="Y16" i="20"/>
  <c r="F16" i="20"/>
  <c r="BM15" i="20"/>
  <c r="BB15" i="20"/>
  <c r="AF15" i="20"/>
  <c r="K17" i="37" s="1"/>
  <c r="BM14" i="20"/>
  <c r="BB14" i="20"/>
  <c r="AF14" i="20"/>
  <c r="K16" i="37" s="1"/>
  <c r="BM11" i="20"/>
  <c r="AF11" i="20"/>
  <c r="K9" i="37" s="1"/>
  <c r="Z11" i="20"/>
  <c r="BM10" i="20"/>
  <c r="BB10" i="20"/>
  <c r="AF10" i="20"/>
  <c r="K8" i="37" s="1"/>
  <c r="R10" i="20"/>
  <c r="F10" i="20"/>
  <c r="BM9" i="20"/>
  <c r="BB9" i="20"/>
  <c r="AF9" i="20"/>
  <c r="K7" i="37" s="1"/>
  <c r="Z9" i="20"/>
  <c r="R9" i="20"/>
  <c r="F9" i="20"/>
  <c r="AF8" i="20"/>
  <c r="K6" i="37" s="1"/>
  <c r="I8" i="20"/>
  <c r="F8" i="20"/>
  <c r="AA50" i="19"/>
  <c r="AA49" i="19"/>
  <c r="AA48" i="19"/>
  <c r="AA47" i="19"/>
  <c r="AA46" i="19"/>
  <c r="AA45" i="19"/>
  <c r="AA44" i="19"/>
  <c r="AA43" i="19"/>
  <c r="AA42" i="19"/>
  <c r="AA41" i="19"/>
  <c r="AA40" i="19"/>
  <c r="AA39" i="19"/>
  <c r="AA38" i="19"/>
  <c r="AA37" i="19"/>
  <c r="AA36" i="19"/>
  <c r="AA35" i="19"/>
  <c r="AA34" i="19"/>
  <c r="AA33" i="19"/>
  <c r="AA32" i="19"/>
  <c r="AA31" i="19"/>
  <c r="AA30" i="19"/>
  <c r="AA29" i="19"/>
  <c r="AA28" i="19"/>
  <c r="AA27" i="19"/>
  <c r="AA26" i="19"/>
  <c r="BG23" i="19"/>
  <c r="AA23" i="19"/>
  <c r="BG22" i="19"/>
  <c r="AA22" i="19"/>
  <c r="BG21" i="19"/>
  <c r="AA21" i="19"/>
  <c r="K21" i="19"/>
  <c r="BG20" i="19"/>
  <c r="AA20" i="19"/>
  <c r="K20" i="19"/>
  <c r="Y17" i="19"/>
  <c r="AA17" i="19" s="1"/>
  <c r="M17" i="19"/>
  <c r="AA16" i="19"/>
  <c r="Y16" i="19"/>
  <c r="J16" i="19"/>
  <c r="H16" i="19"/>
  <c r="BG15" i="19"/>
  <c r="BA15" i="19"/>
  <c r="AA15" i="19"/>
  <c r="H15" i="19"/>
  <c r="BG14" i="19"/>
  <c r="BA14" i="19"/>
  <c r="AA14" i="19"/>
  <c r="Y14" i="19"/>
  <c r="V14" i="19"/>
  <c r="P14" i="19"/>
  <c r="H14" i="19"/>
  <c r="BG11" i="19"/>
  <c r="BA11" i="19"/>
  <c r="AA11" i="19"/>
  <c r="P11" i="19"/>
  <c r="BG10" i="19"/>
  <c r="BA10" i="19"/>
  <c r="AA10" i="19"/>
  <c r="V10" i="19"/>
  <c r="M10" i="19"/>
  <c r="J10" i="19"/>
  <c r="H10" i="19"/>
  <c r="BG9" i="19"/>
  <c r="BA9" i="19"/>
  <c r="Y9" i="19"/>
  <c r="AA9" i="19" s="1"/>
  <c r="V9" i="19"/>
  <c r="P9" i="19"/>
  <c r="L9" i="19"/>
  <c r="J9" i="19"/>
  <c r="H9" i="19"/>
  <c r="AA8" i="19"/>
  <c r="V8" i="19"/>
  <c r="AF50" i="18"/>
  <c r="AF49" i="18"/>
  <c r="AF48" i="18"/>
  <c r="AF47" i="18"/>
  <c r="AF46" i="18"/>
  <c r="AF45" i="18"/>
  <c r="AF44" i="18"/>
  <c r="AF43" i="18"/>
  <c r="AF42" i="18"/>
  <c r="AF41" i="18"/>
  <c r="AF40" i="18"/>
  <c r="AF39" i="18"/>
  <c r="AF38" i="18"/>
  <c r="AF37" i="18"/>
  <c r="AF36" i="18"/>
  <c r="AF35" i="18"/>
  <c r="AF34" i="18"/>
  <c r="AF33" i="18"/>
  <c r="AF32" i="18"/>
  <c r="AF31" i="18"/>
  <c r="AF30" i="18"/>
  <c r="AF29" i="18"/>
  <c r="AF28" i="18"/>
  <c r="AF27" i="18"/>
  <c r="AF26" i="18"/>
  <c r="BQ23" i="18"/>
  <c r="AF23" i="18"/>
  <c r="M14" i="37" s="1"/>
  <c r="BQ22" i="18"/>
  <c r="AF22" i="18"/>
  <c r="M13" i="37" s="1"/>
  <c r="BQ21" i="18"/>
  <c r="AF21" i="18"/>
  <c r="M12" i="37" s="1"/>
  <c r="K21" i="18"/>
  <c r="BQ20" i="18"/>
  <c r="AF20" i="18"/>
  <c r="M11" i="37" s="1"/>
  <c r="K20" i="18"/>
  <c r="AF17" i="18"/>
  <c r="M19" i="37" s="1"/>
  <c r="Y17" i="18"/>
  <c r="M17" i="18"/>
  <c r="AF16" i="18"/>
  <c r="M18" i="37" s="1"/>
  <c r="Y16" i="18"/>
  <c r="J16" i="18"/>
  <c r="H16" i="18"/>
  <c r="BQ15" i="18"/>
  <c r="BF15" i="18"/>
  <c r="AF15" i="18"/>
  <c r="M17" i="37" s="1"/>
  <c r="H15" i="18"/>
  <c r="BQ14" i="18"/>
  <c r="BF14" i="18"/>
  <c r="AF14" i="18"/>
  <c r="M16" i="37" s="1"/>
  <c r="Y14" i="18"/>
  <c r="V14" i="18"/>
  <c r="P14" i="18"/>
  <c r="H14" i="18"/>
  <c r="BQ11" i="18"/>
  <c r="BF11" i="18"/>
  <c r="AF11" i="18"/>
  <c r="M9" i="37" s="1"/>
  <c r="P11" i="18"/>
  <c r="BQ10" i="18"/>
  <c r="BF10" i="18"/>
  <c r="AF10" i="18"/>
  <c r="M8" i="37" s="1"/>
  <c r="V10" i="18"/>
  <c r="M10" i="18"/>
  <c r="J10" i="18"/>
  <c r="H10" i="18"/>
  <c r="BQ9" i="18"/>
  <c r="BF9" i="18"/>
  <c r="AF9" i="18"/>
  <c r="M7" i="37" s="1"/>
  <c r="Y9" i="18"/>
  <c r="V9" i="18"/>
  <c r="P9" i="18"/>
  <c r="L9" i="18"/>
  <c r="J9" i="18"/>
  <c r="H9" i="18"/>
  <c r="AF8" i="18"/>
  <c r="M6" i="37" s="1"/>
  <c r="V8" i="18"/>
  <c r="AA33" i="17"/>
  <c r="AA32" i="17"/>
  <c r="AA31" i="17"/>
  <c r="AA30" i="17"/>
  <c r="AA29" i="17"/>
  <c r="AA28" i="17"/>
  <c r="AA27" i="17"/>
  <c r="AA26" i="17"/>
  <c r="BE23" i="17"/>
  <c r="AA23" i="17"/>
  <c r="BE22" i="17"/>
  <c r="AA22" i="17"/>
  <c r="BE21" i="17"/>
  <c r="AA21" i="17"/>
  <c r="P21" i="17"/>
  <c r="K21" i="17"/>
  <c r="BE20" i="17"/>
  <c r="AA20" i="17"/>
  <c r="R20" i="17"/>
  <c r="K20" i="17"/>
  <c r="AA17" i="17"/>
  <c r="H17" i="17"/>
  <c r="AA16" i="17"/>
  <c r="T16" i="17"/>
  <c r="O16" i="17"/>
  <c r="BE15" i="17"/>
  <c r="AY15" i="17"/>
  <c r="AA15" i="17"/>
  <c r="BE14" i="17"/>
  <c r="AY14" i="17"/>
  <c r="AA14" i="17"/>
  <c r="S14" i="17"/>
  <c r="L14" i="17"/>
  <c r="F14" i="17"/>
  <c r="BE11" i="17"/>
  <c r="AA11" i="17"/>
  <c r="BE10" i="17"/>
  <c r="AY10" i="17"/>
  <c r="AA10" i="17"/>
  <c r="T10" i="17"/>
  <c r="K10" i="17"/>
  <c r="H10" i="17"/>
  <c r="BE9" i="17"/>
  <c r="AY9" i="17"/>
  <c r="AA9" i="17"/>
  <c r="T9" i="17"/>
  <c r="S9" i="17"/>
  <c r="O9" i="17"/>
  <c r="L9" i="17"/>
  <c r="H9" i="17"/>
  <c r="F9" i="17"/>
  <c r="AA8" i="17"/>
  <c r="K8" i="17"/>
  <c r="F8" i="17"/>
  <c r="AF33" i="16"/>
  <c r="AF32" i="16"/>
  <c r="AF31" i="16"/>
  <c r="AF30" i="16"/>
  <c r="AF29" i="16"/>
  <c r="AF28" i="16"/>
  <c r="AF27" i="16"/>
  <c r="AF26" i="16"/>
  <c r="BO23" i="16"/>
  <c r="AF23" i="16"/>
  <c r="H14" i="37" s="1"/>
  <c r="BO22" i="16"/>
  <c r="AF22" i="16"/>
  <c r="H13" i="37" s="1"/>
  <c r="BO21" i="16"/>
  <c r="AF21" i="16"/>
  <c r="H12" i="37" s="1"/>
  <c r="P21" i="16"/>
  <c r="K21" i="16"/>
  <c r="BO20" i="16"/>
  <c r="AF20" i="16"/>
  <c r="H11" i="37" s="1"/>
  <c r="R20" i="16"/>
  <c r="K20" i="16"/>
  <c r="AF17" i="16"/>
  <c r="H19" i="37" s="1"/>
  <c r="H17" i="16"/>
  <c r="AF16" i="16"/>
  <c r="H18" i="37" s="1"/>
  <c r="T16" i="16"/>
  <c r="O16" i="16"/>
  <c r="BO15" i="16"/>
  <c r="BD15" i="16"/>
  <c r="AF15" i="16"/>
  <c r="H17" i="37" s="1"/>
  <c r="BO14" i="16"/>
  <c r="BD14" i="16"/>
  <c r="AF14" i="16"/>
  <c r="H16" i="37" s="1"/>
  <c r="S14" i="16"/>
  <c r="L14" i="16"/>
  <c r="F14" i="16"/>
  <c r="BO11" i="16"/>
  <c r="AF11" i="16"/>
  <c r="H9" i="37" s="1"/>
  <c r="BO10" i="16"/>
  <c r="BD10" i="16"/>
  <c r="AF10" i="16"/>
  <c r="H8" i="37" s="1"/>
  <c r="T10" i="16"/>
  <c r="K10" i="16"/>
  <c r="H10" i="16"/>
  <c r="BO9" i="16"/>
  <c r="BD9" i="16"/>
  <c r="AF9" i="16"/>
  <c r="H7" i="37" s="1"/>
  <c r="T9" i="16"/>
  <c r="S9" i="16"/>
  <c r="O9" i="16"/>
  <c r="L9" i="16"/>
  <c r="H9" i="16"/>
  <c r="F9" i="16"/>
  <c r="AF8" i="16"/>
  <c r="H6" i="37" s="1"/>
  <c r="K8" i="16"/>
  <c r="F8" i="16"/>
  <c r="AA33" i="15"/>
  <c r="AA32" i="15"/>
  <c r="AA31" i="15"/>
  <c r="AA30" i="15"/>
  <c r="AA29" i="15"/>
  <c r="AA28" i="15"/>
  <c r="AA27" i="15"/>
  <c r="AA26" i="15"/>
  <c r="BL23" i="15"/>
  <c r="BF23" i="15"/>
  <c r="AA23" i="15"/>
  <c r="S23" i="15"/>
  <c r="R23" i="15"/>
  <c r="BL22" i="15"/>
  <c r="BF22" i="15"/>
  <c r="AA22" i="15"/>
  <c r="BL21" i="15"/>
  <c r="BF21" i="15"/>
  <c r="AA21" i="15"/>
  <c r="R21" i="15"/>
  <c r="BL20" i="15"/>
  <c r="BF20" i="15"/>
  <c r="AA20" i="15"/>
  <c r="S20" i="15"/>
  <c r="AA17" i="15"/>
  <c r="V17" i="15"/>
  <c r="AA16" i="15"/>
  <c r="Y16" i="15"/>
  <c r="BL15" i="15"/>
  <c r="BF15" i="15"/>
  <c r="AA15" i="15"/>
  <c r="BL14" i="15"/>
  <c r="BF14" i="15"/>
  <c r="AA14" i="15"/>
  <c r="Y14" i="15"/>
  <c r="V14" i="15"/>
  <c r="R14" i="15"/>
  <c r="BL11" i="15"/>
  <c r="BF11" i="15"/>
  <c r="AA11" i="15"/>
  <c r="J11" i="15"/>
  <c r="BL10" i="15"/>
  <c r="BF10" i="15"/>
  <c r="AA10" i="15"/>
  <c r="Y10" i="15"/>
  <c r="V10" i="15"/>
  <c r="R10" i="15"/>
  <c r="M10" i="15"/>
  <c r="J10" i="15"/>
  <c r="H10" i="15"/>
  <c r="BL9" i="15"/>
  <c r="BF9" i="15"/>
  <c r="AA9" i="15"/>
  <c r="Y9" i="15"/>
  <c r="V9" i="15"/>
  <c r="R9" i="15"/>
  <c r="M9" i="15"/>
  <c r="L9" i="15"/>
  <c r="J9" i="15"/>
  <c r="AA8" i="15"/>
  <c r="Y8" i="15"/>
  <c r="V8" i="15"/>
  <c r="I8" i="15"/>
  <c r="AF33" i="14"/>
  <c r="AF32" i="14"/>
  <c r="AF31" i="14"/>
  <c r="AF30" i="14"/>
  <c r="AF29" i="14"/>
  <c r="AF28" i="14"/>
  <c r="AF27" i="14"/>
  <c r="AF26" i="14"/>
  <c r="BV23" i="14"/>
  <c r="BK23" i="14"/>
  <c r="AF23" i="14"/>
  <c r="S23" i="14"/>
  <c r="R23" i="14"/>
  <c r="BV22" i="14"/>
  <c r="BK22" i="14"/>
  <c r="AF22" i="14"/>
  <c r="BV21" i="14"/>
  <c r="BK21" i="14"/>
  <c r="AF21" i="14"/>
  <c r="R21" i="14"/>
  <c r="BV20" i="14"/>
  <c r="BK20" i="14"/>
  <c r="AF20" i="14"/>
  <c r="S20" i="14"/>
  <c r="AF17" i="14"/>
  <c r="V17" i="14"/>
  <c r="AF16" i="14"/>
  <c r="Y16" i="14"/>
  <c r="BV15" i="14"/>
  <c r="BK15" i="14"/>
  <c r="AF15" i="14"/>
  <c r="BV14" i="14"/>
  <c r="BK14" i="14"/>
  <c r="AF14" i="14"/>
  <c r="Y14" i="14"/>
  <c r="V14" i="14"/>
  <c r="R14" i="14"/>
  <c r="BV11" i="14"/>
  <c r="BK11" i="14"/>
  <c r="AF11" i="14"/>
  <c r="J11" i="14"/>
  <c r="BV10" i="14"/>
  <c r="BK10" i="14"/>
  <c r="AF10" i="14"/>
  <c r="Y10" i="14"/>
  <c r="V10" i="14"/>
  <c r="R10" i="14"/>
  <c r="M10" i="14"/>
  <c r="J10" i="14"/>
  <c r="H10" i="14"/>
  <c r="BV9" i="14"/>
  <c r="BK9" i="14"/>
  <c r="AF9" i="14"/>
  <c r="Y9" i="14"/>
  <c r="V9" i="14"/>
  <c r="R9" i="14"/>
  <c r="M9" i="14"/>
  <c r="L9" i="14"/>
  <c r="J9" i="14"/>
  <c r="AF8" i="14"/>
  <c r="Y8" i="14"/>
  <c r="V8" i="14"/>
  <c r="I8" i="14"/>
  <c r="AA34" i="13"/>
  <c r="AA33" i="13"/>
  <c r="AA32" i="13"/>
  <c r="AA31" i="13"/>
  <c r="AA30" i="13"/>
  <c r="AA29" i="13"/>
  <c r="AA28" i="13"/>
  <c r="AA27" i="13"/>
  <c r="AA26" i="13"/>
  <c r="BD23" i="13"/>
  <c r="AX23" i="13"/>
  <c r="AA23" i="13"/>
  <c r="BD22" i="13"/>
  <c r="AX22" i="13"/>
  <c r="AA22" i="13"/>
  <c r="BD21" i="13"/>
  <c r="AX21" i="13"/>
  <c r="AA21" i="13"/>
  <c r="L21" i="13"/>
  <c r="BD20" i="13"/>
  <c r="AX20" i="13"/>
  <c r="AA20" i="13"/>
  <c r="AA17" i="13"/>
  <c r="Z17" i="13"/>
  <c r="L17" i="13"/>
  <c r="H17" i="13"/>
  <c r="F17" i="13"/>
  <c r="AA16" i="13"/>
  <c r="Z16" i="13"/>
  <c r="T16" i="13"/>
  <c r="R16" i="13"/>
  <c r="M16" i="13"/>
  <c r="H16" i="13"/>
  <c r="F16" i="13"/>
  <c r="BD15" i="13"/>
  <c r="AX15" i="13"/>
  <c r="AA15" i="13"/>
  <c r="H15" i="13"/>
  <c r="F15" i="13"/>
  <c r="BD14" i="13"/>
  <c r="AX14" i="13"/>
  <c r="AA14" i="13"/>
  <c r="Z14" i="13"/>
  <c r="T14" i="13"/>
  <c r="R14" i="13"/>
  <c r="M14" i="13"/>
  <c r="L14" i="13"/>
  <c r="H14" i="13"/>
  <c r="F14" i="13"/>
  <c r="BD11" i="13"/>
  <c r="AX11" i="13"/>
  <c r="AA11" i="13"/>
  <c r="BD10" i="13"/>
  <c r="AX10" i="13"/>
  <c r="Z10" i="13"/>
  <c r="AA10" i="13" s="1"/>
  <c r="R10" i="13"/>
  <c r="H10" i="13"/>
  <c r="F10" i="13"/>
  <c r="BD9" i="13"/>
  <c r="AX9" i="13"/>
  <c r="AA9" i="13"/>
  <c r="Z9" i="13"/>
  <c r="T9" i="13"/>
  <c r="R9" i="13"/>
  <c r="M9" i="13"/>
  <c r="L9" i="13"/>
  <c r="J9" i="13"/>
  <c r="H9" i="13"/>
  <c r="F9" i="13"/>
  <c r="AA8" i="13"/>
  <c r="Z8" i="13"/>
  <c r="F8" i="13"/>
  <c r="AF34" i="11"/>
  <c r="AF33" i="11"/>
  <c r="AF32" i="11"/>
  <c r="AF31" i="11"/>
  <c r="AF30" i="11"/>
  <c r="AF29" i="11"/>
  <c r="AF28" i="11"/>
  <c r="AF27" i="11"/>
  <c r="AF26" i="11"/>
  <c r="BO23" i="11"/>
  <c r="BD23" i="11"/>
  <c r="AF23" i="11"/>
  <c r="J14" i="37" s="1"/>
  <c r="BO22" i="11"/>
  <c r="BD22" i="11"/>
  <c r="AF22" i="11"/>
  <c r="J13" i="37" s="1"/>
  <c r="BO21" i="11"/>
  <c r="BD21" i="11"/>
  <c r="AF21" i="11"/>
  <c r="J12" i="37" s="1"/>
  <c r="L21" i="11"/>
  <c r="BO20" i="11"/>
  <c r="BD20" i="11"/>
  <c r="AF20" i="11"/>
  <c r="J11" i="37" s="1"/>
  <c r="AF17" i="11"/>
  <c r="J19" i="37" s="1"/>
  <c r="Z17" i="11"/>
  <c r="L17" i="11"/>
  <c r="H17" i="11"/>
  <c r="F17" i="11"/>
  <c r="AF16" i="11"/>
  <c r="J18" i="37" s="1"/>
  <c r="Z16" i="11"/>
  <c r="T16" i="11"/>
  <c r="R16" i="11"/>
  <c r="M16" i="11"/>
  <c r="H16" i="11"/>
  <c r="F16" i="11"/>
  <c r="BO15" i="11"/>
  <c r="BD15" i="11"/>
  <c r="AF15" i="11"/>
  <c r="J17" i="37" s="1"/>
  <c r="H15" i="11"/>
  <c r="F15" i="11"/>
  <c r="BO14" i="11"/>
  <c r="BD14" i="11"/>
  <c r="AF14" i="11"/>
  <c r="J16" i="37" s="1"/>
  <c r="Z14" i="11"/>
  <c r="T14" i="11"/>
  <c r="R14" i="11"/>
  <c r="M14" i="11"/>
  <c r="L14" i="11"/>
  <c r="H14" i="11"/>
  <c r="F14" i="11"/>
  <c r="BO11" i="11"/>
  <c r="BD11" i="11"/>
  <c r="AF11" i="11"/>
  <c r="J9" i="37" s="1"/>
  <c r="BO10" i="11"/>
  <c r="BD10" i="11"/>
  <c r="AF10" i="11"/>
  <c r="J8" i="37" s="1"/>
  <c r="Z10" i="11"/>
  <c r="R10" i="11"/>
  <c r="H10" i="11"/>
  <c r="F10" i="11"/>
  <c r="BO9" i="11"/>
  <c r="BD9" i="11"/>
  <c r="AF9" i="11"/>
  <c r="J7" i="37" s="1"/>
  <c r="Z9" i="11"/>
  <c r="T9" i="11"/>
  <c r="R9" i="11"/>
  <c r="M9" i="11"/>
  <c r="L9" i="11"/>
  <c r="J9" i="11"/>
  <c r="H9" i="11"/>
  <c r="F9" i="11"/>
  <c r="AF8" i="11"/>
  <c r="J6" i="37" s="1"/>
  <c r="Z8" i="11"/>
  <c r="F8" i="11"/>
  <c r="AA34" i="10"/>
  <c r="AA33" i="10"/>
  <c r="AA32" i="10"/>
  <c r="AA31" i="10"/>
  <c r="AA30" i="10"/>
  <c r="AA29" i="10"/>
  <c r="AA28" i="10"/>
  <c r="AA27" i="10"/>
  <c r="AA26" i="10"/>
  <c r="BI23" i="10"/>
  <c r="BC23" i="10"/>
  <c r="AA23" i="10"/>
  <c r="BI22" i="10"/>
  <c r="BC22" i="10"/>
  <c r="AA22" i="10"/>
  <c r="BI21" i="10"/>
  <c r="BC21" i="10"/>
  <c r="AA21" i="10"/>
  <c r="J21" i="10"/>
  <c r="BI20" i="10"/>
  <c r="AA20" i="10"/>
  <c r="J20" i="10"/>
  <c r="AA17" i="10"/>
  <c r="Z17" i="10"/>
  <c r="Y17" i="10"/>
  <c r="F17" i="10"/>
  <c r="Z16" i="10"/>
  <c r="AA16" i="10" s="1"/>
  <c r="Y16" i="10"/>
  <c r="V16" i="10"/>
  <c r="S16" i="10"/>
  <c r="F16" i="10"/>
  <c r="BI15" i="10"/>
  <c r="BC15" i="10"/>
  <c r="AA15" i="10"/>
  <c r="F15" i="10"/>
  <c r="BI14" i="10"/>
  <c r="BC14" i="10"/>
  <c r="Z14" i="10"/>
  <c r="AA14" i="10" s="1"/>
  <c r="Y14" i="10"/>
  <c r="V14" i="10"/>
  <c r="S14" i="10"/>
  <c r="F14" i="10"/>
  <c r="BI11" i="10"/>
  <c r="BC11" i="10"/>
  <c r="AA11" i="10"/>
  <c r="T11" i="10"/>
  <c r="R11" i="10"/>
  <c r="M11" i="10"/>
  <c r="BI10" i="10"/>
  <c r="BC10" i="10"/>
  <c r="AA10" i="10"/>
  <c r="V10" i="10"/>
  <c r="T10" i="10"/>
  <c r="R10" i="10"/>
  <c r="F10" i="10"/>
  <c r="BI9" i="10"/>
  <c r="BC9" i="10"/>
  <c r="AA9" i="10"/>
  <c r="Z9" i="10"/>
  <c r="Y9" i="10"/>
  <c r="V9" i="10"/>
  <c r="S9" i="10"/>
  <c r="Q9" i="10"/>
  <c r="M9" i="10"/>
  <c r="F9" i="10"/>
  <c r="AA8" i="10"/>
  <c r="Z8" i="10"/>
  <c r="Y8" i="10"/>
  <c r="T8" i="10"/>
  <c r="R8" i="10"/>
  <c r="M8" i="10"/>
  <c r="F8" i="10"/>
  <c r="AF34" i="9"/>
  <c r="AF33" i="9"/>
  <c r="AF32" i="9"/>
  <c r="AF31" i="9"/>
  <c r="AF30" i="9"/>
  <c r="AF29" i="9"/>
  <c r="AF28" i="9"/>
  <c r="AF27" i="9"/>
  <c r="AF26" i="9"/>
  <c r="BS23" i="9"/>
  <c r="BH23" i="9"/>
  <c r="AF23" i="9"/>
  <c r="BS22" i="9"/>
  <c r="BH22" i="9"/>
  <c r="AF22" i="9"/>
  <c r="BS21" i="9"/>
  <c r="BH21" i="9"/>
  <c r="AF21" i="9"/>
  <c r="J21" i="9"/>
  <c r="BS20" i="9"/>
  <c r="AF20" i="9"/>
  <c r="J20" i="9"/>
  <c r="AF17" i="9"/>
  <c r="Z17" i="9"/>
  <c r="Y17" i="9"/>
  <c r="F17" i="9"/>
  <c r="AF16" i="9"/>
  <c r="Z16" i="9"/>
  <c r="Y16" i="9"/>
  <c r="V16" i="9"/>
  <c r="S16" i="9"/>
  <c r="F16" i="9"/>
  <c r="BS15" i="9"/>
  <c r="BH15" i="9"/>
  <c r="AF15" i="9"/>
  <c r="F15" i="9"/>
  <c r="BS14" i="9"/>
  <c r="BH14" i="9"/>
  <c r="AF14" i="9"/>
  <c r="Z14" i="9"/>
  <c r="Y14" i="9"/>
  <c r="V14" i="9"/>
  <c r="S14" i="9"/>
  <c r="F14" i="9"/>
  <c r="BS11" i="9"/>
  <c r="BH11" i="9"/>
  <c r="AF11" i="9"/>
  <c r="T11" i="9"/>
  <c r="R11" i="9"/>
  <c r="M11" i="9"/>
  <c r="BS10" i="9"/>
  <c r="BH10" i="9"/>
  <c r="AF10" i="9"/>
  <c r="V10" i="9"/>
  <c r="T10" i="9"/>
  <c r="R10" i="9"/>
  <c r="F10" i="9"/>
  <c r="BS9" i="9"/>
  <c r="BH9" i="9"/>
  <c r="AF9" i="9"/>
  <c r="Z9" i="9"/>
  <c r="Y9" i="9"/>
  <c r="V9" i="9"/>
  <c r="S9" i="9"/>
  <c r="Q9" i="9"/>
  <c r="M9" i="9"/>
  <c r="F9" i="9"/>
  <c r="AF8" i="9"/>
  <c r="Z8" i="9"/>
  <c r="Y8" i="9"/>
  <c r="T8" i="9"/>
  <c r="R8" i="9"/>
  <c r="M8" i="9"/>
  <c r="F8" i="9"/>
  <c r="AA34" i="8"/>
  <c r="AA33" i="8"/>
  <c r="AA32" i="8"/>
  <c r="AA31" i="8"/>
  <c r="AA30" i="8"/>
  <c r="AA29" i="8"/>
  <c r="AA28" i="8"/>
  <c r="AA27" i="8"/>
  <c r="AA26" i="8"/>
  <c r="BI23" i="8"/>
  <c r="BC23" i="8"/>
  <c r="AA23" i="8"/>
  <c r="R23" i="8"/>
  <c r="BI22" i="8"/>
  <c r="AA22" i="8"/>
  <c r="BI21" i="8"/>
  <c r="AA21" i="8"/>
  <c r="L21" i="8"/>
  <c r="BI20" i="8"/>
  <c r="AA20" i="8"/>
  <c r="L20" i="8"/>
  <c r="AA17" i="8"/>
  <c r="Y17" i="8"/>
  <c r="H17" i="8"/>
  <c r="F17" i="8"/>
  <c r="Y16" i="8"/>
  <c r="AA16" i="8" s="1"/>
  <c r="H16" i="8"/>
  <c r="BI15" i="8"/>
  <c r="BC15" i="8"/>
  <c r="AA15" i="8"/>
  <c r="BI14" i="8"/>
  <c r="BC14" i="8"/>
  <c r="AA14" i="8"/>
  <c r="Y14" i="8"/>
  <c r="R14" i="8"/>
  <c r="J14" i="8"/>
  <c r="BI11" i="8"/>
  <c r="BC11" i="8"/>
  <c r="AA11" i="8"/>
  <c r="Y11" i="8"/>
  <c r="H11" i="8"/>
  <c r="F11" i="8"/>
  <c r="BI10" i="8"/>
  <c r="BC10" i="8"/>
  <c r="AA10" i="8"/>
  <c r="Y10" i="8"/>
  <c r="R10" i="8"/>
  <c r="H10" i="8"/>
  <c r="F10" i="8"/>
  <c r="BI9" i="8"/>
  <c r="BC9" i="8"/>
  <c r="AA9" i="8"/>
  <c r="Y9" i="8"/>
  <c r="R9" i="8"/>
  <c r="L9" i="8"/>
  <c r="J9" i="8"/>
  <c r="H9" i="8"/>
  <c r="G9" i="8"/>
  <c r="F9" i="8"/>
  <c r="Y8" i="8"/>
  <c r="AA8" i="8" s="1"/>
  <c r="H8" i="8"/>
  <c r="AF34" i="7"/>
  <c r="AF33" i="7"/>
  <c r="AF32" i="7"/>
  <c r="AF31" i="7"/>
  <c r="AF30" i="7"/>
  <c r="AF29" i="7"/>
  <c r="AF28" i="7"/>
  <c r="AF27" i="7"/>
  <c r="AF26" i="7"/>
  <c r="BS23" i="7"/>
  <c r="BH23" i="7"/>
  <c r="AF23" i="7"/>
  <c r="G14" i="37" s="1"/>
  <c r="R23" i="7"/>
  <c r="BS22" i="7"/>
  <c r="AF22" i="7"/>
  <c r="G13" i="37" s="1"/>
  <c r="BS21" i="7"/>
  <c r="AF21" i="7"/>
  <c r="G12" i="37" s="1"/>
  <c r="L21" i="7"/>
  <c r="BS20" i="7"/>
  <c r="AF20" i="7"/>
  <c r="G11" i="37" s="1"/>
  <c r="L20" i="7"/>
  <c r="AF17" i="7"/>
  <c r="G19" i="37" s="1"/>
  <c r="Y17" i="7"/>
  <c r="H17" i="7"/>
  <c r="F17" i="7"/>
  <c r="AF16" i="7"/>
  <c r="G18" i="37" s="1"/>
  <c r="Y16" i="7"/>
  <c r="H16" i="7"/>
  <c r="BS15" i="7"/>
  <c r="BH15" i="7"/>
  <c r="AF15" i="7"/>
  <c r="G17" i="37" s="1"/>
  <c r="BS14" i="7"/>
  <c r="BH14" i="7"/>
  <c r="AF14" i="7"/>
  <c r="G16" i="37" s="1"/>
  <c r="Y14" i="7"/>
  <c r="R14" i="7"/>
  <c r="J14" i="7"/>
  <c r="BS11" i="7"/>
  <c r="BH11" i="7"/>
  <c r="AF11" i="7"/>
  <c r="G9" i="37" s="1"/>
  <c r="Y11" i="7"/>
  <c r="H11" i="7"/>
  <c r="F11" i="7"/>
  <c r="BS10" i="7"/>
  <c r="BH10" i="7"/>
  <c r="AF10" i="7"/>
  <c r="G8" i="37" s="1"/>
  <c r="Y10" i="7"/>
  <c r="R10" i="7"/>
  <c r="H10" i="7"/>
  <c r="F10" i="7"/>
  <c r="BS9" i="7"/>
  <c r="BH9" i="7"/>
  <c r="AF9" i="7"/>
  <c r="G7" i="37" s="1"/>
  <c r="Y9" i="7"/>
  <c r="R9" i="7"/>
  <c r="L9" i="7"/>
  <c r="J9" i="7"/>
  <c r="H9" i="7"/>
  <c r="G9" i="7"/>
  <c r="F9" i="7"/>
  <c r="AF8" i="7"/>
  <c r="G6" i="37" s="1"/>
  <c r="Y8" i="7"/>
  <c r="H8" i="7"/>
  <c r="AA37" i="6"/>
  <c r="AA36" i="6"/>
  <c r="AA35" i="6"/>
  <c r="AA34" i="6"/>
  <c r="AA33" i="6"/>
  <c r="AA32" i="6"/>
  <c r="AA31" i="6"/>
  <c r="AA30" i="6"/>
  <c r="AA29" i="6"/>
  <c r="AA28" i="6"/>
  <c r="AA27" i="6"/>
  <c r="AA26" i="6"/>
  <c r="BF23" i="6"/>
  <c r="AZ23" i="6"/>
  <c r="AA23" i="6"/>
  <c r="R23" i="6"/>
  <c r="L23" i="6"/>
  <c r="BF22" i="6"/>
  <c r="AZ22" i="6"/>
  <c r="AA22" i="6"/>
  <c r="BF21" i="6"/>
  <c r="AZ21" i="6"/>
  <c r="AA21" i="6"/>
  <c r="K21" i="6"/>
  <c r="BF20" i="6"/>
  <c r="AA20" i="6"/>
  <c r="K20" i="6"/>
  <c r="AA17" i="6"/>
  <c r="Y17" i="6"/>
  <c r="AA16" i="6"/>
  <c r="Y16" i="6"/>
  <c r="BF15" i="6"/>
  <c r="AZ15" i="6"/>
  <c r="AA15" i="6"/>
  <c r="BF14" i="6"/>
  <c r="AZ14" i="6"/>
  <c r="AA14" i="6"/>
  <c r="Y14" i="6"/>
  <c r="R14" i="6"/>
  <c r="P14" i="6"/>
  <c r="L14" i="6"/>
  <c r="BF11" i="6"/>
  <c r="AZ11" i="6"/>
  <c r="Y11" i="6"/>
  <c r="AA11" i="6" s="1"/>
  <c r="BF10" i="6"/>
  <c r="AZ10" i="6"/>
  <c r="Y10" i="6"/>
  <c r="AA10" i="6" s="1"/>
  <c r="R10" i="6"/>
  <c r="BF9" i="6"/>
  <c r="AZ9" i="6"/>
  <c r="Y9" i="6"/>
  <c r="AA9" i="6" s="1"/>
  <c r="R9" i="6"/>
  <c r="P9" i="6"/>
  <c r="L9" i="6"/>
  <c r="G9" i="6"/>
  <c r="AA8" i="6"/>
  <c r="Y8" i="6"/>
  <c r="AF37" i="5"/>
  <c r="AF36" i="5"/>
  <c r="AF35" i="5"/>
  <c r="AF34" i="5"/>
  <c r="AF33" i="5"/>
  <c r="AF32" i="5"/>
  <c r="AF31" i="5"/>
  <c r="AF30" i="5"/>
  <c r="AF29" i="5"/>
  <c r="AF28" i="5"/>
  <c r="AF27" i="5"/>
  <c r="AF26" i="5"/>
  <c r="BP23" i="5"/>
  <c r="BE23" i="5"/>
  <c r="AF23" i="5"/>
  <c r="Z23" i="5"/>
  <c r="R23" i="5"/>
  <c r="L23" i="5"/>
  <c r="BP22" i="5"/>
  <c r="BE22" i="5"/>
  <c r="AF22" i="5"/>
  <c r="BP21" i="5"/>
  <c r="BE21" i="5"/>
  <c r="AF21" i="5"/>
  <c r="K21" i="5"/>
  <c r="BP20" i="5"/>
  <c r="AF20" i="5"/>
  <c r="K20" i="5"/>
  <c r="AF17" i="5"/>
  <c r="Y17" i="5"/>
  <c r="AF16" i="5"/>
  <c r="Y16" i="5"/>
  <c r="BP15" i="5"/>
  <c r="BE15" i="5"/>
  <c r="AF15" i="5"/>
  <c r="BP14" i="5"/>
  <c r="BE14" i="5"/>
  <c r="AF14" i="5"/>
  <c r="Y14" i="5"/>
  <c r="R14" i="5"/>
  <c r="P14" i="5"/>
  <c r="L14" i="5"/>
  <c r="BP11" i="5"/>
  <c r="BE11" i="5"/>
  <c r="AF11" i="5"/>
  <c r="Y11" i="5"/>
  <c r="BP10" i="5"/>
  <c r="BE10" i="5"/>
  <c r="AF10" i="5"/>
  <c r="Y10" i="5"/>
  <c r="R10" i="5"/>
  <c r="BP9" i="5"/>
  <c r="BE9" i="5"/>
  <c r="AF9" i="5"/>
  <c r="Y9" i="5"/>
  <c r="R9" i="5"/>
  <c r="P9" i="5"/>
  <c r="L9" i="5"/>
  <c r="G9" i="5"/>
  <c r="AF8" i="5"/>
  <c r="Y8" i="5"/>
  <c r="K53" i="34" l="1"/>
  <c r="N89" i="38"/>
  <c r="P16" i="24"/>
  <c r="P60" i="24"/>
  <c r="P104" i="24"/>
  <c r="I44" i="34"/>
  <c r="I98" i="34"/>
  <c r="K7" i="35"/>
  <c r="K55" i="35"/>
  <c r="K15" i="36"/>
  <c r="K63" i="36"/>
  <c r="L39" i="38"/>
  <c r="L79" i="38"/>
  <c r="P37" i="24"/>
  <c r="P43" i="24" s="1"/>
  <c r="P81" i="24"/>
  <c r="P87" i="24" s="1"/>
  <c r="D23" i="35"/>
  <c r="D71" i="35"/>
  <c r="D31" i="36"/>
  <c r="D79" i="36"/>
  <c r="D10" i="24"/>
  <c r="D54" i="24"/>
  <c r="D98" i="24"/>
  <c r="K47" i="35"/>
  <c r="K7" i="36"/>
  <c r="K55" i="36"/>
  <c r="F9" i="38"/>
  <c r="F49" i="38"/>
  <c r="F89" i="38"/>
  <c r="P26" i="24"/>
  <c r="P32" i="24" s="1"/>
  <c r="P70" i="24"/>
  <c r="P76" i="24" s="1"/>
  <c r="P114" i="24"/>
  <c r="P120" i="24" s="1"/>
  <c r="K23" i="34"/>
  <c r="K26" i="34" s="1"/>
  <c r="K77" i="34"/>
  <c r="K80" i="34" s="1"/>
  <c r="K12" i="35"/>
  <c r="K39" i="35"/>
  <c r="K60" i="35"/>
  <c r="K87" i="35"/>
  <c r="K20" i="36"/>
  <c r="K47" i="36"/>
  <c r="K68" i="36"/>
  <c r="D7" i="35"/>
  <c r="D55" i="35"/>
  <c r="D15" i="36"/>
  <c r="D63" i="36"/>
  <c r="I17" i="34"/>
  <c r="I71" i="34"/>
  <c r="P15" i="24"/>
  <c r="P59" i="24"/>
  <c r="P103" i="24"/>
  <c r="D39" i="35"/>
  <c r="D87" i="35"/>
  <c r="D47" i="36"/>
  <c r="P65" i="24" l="1"/>
  <c r="P109" i="24"/>
  <c r="P21" i="2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Z23" authorId="0" shapeId="0" xr:uid="{00000000-0006-0000-0400-000001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13/05 - AJUSTE INVENTÁRIO = 17 UNIDADES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Leticia</author>
    <author>Stiphanie da Silva Lima</author>
  </authors>
  <commentList>
    <comment ref="D10" authorId="0" shapeId="0" xr:uid="{00000000-0006-0000-1900-000001000000}">
      <text>
        <r>
          <rPr>
            <sz val="11"/>
            <color theme="1"/>
            <rFont val="Calibri"/>
            <family val="2"/>
            <scheme val="minor"/>
          </rPr>
          <t>Leticia:
muito estranho estarem gastando tão poucas sacolas M, ir analisando o progresso e ajustar quando tiver mais histórico</t>
        </r>
      </text>
    </comment>
    <comment ref="AV10" authorId="1" shapeId="0" xr:uid="{00000000-0006-0000-1900-000002000000}">
      <text>
        <r>
          <rPr>
            <sz val="11"/>
            <color theme="1"/>
            <rFont val="Calibri"/>
            <family val="2"/>
            <scheme val="minor"/>
          </rPr>
          <t>Stiphanie da Silva Lima:
CONSUMO</t>
        </r>
      </text>
    </comment>
    <comment ref="AV16" authorId="1" shapeId="0" xr:uid="{00000000-0006-0000-1900-000003000000}">
      <text>
        <r>
          <rPr>
            <sz val="11"/>
            <color theme="1"/>
            <rFont val="Calibri"/>
            <family val="2"/>
            <scheme val="minor"/>
          </rPr>
          <t>Stiphanie da Silva Lima:
VENDA</t>
        </r>
      </text>
    </comment>
    <comment ref="AR19" authorId="1" shapeId="0" xr:uid="{00000000-0006-0000-1900-000004000000}">
      <text>
        <r>
          <rPr>
            <sz val="11"/>
            <color theme="1"/>
            <rFont val="Calibri"/>
            <family val="2"/>
            <scheme val="minor"/>
          </rPr>
          <t>Stiphanie da Silva Lima:
KIT PAPEL SEDA - 10 PC C/ 20 UND</t>
        </r>
      </text>
    </comment>
    <comment ref="AV19" authorId="1" shapeId="0" xr:uid="{00000000-0006-0000-1900-000005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CONSUMO
</t>
        </r>
      </text>
    </comment>
    <comment ref="AV20" authorId="1" shapeId="0" xr:uid="{00000000-0006-0000-1900-000006000000}">
      <text>
        <r>
          <rPr>
            <sz val="11"/>
            <color theme="1"/>
            <rFont val="Calibri"/>
            <family val="2"/>
            <scheme val="minor"/>
          </rPr>
          <t>Stiphanie da Silva Lima:
3 PCT C/ 1000 UND - CONSUMO</t>
        </r>
      </text>
    </comment>
    <comment ref="AV21" authorId="1" shapeId="0" xr:uid="{00000000-0006-0000-1900-000007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10 PCT C/ 20 UND - VENDA
</t>
        </r>
      </text>
    </comment>
    <comment ref="AR26" authorId="1" shapeId="0" xr:uid="{00000000-0006-0000-1900-000008000000}">
      <text>
        <r>
          <rPr>
            <sz val="11"/>
            <color theme="1"/>
            <rFont val="Calibri"/>
            <family val="2"/>
            <scheme val="minor"/>
          </rPr>
          <t>Stiphanie da Silva Lima:
CARTUCHO M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AN10" authorId="0" shapeId="0" xr:uid="{00000000-0006-0000-1A00-000001000000}">
      <text>
        <r>
          <rPr>
            <sz val="11"/>
            <color theme="1"/>
            <rFont val="Calibri"/>
            <family val="2"/>
            <scheme val="minor"/>
          </rPr>
          <t>Stiphanie da Silva Lima:
CONSUMO</t>
        </r>
      </text>
    </comment>
    <comment ref="AN16" authorId="0" shapeId="0" xr:uid="{00000000-0006-0000-1A00-000002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CONSUMO
</t>
        </r>
      </text>
    </comment>
    <comment ref="AN17" authorId="0" shapeId="0" xr:uid="{00000000-0006-0000-1A00-000003000000}">
      <text>
        <r>
          <rPr>
            <sz val="11"/>
            <color theme="1"/>
            <rFont val="Calibri"/>
            <family val="2"/>
            <scheme val="minor"/>
          </rPr>
          <t>Stiphanie da Silva Lima:
3 PCT C/ 1000 UND - CONSUMO</t>
        </r>
      </text>
    </comment>
    <comment ref="BB34" authorId="0" shapeId="0" xr:uid="{00000000-0006-0000-1A00-000004000000}">
      <text>
        <r>
          <rPr>
            <sz val="11"/>
            <color theme="1"/>
            <rFont val="Calibri"/>
            <family val="2"/>
            <scheme val="minor"/>
          </rPr>
          <t>Stiphanie da Silva Lima:
CARTUCHO P HARRY POTTER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Leticia</author>
    <author>Stiphanie da Silva Lima</author>
  </authors>
  <commentList>
    <comment ref="D10" authorId="0" shapeId="0" xr:uid="{00000000-0006-0000-1B00-000001000000}">
      <text>
        <r>
          <rPr>
            <sz val="11"/>
            <color theme="1"/>
            <rFont val="Calibri"/>
            <family val="2"/>
            <scheme val="minor"/>
          </rPr>
          <t>Leticia:
muito estranho estarem gastando tão poucas sacolas M, ir analisando o progresso e ajustar quando tiver mais histórico</t>
        </r>
      </text>
    </comment>
    <comment ref="AQ10" authorId="1" shapeId="0" xr:uid="{00000000-0006-0000-1B00-000002000000}">
      <text>
        <r>
          <rPr>
            <sz val="11"/>
            <color theme="1"/>
            <rFont val="Calibri"/>
            <family val="2"/>
            <scheme val="minor"/>
          </rPr>
          <t>Stiphanie da Silva Lima:
CONSUMO</t>
        </r>
      </text>
    </comment>
    <comment ref="AQ16" authorId="1" shapeId="0" xr:uid="{00000000-0006-0000-1B00-000003000000}">
      <text>
        <r>
          <rPr>
            <sz val="11"/>
            <color theme="1"/>
            <rFont val="Calibri"/>
            <family val="2"/>
            <scheme val="minor"/>
          </rPr>
          <t>Stiphanie da Silva Lima:
VENDA</t>
        </r>
      </text>
    </comment>
    <comment ref="AM19" authorId="1" shapeId="0" xr:uid="{00000000-0006-0000-1B00-000004000000}">
      <text>
        <r>
          <rPr>
            <sz val="11"/>
            <color theme="1"/>
            <rFont val="Calibri"/>
            <family val="2"/>
            <scheme val="minor"/>
          </rPr>
          <t>Stiphanie da Silva Lima:
KIT PAPEL SEDA - 10 PC C/ 20 UND</t>
        </r>
      </text>
    </comment>
    <comment ref="AQ19" authorId="1" shapeId="0" xr:uid="{00000000-0006-0000-1B00-000005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CONSUMO
</t>
        </r>
      </text>
    </comment>
    <comment ref="AQ20" authorId="1" shapeId="0" xr:uid="{00000000-0006-0000-1B00-000006000000}">
      <text>
        <r>
          <rPr>
            <sz val="11"/>
            <color theme="1"/>
            <rFont val="Calibri"/>
            <family val="2"/>
            <scheme val="minor"/>
          </rPr>
          <t>Stiphanie da Silva Lima:
3 PCT C/ 1000 UND - CONSUMO</t>
        </r>
      </text>
    </comment>
    <comment ref="AQ21" authorId="1" shapeId="0" xr:uid="{00000000-0006-0000-1B00-000007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10 PCT C/ 20 UND - VENDA
</t>
        </r>
      </text>
    </comment>
    <comment ref="AM26" authorId="1" shapeId="0" xr:uid="{00000000-0006-0000-1B00-000008000000}">
      <text>
        <r>
          <rPr>
            <sz val="11"/>
            <color theme="1"/>
            <rFont val="Calibri"/>
            <family val="2"/>
            <scheme val="minor"/>
          </rPr>
          <t>Stiphanie da Silva Lima:
CARTUCHO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AX10" authorId="0" shapeId="0" xr:uid="{00000000-0006-0000-1C00-000001000000}">
      <text>
        <r>
          <rPr>
            <sz val="11"/>
            <color theme="1"/>
            <rFont val="Calibri"/>
            <family val="2"/>
            <scheme val="minor"/>
          </rPr>
          <t>Stiphanie da Silva Lima:
CONSUMO</t>
        </r>
      </text>
    </comment>
    <comment ref="AX16" authorId="0" shapeId="0" xr:uid="{00000000-0006-0000-1C00-000002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CONSUMO
</t>
        </r>
      </text>
    </comment>
    <comment ref="AX17" authorId="0" shapeId="0" xr:uid="{00000000-0006-0000-1C00-000003000000}">
      <text>
        <r>
          <rPr>
            <sz val="11"/>
            <color theme="1"/>
            <rFont val="Calibri"/>
            <family val="2"/>
            <scheme val="minor"/>
          </rPr>
          <t>Stiphanie da Silva Lima:
3 PCT C/ 1000 UND - CONSUMO</t>
        </r>
      </text>
    </comment>
    <comment ref="AX29" authorId="0" shapeId="0" xr:uid="{00000000-0006-0000-1C00-000004000000}">
      <text>
        <r>
          <rPr>
            <sz val="11"/>
            <color theme="1"/>
            <rFont val="Calibri"/>
            <family val="2"/>
            <scheme val="minor"/>
          </rPr>
          <t>Stiphanie da Silva Lima:
VENDA</t>
        </r>
      </text>
    </comment>
    <comment ref="AX42" authorId="0" shapeId="0" xr:uid="{00000000-0006-0000-1C00-000005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CARTUCHO P - VENDA
</t>
        </r>
      </text>
    </comment>
    <comment ref="AW43" authorId="0" shapeId="0" xr:uid="{00000000-0006-0000-1C00-000006000000}">
      <text>
        <r>
          <rPr>
            <sz val="11"/>
            <color theme="1"/>
            <rFont val="Calibri"/>
            <family val="2"/>
            <scheme val="minor"/>
          </rPr>
          <t>Stiphanie da Silva Lima:
CARTUCHO M - VENDA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AS10" authorId="0" shapeId="0" xr:uid="{00000000-0006-0000-1D00-000001000000}">
      <text>
        <r>
          <rPr>
            <sz val="11"/>
            <color theme="1"/>
            <rFont val="Calibri"/>
            <family val="2"/>
            <scheme val="minor"/>
          </rPr>
          <t>Stiphanie da Silva Lima:
CONSUMO</t>
        </r>
      </text>
    </comment>
    <comment ref="AS16" authorId="0" shapeId="0" xr:uid="{00000000-0006-0000-1D00-000002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CONSUMO
</t>
        </r>
      </text>
    </comment>
    <comment ref="AS17" authorId="0" shapeId="0" xr:uid="{00000000-0006-0000-1D00-000003000000}">
      <text>
        <r>
          <rPr>
            <sz val="11"/>
            <color theme="1"/>
            <rFont val="Calibri"/>
            <family val="2"/>
            <scheme val="minor"/>
          </rPr>
          <t>Stiphanie da Silva Lima:
3 PCT C/ 1000 UND - CONSUMO</t>
        </r>
      </text>
    </comment>
    <comment ref="AS29" authorId="0" shapeId="0" xr:uid="{00000000-0006-0000-1D00-000004000000}">
      <text>
        <r>
          <rPr>
            <sz val="11"/>
            <color theme="1"/>
            <rFont val="Calibri"/>
            <family val="2"/>
            <scheme val="minor"/>
          </rPr>
          <t>Stiphanie da Silva Lima:
VENDA</t>
        </r>
      </text>
    </comment>
    <comment ref="AS42" authorId="0" shapeId="0" xr:uid="{00000000-0006-0000-1D00-000005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CARTUCHO P - VENDA
</t>
        </r>
      </text>
    </comment>
    <comment ref="AR43" authorId="0" shapeId="0" xr:uid="{00000000-0006-0000-1D00-000006000000}">
      <text>
        <r>
          <rPr>
            <sz val="11"/>
            <color theme="1"/>
            <rFont val="Calibri"/>
            <family val="2"/>
            <scheme val="minor"/>
          </rPr>
          <t>Stiphanie da Silva Lima:
CARTUCHO M - VENDA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AT10" authorId="0" shapeId="0" xr:uid="{00000000-0006-0000-1E00-000001000000}">
      <text>
        <r>
          <rPr>
            <sz val="11"/>
            <color theme="1"/>
            <rFont val="Calibri"/>
            <family val="2"/>
            <scheme val="minor"/>
          </rPr>
          <t>Stiphanie da Silva Lima:
CONSUMO</t>
        </r>
      </text>
    </comment>
    <comment ref="AT16" authorId="0" shapeId="0" xr:uid="{00000000-0006-0000-1E00-000002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CONSUMO
</t>
        </r>
      </text>
    </comment>
    <comment ref="AT17" authorId="0" shapeId="0" xr:uid="{00000000-0006-0000-1E00-000003000000}">
      <text>
        <r>
          <rPr>
            <sz val="11"/>
            <color theme="1"/>
            <rFont val="Calibri"/>
            <family val="2"/>
            <scheme val="minor"/>
          </rPr>
          <t>Stiphanie da Silva Lima:
3 PCT C/ 1000 UND - CONSUMO</t>
        </r>
      </text>
    </comment>
    <comment ref="BH34" authorId="0" shapeId="0" xr:uid="{00000000-0006-0000-1E00-000004000000}">
      <text>
        <r>
          <rPr>
            <sz val="11"/>
            <color theme="1"/>
            <rFont val="Calibri"/>
            <family val="2"/>
            <scheme val="minor"/>
          </rPr>
          <t>Stiphanie da Silva Lima:
CARTUCHO P HARRY POTTER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AO10" authorId="0" shapeId="0" xr:uid="{00000000-0006-0000-1F00-000001000000}">
      <text>
        <r>
          <rPr>
            <sz val="11"/>
            <color theme="1"/>
            <rFont val="Calibri"/>
            <family val="2"/>
            <scheme val="minor"/>
          </rPr>
          <t>Stiphanie da Silva Lima:
CONSUMO</t>
        </r>
      </text>
    </comment>
    <comment ref="AO16" authorId="0" shapeId="0" xr:uid="{00000000-0006-0000-1F00-000002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CONSUMO
</t>
        </r>
      </text>
    </comment>
    <comment ref="AO17" authorId="0" shapeId="0" xr:uid="{00000000-0006-0000-1F00-000003000000}">
      <text>
        <r>
          <rPr>
            <sz val="11"/>
            <color theme="1"/>
            <rFont val="Calibri"/>
            <family val="2"/>
            <scheme val="minor"/>
          </rPr>
          <t>Stiphanie da Silva Lima:
3 PCT C/ 1000 UND - CONSUMO</t>
        </r>
      </text>
    </comment>
    <comment ref="BC34" authorId="0" shapeId="0" xr:uid="{00000000-0006-0000-1F00-000004000000}">
      <text>
        <r>
          <rPr>
            <sz val="11"/>
            <color theme="1"/>
            <rFont val="Calibri"/>
            <family val="2"/>
            <scheme val="minor"/>
          </rPr>
          <t>Stiphanie da Silva Lima:
CARTUCHO P HARRY POTTER</t>
        </r>
      </text>
    </comment>
  </commentList>
</comments>
</file>

<file path=xl/sharedStrings.xml><?xml version="1.0" encoding="utf-8"?>
<sst xmlns="http://schemas.openxmlformats.org/spreadsheetml/2006/main" count="5134" uniqueCount="636">
  <si>
    <t>Produtos</t>
  </si>
  <si>
    <t>12973</t>
  </si>
  <si>
    <t>11734</t>
  </si>
  <si>
    <t>14462</t>
  </si>
  <si>
    <t>5418</t>
  </si>
  <si>
    <t>11733</t>
  </si>
  <si>
    <t>23012</t>
  </si>
  <si>
    <t>6700</t>
  </si>
  <si>
    <t>13868</t>
  </si>
  <si>
    <t>13370</t>
  </si>
  <si>
    <t>20000</t>
  </si>
  <si>
    <t>23049</t>
  </si>
  <si>
    <t>6727</t>
  </si>
  <si>
    <t>12466</t>
  </si>
  <si>
    <t>12942</t>
  </si>
  <si>
    <t>3822</t>
  </si>
  <si>
    <t>14446</t>
  </si>
  <si>
    <t>12066</t>
  </si>
  <si>
    <t>23048</t>
  </si>
  <si>
    <t>11722</t>
  </si>
  <si>
    <t>14553</t>
  </si>
  <si>
    <t>7529</t>
  </si>
  <si>
    <t>6942</t>
  </si>
  <si>
    <t>6954</t>
  </si>
  <si>
    <t>00000000089402 - CAIXA PRESENTE P BOT INST/25 VDA</t>
  </si>
  <si>
    <t>00000000003517 - CAIXA P INST 2021 VERDE ECONOMICA</t>
  </si>
  <si>
    <t>00000000089401 - CX PRESENTE M BOTI INST/25 VDA</t>
  </si>
  <si>
    <t>00000000003530 - CAIXA M INST 2021 VERDE ECONOMICA</t>
  </si>
  <si>
    <t>00000000003554 - CAIXA G INST 2021 VERDE ECONOMICA</t>
  </si>
  <si>
    <t>00000000089400 - ENVELOPE PRESENTE M BOTI INST/25 VDA</t>
  </si>
  <si>
    <t>00000000086027 - CAIXA DIVERTIDAMENTE M INFANTIL 2024</t>
  </si>
  <si>
    <t>00000000087691 - COLECIONAV BOT NAT/24 CONE ARVORE UNIT</t>
  </si>
  <si>
    <t>00000000087694 - COLECIONAVEIS BOT NAT/24 BOLA UNITARIA</t>
  </si>
  <si>
    <t>00000000090774 - PIN MELHOR PAI O BOTICARIO PAIS/25 UNIT</t>
  </si>
  <si>
    <t>00000000090770 - PIN BALAO O BOTICARIO PAIS/25 UNIT</t>
  </si>
  <si>
    <t>00000000090772 - PIN AMOR O BOTICARIO PAIS/25 UNIT</t>
  </si>
  <si>
    <t>00000000090821 - SACOLA P BOTICARIO INST/25</t>
  </si>
  <si>
    <t>00000000090822 - SACOLA M BOTICARIO INST/25</t>
  </si>
  <si>
    <t>00000000094389 - PAPEL SEDA BOTI INSTIT 2025 UNIT</t>
  </si>
  <si>
    <t>00000000094802 - CAIXA LAÃ‡O M BOTI DORAMA 2025 UNIT</t>
  </si>
  <si>
    <t>00000000094682 - CAIXA LACO M BOTI ARANHA 2025 UNIT</t>
  </si>
  <si>
    <t>00000000094775 - CAIXA LACO P NATAL 2025 BOTI UNIT</t>
  </si>
  <si>
    <t>00000000094776 - CAIXA LACO M NATAL 2025 BOTI UNIT</t>
  </si>
  <si>
    <t>00000000094777 - CAIXA LACO G NATAL 2025 BOTI UNIT</t>
  </si>
  <si>
    <t>00000000094778 - ENVELOPE P NATAL 2025 BOT UNIT</t>
  </si>
  <si>
    <t>00000000094779 - ENVELOPE M NATAL 2025 BOTI UNIT</t>
  </si>
  <si>
    <t>00000000095151 - PIN BOTI NATAL 2025 UNIT</t>
  </si>
  <si>
    <t>00000000096437 - CAIXA LACO P MAES/26 BOTI UNIT</t>
  </si>
  <si>
    <t>00000000096438 - CAIXA LACO M MAES/26 BOTI UNIT</t>
  </si>
  <si>
    <t>00000000096440 - ENVELOPE P MAES 2026 BOTI UNIT</t>
  </si>
  <si>
    <t>00000000096441 - ENVELOPE M MAES 2026 BOTI UNIT</t>
  </si>
  <si>
    <t>00000000044742 - FITA DE VEDACAO VOID DEVOLUCAO</t>
  </si>
  <si>
    <t>00000000086009 - CAIXA LACO G NAT/24</t>
  </si>
  <si>
    <t>00000000096583 - ENVELOPE M AMOR 2026 BOTI UNIT</t>
  </si>
  <si>
    <t>Total</t>
  </si>
  <si>
    <t>00000000090819 - SACOLA PP BOTICARIO INST/25</t>
  </si>
  <si>
    <t>00000000003591 - KIT SACOLA PP INST 2021 VERDE C/10</t>
  </si>
  <si>
    <t>00000000003608 - KIT SACOLA P INST 2021 VERDE C/10</t>
  </si>
  <si>
    <t>00000000003610 - KIT SACOLA M INST 2021 VERDE C/10</t>
  </si>
  <si>
    <t>00000000043673 - KIT VD INSTITUCIONAL PAPEL DE SEDA C/25</t>
  </si>
  <si>
    <t>00000000030190 - CART ADESIVOS INST 2021 C/50</t>
  </si>
  <si>
    <t>00000000045033 - KIT TAG INST. VD S/ FIT C/20 UN</t>
  </si>
  <si>
    <t>00000000043763 - KIT VD INST TAG C/50</t>
  </si>
  <si>
    <t>00000000030194 - TAG P/SACOLA INST 2021 KIT C/50 UN VD</t>
  </si>
  <si>
    <t>00000000003682 - KIT CAIXA P INST 2021 VERDE VD</t>
  </si>
  <si>
    <t>00000000003704 - KIT CAIXA G INST 2021 VERDE VD</t>
  </si>
  <si>
    <t>00000000054572 - KIT OVERBAG BOTI PRESENTEAR ECOMMERCE M</t>
  </si>
  <si>
    <t>00000000046885 - O.U.i SACOLA P 2021</t>
  </si>
  <si>
    <t>00000000046886 - O.U.I SACOLA M 2021</t>
  </si>
  <si>
    <t>00000000046887 - O.U.I SACOLA G 2021</t>
  </si>
  <si>
    <t>00000000046888 - O.U.I KIT CAIXA P 2021</t>
  </si>
  <si>
    <t>00000000046890 - O.U.I KIT CAIXA M 2021</t>
  </si>
  <si>
    <t>00000000046891 - O.U.I KIT CAIXA G 2021</t>
  </si>
  <si>
    <t>00000000047162 - OUI CAIXA M 2021</t>
  </si>
  <si>
    <t>00000000050110 - CAIXA QDB P INSTITUCIONAL/21</t>
  </si>
  <si>
    <t>00000000056369 - CAIXA QDB P INST 2023</t>
  </si>
  <si>
    <t>00000000056375 - KIT QDB CAIXA P INST 2023 VD</t>
  </si>
  <si>
    <t>00000000056376 - CAIXA QDB  G INST 2023</t>
  </si>
  <si>
    <t>00000000056378 - KIT CAIXA QDB M INST 2023 VD</t>
  </si>
  <si>
    <t>00000000053651 - KIT SACOLA EUDORA  INST 2022 P</t>
  </si>
  <si>
    <t>00000000053944 - KIT SACOLA EUDORA M UNIT INST 2022</t>
  </si>
  <si>
    <t>00000000052276 - KIT SACOLA P INST EUD 2022 C/10 VD</t>
  </si>
  <si>
    <t>00000000052288 - KIT SACOLA M EUD INST 2022 C/10 VD</t>
  </si>
  <si>
    <t>00000000053653 - KIT SACOLA EUDORA G UNIT INST 2022</t>
  </si>
  <si>
    <t>00000000053654 - KIT CAIXA P EUDORA INST 2022</t>
  </si>
  <si>
    <t>00000000053655 - KIT CAIXA  EUDORA INST 2022 M</t>
  </si>
  <si>
    <t>00000000053656 - KIT CAIXA G EUDORA INST 2022</t>
  </si>
  <si>
    <t>00000000094371 - SACOLA M EUDORA UNIT MAES 2026</t>
  </si>
  <si>
    <t>00000000095162 - KIT TAG VD REVEND EUD INSTIT 2025 C/20</t>
  </si>
  <si>
    <t>00000000088796 - CAIXA EUDORA M INST/25 UNIT</t>
  </si>
  <si>
    <t>00000000088799 - ENVELOPE EUDORA P INST/25 UNIT</t>
  </si>
  <si>
    <t>00000000096442 - SACOLA P MAES 2026 2025 BOTI UNIT</t>
  </si>
  <si>
    <t>00000000096443 - SACOLA M MAES/26 BOTI UNIT</t>
  </si>
  <si>
    <t>00000000096444 - SACOLA G MAES 2026 BOTI UNIT</t>
  </si>
  <si>
    <t>00000000097241 - KIT PAPEL SEDA BOTI MAES 2026 C/20 VD</t>
  </si>
  <si>
    <t>00000000085706 - KIT SACOLA M EUDORA UNIT NATAL 2025</t>
  </si>
  <si>
    <t>00000000094959 - PAPEL DE SEDA EUDORA UNITARIO NATAL 25</t>
  </si>
  <si>
    <t>00000000095150 - KIT TAG VD REVEN EUD INST 2025 MOD C/200</t>
  </si>
  <si>
    <t>00000000085705 - KIT CAIXA M EUDORA UNIT NATAL 2025</t>
  </si>
  <si>
    <t>00000000085704 - ENVELOPE P EUDORA UNIT NATAL 2025</t>
  </si>
  <si>
    <t>00000000094783 - SACOLA P NATAL 2025 BOTI UNIT</t>
  </si>
  <si>
    <t>00000000094781 - SACOLA M NATAL 2025 BOTI UNIT</t>
  </si>
  <si>
    <t>00000000096584 - SACOLA M AMOR 2026 2025 BOTI UNIT</t>
  </si>
  <si>
    <t>00000000097579 - SEDA BOTI VD REVEND AMOR 2026 MOD C/20</t>
  </si>
  <si>
    <t>00000000097622 - ADES SACOLA REV BOTI AMOR/26 MOD C/20 VD</t>
  </si>
  <si>
    <t>00000000053657 - EUDORA ENVELOPE INST 2022 P</t>
  </si>
  <si>
    <t>00000000089713 - KIT TAG BOTI NAMORADOS 25 C/10 VD</t>
  </si>
  <si>
    <t>00000000090451 - CINTA P/CX M QDB MSP 2025</t>
  </si>
  <si>
    <t>00000000090452 - CARTUCHO PRESENTE QDB MSP 2025</t>
  </si>
  <si>
    <t>00000000090763 - KIT PAPEL SEDA BOTICARIO PAIS/25 C/20 VD</t>
  </si>
  <si>
    <t>00000000094684 - SACOLA UNIT M ARANHA 2025 BOTI</t>
  </si>
  <si>
    <t>00000000094688 - CAR PRESENTE QDB H/POTTER 2025</t>
  </si>
  <si>
    <t>00000000095139 - KIT PAPEL SEDA BOTI NATAL 2025 C/20 VD</t>
  </si>
  <si>
    <t>00000000046054 - CAIXA PAPELAO TAMPA LIGADA DEVOLUCAO PCK</t>
  </si>
  <si>
    <t>00000000053652 - KIT SACOLA EUDORA UNIT NATAL 2022 M</t>
  </si>
  <si>
    <t>00000000089843 - ENVELOPE M BOTI PAIS 2025 UNIT</t>
  </si>
  <si>
    <t>00000000088126 - CART ADESIVA QDB NAT/24 MODULO C/300 UN</t>
  </si>
  <si>
    <t>Controle de Contagem Semanal - Antilhas</t>
  </si>
  <si>
    <t>LOJA:</t>
  </si>
  <si>
    <t>JAÚ CENTRO</t>
  </si>
  <si>
    <t>Responsável:</t>
  </si>
  <si>
    <t>ELIZA</t>
  </si>
  <si>
    <t>Descrição</t>
  </si>
  <si>
    <t>PCT</t>
  </si>
  <si>
    <t xml:space="preserve">R$ </t>
  </si>
  <si>
    <t>Estoque Ideal</t>
  </si>
  <si>
    <t>Pendências</t>
  </si>
  <si>
    <t>Novo Pedido</t>
  </si>
  <si>
    <t>TRANSF.</t>
  </si>
  <si>
    <t>USOU</t>
  </si>
  <si>
    <t xml:space="preserve">SACOLAS </t>
  </si>
  <si>
    <t>MÃES</t>
  </si>
  <si>
    <t>SACOLA PP VERDE</t>
  </si>
  <si>
    <t>300 P/ JDM</t>
  </si>
  <si>
    <t xml:space="preserve">SACOLA P VERDE </t>
  </si>
  <si>
    <t>200 P/ JDM</t>
  </si>
  <si>
    <t xml:space="preserve">SACOLA P </t>
  </si>
  <si>
    <t>SACOLA M VERDE</t>
  </si>
  <si>
    <t xml:space="preserve">SACOLA M </t>
  </si>
  <si>
    <t xml:space="preserve">SACOLA G VERDE </t>
  </si>
  <si>
    <t xml:space="preserve">SACOLA G </t>
  </si>
  <si>
    <t>DIVERSOS</t>
  </si>
  <si>
    <t>PAPEL DE SEDA 2025</t>
  </si>
  <si>
    <t>PAPEL DE SEDA</t>
  </si>
  <si>
    <t>ADESIVOS 2025</t>
  </si>
  <si>
    <t>03 P/ ERJ + 02 P/ ER SM</t>
  </si>
  <si>
    <t>ADESIVOS</t>
  </si>
  <si>
    <t xml:space="preserve">TAGS </t>
  </si>
  <si>
    <t>LÂMINA OLFATIVA</t>
  </si>
  <si>
    <t>01 DE JDM</t>
  </si>
  <si>
    <t>CAIXAS</t>
  </si>
  <si>
    <t>PC</t>
  </si>
  <si>
    <t>R$</t>
  </si>
  <si>
    <t>CAIXA P VERDE</t>
  </si>
  <si>
    <t>CAIXA P</t>
  </si>
  <si>
    <t>CAIXA M VERDE</t>
  </si>
  <si>
    <t>CAIXA M</t>
  </si>
  <si>
    <t>CAIXA G VERDE</t>
  </si>
  <si>
    <t>CARTUCHO P</t>
  </si>
  <si>
    <t>CARTUCHO M VERDE</t>
  </si>
  <si>
    <t>CARTUCHO M</t>
  </si>
  <si>
    <t>SOBRAS CAIXAS</t>
  </si>
  <si>
    <t>CAIXA M DIVERT./24</t>
  </si>
  <si>
    <t>ÁRVORE</t>
  </si>
  <si>
    <t>BOLA</t>
  </si>
  <si>
    <t>PIN MELHOR PAI DO MDO</t>
  </si>
  <si>
    <t>PIN BALÃO</t>
  </si>
  <si>
    <t>PIN AMOR</t>
  </si>
  <si>
    <t>CAIXA M HOMEM ARANHA</t>
  </si>
  <si>
    <t>CAIXA P NATAL/25</t>
  </si>
  <si>
    <t>CAIXA M NATAL/25</t>
  </si>
  <si>
    <t>CARTUCHO P NATAL/25</t>
  </si>
  <si>
    <t>CARTUCHO M NATAL/25</t>
  </si>
  <si>
    <t>PIN NATAL/25</t>
  </si>
  <si>
    <t>SOBRAS DATAS COMEMORATIVAS</t>
  </si>
  <si>
    <t>ITENS</t>
  </si>
  <si>
    <t>ESTOQUE</t>
  </si>
  <si>
    <t>FLACONETES</t>
  </si>
  <si>
    <t>EGEO DOLCE ILUSION</t>
  </si>
  <si>
    <t>HADYA</t>
  </si>
  <si>
    <t>MÃES 2026</t>
  </si>
  <si>
    <t>JARDIM</t>
  </si>
  <si>
    <t>TAMIRIS</t>
  </si>
  <si>
    <t>300 DE JC</t>
  </si>
  <si>
    <t>200 DE JC</t>
  </si>
  <si>
    <t>200 DE CD</t>
  </si>
  <si>
    <t>100 DE IT</t>
  </si>
  <si>
    <t>100 DE CD</t>
  </si>
  <si>
    <t>02 DE JSH</t>
  </si>
  <si>
    <t>01 DE IT</t>
  </si>
  <si>
    <t>01 P/ JC</t>
  </si>
  <si>
    <t>87 DE JC</t>
  </si>
  <si>
    <t>ARBO ATLANTICA</t>
  </si>
  <si>
    <t>QUASAR DEEP BLUE</t>
  </si>
  <si>
    <t>PROTETOR DE COR 7.0</t>
  </si>
  <si>
    <t>AMOURUDA</t>
  </si>
  <si>
    <t>SHAMPOO UVA</t>
  </si>
  <si>
    <t>MASCARA UVA</t>
  </si>
  <si>
    <t>CONDICIONADOR</t>
  </si>
  <si>
    <t>CREME PARA PENTEAR CACHOS</t>
  </si>
  <si>
    <t>MEN NBA</t>
  </si>
  <si>
    <t>PROTETOR DE COR 6.0</t>
  </si>
  <si>
    <t>PROTETOR DE COR 5.0</t>
  </si>
  <si>
    <t>EGEO COGU</t>
  </si>
  <si>
    <t>ÁCIDO HIALURÔNICO</t>
  </si>
  <si>
    <t>HIDRATANTE CEREJA DE FASES</t>
  </si>
  <si>
    <t xml:space="preserve">SERUM ACIDO HIALURONICO </t>
  </si>
  <si>
    <t xml:space="preserve"> ARABIAN OASIS FEM.</t>
  </si>
  <si>
    <t>ARABIAN OASIS MASC.</t>
  </si>
  <si>
    <t>BARRA BONITA</t>
  </si>
  <si>
    <t>CAROLINE</t>
  </si>
  <si>
    <t>FALTOU FÍSICO</t>
  </si>
  <si>
    <t>PROTETOR BOTI SUN FPS70 COR 1.0</t>
  </si>
  <si>
    <t>PROTETOR BOTI SUN FPS70 COR 2.0</t>
  </si>
  <si>
    <t>PROTETOR BOTI SUN FPS70 COR 3.0</t>
  </si>
  <si>
    <t>PROTETOR BOTI SUN FPS70 COR 4.0</t>
  </si>
  <si>
    <t>PROTETOR BOTI SUN FPS70 COR 5.0</t>
  </si>
  <si>
    <t>PROTETOR BOTI SUN FPS70 COR 6.0</t>
  </si>
  <si>
    <t>PROTETOR BOTI SUN FPS70 COR 7.0</t>
  </si>
  <si>
    <t>ZAAD INTENSE</t>
  </si>
  <si>
    <t>HER CODE CLIMAX</t>
  </si>
  <si>
    <t>FLORATTA ROSE BOUQUET</t>
  </si>
  <si>
    <t>SÃO MANUEL</t>
  </si>
  <si>
    <t>CHARLENE</t>
  </si>
  <si>
    <t xml:space="preserve">PAPEL DE SEDA </t>
  </si>
  <si>
    <t>ETIQUETAS</t>
  </si>
  <si>
    <t>CAIXA DORAMA/25</t>
  </si>
  <si>
    <t>SACOLA G NATAL/24</t>
  </si>
  <si>
    <t>TAG DIVERTIDAMENTE</t>
  </si>
  <si>
    <t>SACOLA G NATAL/25</t>
  </si>
  <si>
    <t>BOTICA 214 SEVILLA DORADA</t>
  </si>
  <si>
    <t>BOTI SUN COM COR</t>
  </si>
  <si>
    <t>CACHOS DE UVA</t>
  </si>
  <si>
    <t>JAU SHOPP</t>
  </si>
  <si>
    <t>TAMIRES/CLARA</t>
  </si>
  <si>
    <t>600 DE IT</t>
  </si>
  <si>
    <t>200 DE CDJ</t>
  </si>
  <si>
    <t>50 P/ DC</t>
  </si>
  <si>
    <t>03 P/ ERJ</t>
  </si>
  <si>
    <t>02 P/ JDM + 01 P/ BR + 02 P/ ERJ + 01 P/ ER SM</t>
  </si>
  <si>
    <t>05 DE IT + 04 DE DC</t>
  </si>
  <si>
    <t>TAG MÃES/25</t>
  </si>
  <si>
    <t>TAG HOMEM ARANHA</t>
  </si>
  <si>
    <t>TAG NAMO/25</t>
  </si>
  <si>
    <t>CONFIANÇA</t>
  </si>
  <si>
    <t>TAMIRES / MARINA</t>
  </si>
  <si>
    <t>QTDE</t>
  </si>
  <si>
    <t xml:space="preserve">SACOLA G NATAL/25 </t>
  </si>
  <si>
    <t>DOIS CÓRREGOS</t>
  </si>
  <si>
    <t>KEYLA</t>
  </si>
  <si>
    <t>50 DE JSH</t>
  </si>
  <si>
    <t>04 P/ JSH</t>
  </si>
  <si>
    <t>CAIXA M PAIS/24</t>
  </si>
  <si>
    <t>CAIXA P NAT./24</t>
  </si>
  <si>
    <t>CAIXA M NAT./24</t>
  </si>
  <si>
    <t>CAIXA G NAT./24</t>
  </si>
  <si>
    <t>CARTUCHO P NAT./24</t>
  </si>
  <si>
    <t>CARTUCHO M NAT./24</t>
  </si>
  <si>
    <t>CAIXA P MÃES/25</t>
  </si>
  <si>
    <t>CAIXA M MÃES/25</t>
  </si>
  <si>
    <t>CAIXA G MÃES/25</t>
  </si>
  <si>
    <t>CARTUCHO P MÃES/25</t>
  </si>
  <si>
    <t>CARTUCHO M MÃES/25</t>
  </si>
  <si>
    <t>CARTUCHO M NAMO/25</t>
  </si>
  <si>
    <t>CAIXA M PAIS/25</t>
  </si>
  <si>
    <t>TAG PAIS/24</t>
  </si>
  <si>
    <t>FEMININA</t>
  </si>
  <si>
    <t>MASCULINA</t>
  </si>
  <si>
    <t>FACIAL</t>
  </si>
  <si>
    <t>214 F. PARADISE MASC</t>
  </si>
  <si>
    <t>CELEBRE AGORA MASC</t>
  </si>
  <si>
    <t>EGEO FREE FIRE</t>
  </si>
  <si>
    <t>GLAMOUR MIDNIGHT</t>
  </si>
  <si>
    <t>CELEBRE AGORA FEM</t>
  </si>
  <si>
    <t>214 F. PARADISE FEM</t>
  </si>
  <si>
    <t>VITAMINA C</t>
  </si>
  <si>
    <t>ÁCIDO MANDÉLICO</t>
  </si>
  <si>
    <t>ÁCIDO HIALURONICO</t>
  </si>
  <si>
    <t>HER CODE</t>
  </si>
  <si>
    <t xml:space="preserve">anti queda </t>
  </si>
  <si>
    <t>poliglutamico</t>
  </si>
  <si>
    <t>anti caspa</t>
  </si>
  <si>
    <t>portinari</t>
  </si>
  <si>
    <t>LILY SOLEIL</t>
  </si>
  <si>
    <t>QUASAR  VISION</t>
  </si>
  <si>
    <t>BOTI BABY</t>
  </si>
  <si>
    <t>BASE SALICYLIC</t>
  </si>
  <si>
    <t>FLORATTA ROMANCE DE VERÃO</t>
  </si>
  <si>
    <t>INTENSE BATOM</t>
  </si>
  <si>
    <t>BOTI SUN</t>
  </si>
  <si>
    <t>Arbo Puro</t>
  </si>
  <si>
    <t>feira</t>
  </si>
  <si>
    <t>QUASAR BLUE</t>
  </si>
  <si>
    <t>HIDNUVEM</t>
  </si>
  <si>
    <t>HID ROSAS</t>
  </si>
  <si>
    <t>HID DELEITE</t>
  </si>
  <si>
    <t>FEIRA BANANA</t>
  </si>
  <si>
    <t>BOTICA 214 AFICAN FEMININO</t>
  </si>
  <si>
    <t>BOTICA 214 AFICAN MASCULINO</t>
  </si>
  <si>
    <t>COFFEE ADDICTIVE</t>
  </si>
  <si>
    <t>PROTETOR SOLAR</t>
  </si>
  <si>
    <t>DR BOTICA CRIATIVIDADE</t>
  </si>
  <si>
    <t>SCIENCE RECONSTRUÇÃO</t>
  </si>
  <si>
    <t>MEN 2 EM 1</t>
  </si>
  <si>
    <t>MALBEC</t>
  </si>
  <si>
    <t>DIVERTIDAMENTE</t>
  </si>
  <si>
    <t>HER CODE TOUCH</t>
  </si>
  <si>
    <t>ZAAD VENTURE</t>
  </si>
  <si>
    <t>LIZ INTENSO</t>
  </si>
  <si>
    <t>GLAMOUR SECRETS BLACK INTENSO</t>
  </si>
  <si>
    <t>UOMINI SPIRIT</t>
  </si>
  <si>
    <t>QUASAR</t>
  </si>
  <si>
    <t>RESVERETROL</t>
  </si>
  <si>
    <t>NATIVA SPA CEREJA ROUGE</t>
  </si>
  <si>
    <t>EGEO CHOC HIGH</t>
  </si>
  <si>
    <t>FLORATTA RED BLOSSOM</t>
  </si>
  <si>
    <t>MALBEC ICON</t>
  </si>
  <si>
    <t>CLASH</t>
  </si>
  <si>
    <t>CBEM HIDR. DOCURA NA PESSEGURA</t>
  </si>
  <si>
    <t>LILY BLANCHE</t>
  </si>
  <si>
    <t>MEN CUIDADOS</t>
  </si>
  <si>
    <t>LIZ AURA</t>
  </si>
  <si>
    <t>FLORATTA BOUQUET</t>
  </si>
  <si>
    <t>ITIRAPINA</t>
  </si>
  <si>
    <t>SABRINA</t>
  </si>
  <si>
    <t>600 P/ JSH</t>
  </si>
  <si>
    <t>50 P/ JDM</t>
  </si>
  <si>
    <t>05 P/ JSH</t>
  </si>
  <si>
    <t>01 P/ BR + 01 P / JDM</t>
  </si>
  <si>
    <t>SEDA NATAL/25</t>
  </si>
  <si>
    <t>TAGS NAMORADOS/23</t>
  </si>
  <si>
    <t>TAG MÃES/24</t>
  </si>
  <si>
    <t>Boti Sun FPS 70</t>
  </si>
  <si>
    <t>Botik</t>
  </si>
  <si>
    <t>botika serum</t>
  </si>
  <si>
    <t>botica 214  fougere</t>
  </si>
  <si>
    <t xml:space="preserve">botica  214  floral </t>
  </si>
  <si>
    <t xml:space="preserve">cuide se bem c de fases 7ml </t>
  </si>
  <si>
    <t>BROTAS</t>
  </si>
  <si>
    <t>JULIANA</t>
  </si>
  <si>
    <t>01 DE JSH</t>
  </si>
  <si>
    <t>ENVELOPE M PAIS/25</t>
  </si>
  <si>
    <t>TEMOS EM ESTOQUE</t>
  </si>
  <si>
    <t>214 FIJI MASC</t>
  </si>
  <si>
    <t xml:space="preserve">214 FIJI FEM </t>
  </si>
  <si>
    <t>COFFEE TOUCH FEM</t>
  </si>
  <si>
    <t xml:space="preserve">LIZ INTENSO </t>
  </si>
  <si>
    <t xml:space="preserve">LOCAO SHOW DE BANHO </t>
  </si>
  <si>
    <t xml:space="preserve">VITAMINA  C </t>
  </si>
  <si>
    <t>malbec sh +con  antiqueda</t>
  </si>
  <si>
    <t xml:space="preserve">malbec sh + con  anticaspa </t>
  </si>
  <si>
    <t>botik aloe vera + rosa mosqueta</t>
  </si>
  <si>
    <t>base salycili cor 120</t>
  </si>
  <si>
    <t xml:space="preserve">Quasar vision </t>
  </si>
  <si>
    <t>Portinari  Absoluto</t>
  </si>
  <si>
    <t>Leau de  lily  soleil</t>
  </si>
  <si>
    <t xml:space="preserve">Boti  baby </t>
  </si>
  <si>
    <t>arbo puro</t>
  </si>
  <si>
    <t>quasar blue</t>
  </si>
  <si>
    <t>batom intense</t>
  </si>
  <si>
    <t>boti sun 50,70 corporal</t>
  </si>
  <si>
    <t>hidratante feira</t>
  </si>
  <si>
    <t>floratta romance de verão</t>
  </si>
  <si>
    <t>feira bana shamp + cond</t>
  </si>
  <si>
    <t>base make b 120,200,300</t>
  </si>
  <si>
    <t xml:space="preserve">protetor facial + corporal </t>
  </si>
  <si>
    <t xml:space="preserve">men 2 em 1 sh + cond </t>
  </si>
  <si>
    <t xml:space="preserve">malbec sh e con club </t>
  </si>
  <si>
    <t xml:space="preserve">boti baby sab e loção </t>
  </si>
  <si>
    <t xml:space="preserve">glamour black intenso </t>
  </si>
  <si>
    <t>coffe addictive macs</t>
  </si>
  <si>
    <t>uomini spirit</t>
  </si>
  <si>
    <t>protetor hialuronico 80</t>
  </si>
  <si>
    <t>protetor hialuronico 50</t>
  </si>
  <si>
    <t xml:space="preserve">hidrante facial rosa mosqueta </t>
  </si>
  <si>
    <t xml:space="preserve">Base salicílico cor 120/200/330 </t>
  </si>
  <si>
    <t>RESVERATROL</t>
  </si>
  <si>
    <t>LILLY GARDENIA</t>
  </si>
  <si>
    <t>FLORATTA RED PASSION</t>
  </si>
  <si>
    <t>ARBO ATLATICA</t>
  </si>
  <si>
    <t xml:space="preserve">loção cereja de fases 7 ml </t>
  </si>
  <si>
    <t xml:space="preserve">Egeo dolce ilusion </t>
  </si>
  <si>
    <t xml:space="preserve">acido hialuronico </t>
  </si>
  <si>
    <t>Boti sun proteror facial cor 4</t>
  </si>
  <si>
    <t xml:space="preserve">Hadiya </t>
  </si>
  <si>
    <t>Botica 214 Arabian oasis fem</t>
  </si>
  <si>
    <t>Botica 214 Arabian oasis Mas</t>
  </si>
  <si>
    <t>GASTO DE SACOLAS E ITENS DOADOS NATAL/2022 - MENSAIS</t>
  </si>
  <si>
    <t>DEZEMBRO</t>
  </si>
  <si>
    <t>JANEIRO</t>
  </si>
  <si>
    <t>FEVEREIRO</t>
  </si>
  <si>
    <t>MARÇO</t>
  </si>
  <si>
    <t>SACOLA PP NATAL</t>
  </si>
  <si>
    <t>SACOLA P NATAL</t>
  </si>
  <si>
    <t>SACOLA M NATAL</t>
  </si>
  <si>
    <t>SACOLA G NATAL</t>
  </si>
  <si>
    <t>AMARRADINHO P NATAL</t>
  </si>
  <si>
    <t>AMARRADINHO M NATAL</t>
  </si>
  <si>
    <t>PAPEL DE SEDA NATAL</t>
  </si>
  <si>
    <t>TAG NATAL</t>
  </si>
  <si>
    <t>ADESIVOS NATAL</t>
  </si>
  <si>
    <t>TOTAL DE SACOLAS</t>
  </si>
  <si>
    <t>JAÚ SHOPPING</t>
  </si>
  <si>
    <t>DOIS CORREGOS</t>
  </si>
  <si>
    <t>VD JAÚ</t>
  </si>
  <si>
    <t>CARTUCHO P NATAL</t>
  </si>
  <si>
    <t>CARTUCHO M NATAL</t>
  </si>
  <si>
    <t>TAG NATAL/2022</t>
  </si>
  <si>
    <t>PAPEL DE SEDA NATAL/2022</t>
  </si>
  <si>
    <t>KIT PAPEL DE SEDA NATAL/2022</t>
  </si>
  <si>
    <t>KIT DE TAG NATAL/2022</t>
  </si>
  <si>
    <t>KIT DE TAG NATAL/2021</t>
  </si>
  <si>
    <t>GASTO DE SACOLAS E ITENS DOADOS MÃES/2025 - MENSAIS</t>
  </si>
  <si>
    <t>ABRIL</t>
  </si>
  <si>
    <t>MAIO</t>
  </si>
  <si>
    <t>USOU ATÉ MÃES</t>
  </si>
  <si>
    <t>TOTAL GERAL</t>
  </si>
  <si>
    <t>INÍCIO UTILIZAÇÃO</t>
  </si>
  <si>
    <t>LOJA</t>
  </si>
  <si>
    <t>SACOLA P</t>
  </si>
  <si>
    <t>VD</t>
  </si>
  <si>
    <t>SACOLA M</t>
  </si>
  <si>
    <t>SACOLA G</t>
  </si>
  <si>
    <t>CD JAÚ</t>
  </si>
  <si>
    <t>ER JAÚ</t>
  </si>
  <si>
    <t>ALEXANDRE</t>
  </si>
  <si>
    <t>SACOLAS BOTICÁRIO</t>
  </si>
  <si>
    <t>100 P/ JDM</t>
  </si>
  <si>
    <t>SACOLAS P/ VENDA EM UND</t>
  </si>
  <si>
    <t>SACOLA PP 2025</t>
  </si>
  <si>
    <t>SACOLA P 2025</t>
  </si>
  <si>
    <t>SACOLA M 2025</t>
  </si>
  <si>
    <t>DIVERSOS BOTICÁRIO</t>
  </si>
  <si>
    <t>KIT ETIQUETAS (50 c/ 50 un)</t>
  </si>
  <si>
    <t>KIT TAGS  (21 c/ 50 un)</t>
  </si>
  <si>
    <t>CAIXAS BOTICÁRIO</t>
  </si>
  <si>
    <t>KIT CAIXA P VERDE</t>
  </si>
  <si>
    <t>KIT CAIXA M VERDE</t>
  </si>
  <si>
    <t>KIT CAIXA G VERDE</t>
  </si>
  <si>
    <t xml:space="preserve">SACOLAS OMNI </t>
  </si>
  <si>
    <t>KIT OVERBAG OMNI P</t>
  </si>
  <si>
    <t>KIT OVERBAG OMNI M</t>
  </si>
  <si>
    <t>SACOLAS/SACO/DIVERSOS OUI</t>
  </si>
  <si>
    <t>SACOLA P OUI</t>
  </si>
  <si>
    <t>SACOLA M OUI</t>
  </si>
  <si>
    <t>SACOLA G OUI</t>
  </si>
  <si>
    <t>SACO M OUI (BRINDE)</t>
  </si>
  <si>
    <t>CAIXAS OUI</t>
  </si>
  <si>
    <t>KIT CAIXA P OUI</t>
  </si>
  <si>
    <t>KIT CAIXA M OUI</t>
  </si>
  <si>
    <t>KIT CAIXA G OUI</t>
  </si>
  <si>
    <t>SACOLAS E CAIXAS QDB</t>
  </si>
  <si>
    <t>SACOLA P - QDB</t>
  </si>
  <si>
    <t>SACOLA M - QDB</t>
  </si>
  <si>
    <t>SACOLA G - QDB</t>
  </si>
  <si>
    <t>CAIXA P QDB</t>
  </si>
  <si>
    <t>CAIXA M QDB</t>
  </si>
  <si>
    <t>CAIXA G QDB</t>
  </si>
  <si>
    <t>SACOLAS E CAIXAS EUDORA</t>
  </si>
  <si>
    <t>SACOLA P EUDORA</t>
  </si>
  <si>
    <t>?</t>
  </si>
  <si>
    <t>SACOLA M EUDORA</t>
  </si>
  <si>
    <t>SACOLA G EUDORA</t>
  </si>
  <si>
    <t>100 P/ ER SM</t>
  </si>
  <si>
    <t>KIT SACOLA P EUDORA (C/ 10)</t>
  </si>
  <si>
    <t>KIT SACOLA M EUDORA (C/ 10)</t>
  </si>
  <si>
    <t>KIT SACOLA G EUDORA (C/ 10)</t>
  </si>
  <si>
    <t>-</t>
  </si>
  <si>
    <t>CAIXA P EUDORA</t>
  </si>
  <si>
    <t>CAIXA M EUDORA</t>
  </si>
  <si>
    <t>CAIXA G EUDORA</t>
  </si>
  <si>
    <t>CAIXAS KRAFTS</t>
  </si>
  <si>
    <t>CAIXA G</t>
  </si>
  <si>
    <t>HARRY POTTER/25</t>
  </si>
  <si>
    <t>SACOLA G HP/25</t>
  </si>
  <si>
    <t>TAG HP/25</t>
  </si>
  <si>
    <t>CARTUCHO P HP/25</t>
  </si>
  <si>
    <t>HOMEM ARANHA/25</t>
  </si>
  <si>
    <t>EUDORA NATAL/25</t>
  </si>
  <si>
    <t>KIT TAG 10 C/ 20</t>
  </si>
  <si>
    <t>BOTICÁRIO NATAL/25</t>
  </si>
  <si>
    <t>KIT PAPEL DE SEDA 10 C/ 20</t>
  </si>
  <si>
    <t>ETIQUETAS ZEBRA</t>
  </si>
  <si>
    <t>ETIQUETA BRANCA 100X80</t>
  </si>
  <si>
    <t>RIBBON DE CERA 110X74</t>
  </si>
  <si>
    <t>EUDORA MÃES/26</t>
  </si>
  <si>
    <t>ADESIVO</t>
  </si>
  <si>
    <t>SACOLA M VENDA</t>
  </si>
  <si>
    <t>BOTICÁRIO MÃES/26</t>
  </si>
  <si>
    <t>SACOLA P VENDA</t>
  </si>
  <si>
    <t>ER SÃO MANUEL</t>
  </si>
  <si>
    <t>VENDA</t>
  </si>
  <si>
    <t>HP</t>
  </si>
  <si>
    <t>VND. NAT. EUD</t>
  </si>
  <si>
    <t>200 DE SM</t>
  </si>
  <si>
    <t>200 DE ERJ</t>
  </si>
  <si>
    <t>400 DE ERJ</t>
  </si>
  <si>
    <t>50 DE CDJ</t>
  </si>
  <si>
    <t>100 DE ERJ</t>
  </si>
  <si>
    <t>SACOLA KRAFT M PARDA</t>
  </si>
  <si>
    <t>SACOLA KRAFT G PARDA</t>
  </si>
  <si>
    <t>100 DE CDJ</t>
  </si>
  <si>
    <t>10 DE CDJ</t>
  </si>
  <si>
    <t>08 DE ERJ</t>
  </si>
  <si>
    <t>02 DE ERJ</t>
  </si>
  <si>
    <t>50 DE ERJ</t>
  </si>
  <si>
    <t>05 DE ERJ</t>
  </si>
  <si>
    <t>70 DE ERJ</t>
  </si>
  <si>
    <t>30 DE ERJ</t>
  </si>
  <si>
    <t>20 DE ERJ</t>
  </si>
  <si>
    <t>03 DE ERJ</t>
  </si>
  <si>
    <t>40 DE ERJ</t>
  </si>
  <si>
    <t>04 DE CDJ</t>
  </si>
  <si>
    <t>PAPEL DE SEDA O.U.I.</t>
  </si>
  <si>
    <t>ETIQUETA O.U.I.</t>
  </si>
  <si>
    <t>LÂMINA OLFATIVA O.U.I.</t>
  </si>
  <si>
    <t>PAPEL DE SEDA QDB</t>
  </si>
  <si>
    <t>ETIQUETA QDB</t>
  </si>
  <si>
    <t>TAG QDB</t>
  </si>
  <si>
    <t>LÂMINA OLFATIVA QDB</t>
  </si>
  <si>
    <t>10 DE ERJ</t>
  </si>
  <si>
    <t>05 DE CDJ</t>
  </si>
  <si>
    <t>PAPEL DE SEDA EUDORA</t>
  </si>
  <si>
    <t>ADESIVOS EUDORA</t>
  </si>
  <si>
    <t>LÂMINA OLFATIVA EUDORA</t>
  </si>
  <si>
    <t>15 DE CD</t>
  </si>
  <si>
    <t>SACOLA G VENDA</t>
  </si>
  <si>
    <t>MARCELA</t>
  </si>
  <si>
    <t>PAPEL DE SEDA C/ 200 UND</t>
  </si>
  <si>
    <t>03 DE JSH</t>
  </si>
  <si>
    <t>03 DE JC</t>
  </si>
  <si>
    <t>KIT SACOLAS VENDIDAS BOTICÁRIO</t>
  </si>
  <si>
    <t>MÓD</t>
  </si>
  <si>
    <t>KIT SACOLA PP VERDE (KIT C/ 10)</t>
  </si>
  <si>
    <t>KIT SACOLA P VERDE (KIT C/ 10)</t>
  </si>
  <si>
    <t>KIT SACOLA M VERDE (KIT C/ 10)</t>
  </si>
  <si>
    <t>CONSUMO</t>
  </si>
  <si>
    <t>40 DE CDJ</t>
  </si>
  <si>
    <t>08 P/ CD</t>
  </si>
  <si>
    <t>10 DE CD</t>
  </si>
  <si>
    <t>10 P/ CD</t>
  </si>
  <si>
    <t>02 DE JC</t>
  </si>
  <si>
    <t>GASTO DE SACOLAS E ITENS DOADOS 2026 - MENSAIS</t>
  </si>
  <si>
    <t>JUNHO</t>
  </si>
  <si>
    <t>JULHO</t>
  </si>
  <si>
    <t>AGOSTO</t>
  </si>
  <si>
    <t>SETEMBRO</t>
  </si>
  <si>
    <t>OUTUBRO</t>
  </si>
  <si>
    <t>NOVEMBRO</t>
  </si>
  <si>
    <t>SACOLA P VERDE</t>
  </si>
  <si>
    <t>SACOLA G VERDE</t>
  </si>
  <si>
    <t>SACOLA P QDB</t>
  </si>
  <si>
    <t>SACOLA M QDB</t>
  </si>
  <si>
    <t>SACOLA G QDB</t>
  </si>
  <si>
    <t>CAIXA OMNI P</t>
  </si>
  <si>
    <t>CAIXA OMNI M</t>
  </si>
  <si>
    <t>CAIXA OMNI G</t>
  </si>
  <si>
    <t>ETIQUETA</t>
  </si>
  <si>
    <t>TAG</t>
  </si>
  <si>
    <t>LÂMINA</t>
  </si>
  <si>
    <t>PAPEL DE SEDA OUI</t>
  </si>
  <si>
    <t>ETIQUETA OUI</t>
  </si>
  <si>
    <t>LÂMINA OLFATIVA OUI</t>
  </si>
  <si>
    <t>GASTO DE SACOLAS E ITENS DOADOS NAMORADOS/2025 - MENSAIS</t>
  </si>
  <si>
    <t>USOU ATÉ NAMORADOS</t>
  </si>
  <si>
    <t>GASTO DE SACOLAS E ITENS DOADOS PAIS/2025 - MENSAIS</t>
  </si>
  <si>
    <t>USOU ATÉ PAIS</t>
  </si>
  <si>
    <t>GASTO DE SACOLAS E ITENS DOADOS HOMEM ARANHA/25 - MENSAIS</t>
  </si>
  <si>
    <t>USOU ATÉ CRIANÇAS</t>
  </si>
  <si>
    <t>Qte</t>
  </si>
  <si>
    <t>JSH</t>
  </si>
  <si>
    <t>BB</t>
  </si>
  <si>
    <t>JD</t>
  </si>
  <si>
    <t>CONF</t>
  </si>
  <si>
    <t>JC</t>
  </si>
  <si>
    <t>SM</t>
  </si>
  <si>
    <t>IT</t>
  </si>
  <si>
    <t>BR</t>
  </si>
  <si>
    <t>DC</t>
  </si>
  <si>
    <t>SACOLAS PP</t>
  </si>
  <si>
    <t>13018337-0001</t>
  </si>
  <si>
    <t>13018341-0001</t>
  </si>
  <si>
    <t>13018344-0001</t>
  </si>
  <si>
    <t>13018348-0001</t>
  </si>
  <si>
    <t>CAIXAS LOJAS</t>
  </si>
  <si>
    <t>11039799-0001</t>
  </si>
  <si>
    <t>11039802-0001</t>
  </si>
  <si>
    <t>11039805-0001</t>
  </si>
  <si>
    <t>DIVERSOS P/ LOJA</t>
  </si>
  <si>
    <t>15004219-0001</t>
  </si>
  <si>
    <t xml:space="preserve">ETIQUETAS ROLO 35X35 </t>
  </si>
  <si>
    <t>15004204-0001</t>
  </si>
  <si>
    <t>13014467-0001</t>
  </si>
  <si>
    <t>13012369-0001</t>
  </si>
  <si>
    <t>CDJ E ERJ</t>
  </si>
  <si>
    <t>jau</t>
  </si>
  <si>
    <t>SACOLA OUI</t>
  </si>
  <si>
    <t>13018337-0002</t>
  </si>
  <si>
    <t>13018341-0002</t>
  </si>
  <si>
    <t>13018344-0002</t>
  </si>
  <si>
    <t>13018348-0002</t>
  </si>
  <si>
    <t>SACOLA KRAFT</t>
  </si>
  <si>
    <t>DIVERSOS P/ VD</t>
  </si>
  <si>
    <t>11040788-0001</t>
  </si>
  <si>
    <t>LÂMINA OUI</t>
  </si>
  <si>
    <t>ROLO DE ETIQUETAS</t>
  </si>
  <si>
    <t>11040790-0001</t>
  </si>
  <si>
    <t xml:space="preserve">TAG </t>
  </si>
  <si>
    <t>11040792-0001</t>
  </si>
  <si>
    <t>15004262-0001</t>
  </si>
  <si>
    <t xml:space="preserve">SACOLAS P/ VENDA UNITÁRIA </t>
  </si>
  <si>
    <t>KIT PAPEL DE SEDA 20 C/ 25</t>
  </si>
  <si>
    <t>15002138-0001</t>
  </si>
  <si>
    <t>LÂMINA QDB</t>
  </si>
  <si>
    <t>KIT ETIQUETAS 50 C/ 50</t>
  </si>
  <si>
    <t>15004205-0001</t>
  </si>
  <si>
    <t>KIT TAGS 21 C/ 50</t>
  </si>
  <si>
    <t>11029388-0001</t>
  </si>
  <si>
    <t>CAIXAS VDS</t>
  </si>
  <si>
    <t>CAIXA P VERDE - VD</t>
  </si>
  <si>
    <t>11039840-0001</t>
  </si>
  <si>
    <t>CAIXA M VERDE - VD</t>
  </si>
  <si>
    <t>11039842-0001</t>
  </si>
  <si>
    <t>CAIXA G VERDE - VD</t>
  </si>
  <si>
    <t>11039845-0001</t>
  </si>
  <si>
    <t>CAIXAS OMNI</t>
  </si>
  <si>
    <t>LÂMINA  EUDORA</t>
  </si>
  <si>
    <t>KIT SACOLA P EUDORA</t>
  </si>
  <si>
    <t>KIT SACOLA M EUDORA</t>
  </si>
  <si>
    <t>KIT SACOLA G EUDORA</t>
  </si>
  <si>
    <t>KIT CAIXA P EUDORA</t>
  </si>
  <si>
    <t>KIT CAIXA M EUDORA</t>
  </si>
  <si>
    <t>KIT CAIXA G EUDORA</t>
  </si>
  <si>
    <t>GASTO DE SACOLAS E ITENS DOADOS NATAL/2025 - MENSAIS</t>
  </si>
  <si>
    <t>USOU ATÉ NATAL</t>
  </si>
  <si>
    <t>CICLO 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</si>
</sst>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dd/mm"/>
    <numFmt numFmtId="165" formatCode="0;\-0;0"/>
  </numFmts>
  <fonts count="6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i/>
      <sz val="14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4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4"/>
      <color rgb="FFC0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rgb="FF00B05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 tint="4.9989318521683403E-2"/>
      <name val="Calibri"/>
      <family val="2"/>
      <scheme val="minor"/>
    </font>
    <font>
      <sz val="14"/>
      <color rgb="FF00B0F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8"/>
      <name val="Arial"/>
      <family val="2"/>
    </font>
    <font>
      <sz val="10"/>
      <name val="Arial"/>
      <family val="2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1A967E"/>
      <name val="Calibri"/>
      <family val="2"/>
      <scheme val="minor"/>
    </font>
    <font>
      <b/>
      <sz val="14"/>
      <color theme="5"/>
      <name val="Calibri"/>
      <family val="2"/>
      <scheme val="minor"/>
    </font>
    <font>
      <b/>
      <i/>
      <sz val="14"/>
      <color theme="5"/>
      <name val="Calibri"/>
      <family val="2"/>
      <scheme val="minor"/>
    </font>
    <font>
      <sz val="14"/>
      <color rgb="FF1A967E"/>
      <name val="Calibri"/>
      <family val="2"/>
      <scheme val="minor"/>
    </font>
    <font>
      <sz val="14"/>
      <color rgb="FF000000"/>
      <name val="Calibri"/>
      <family val="2"/>
    </font>
    <font>
      <b/>
      <sz val="14"/>
      <color rgb="FF000000"/>
      <name val="Calibri"/>
      <family val="2"/>
    </font>
    <font>
      <sz val="12"/>
      <color rgb="FFFF0000"/>
      <name val="Calibri"/>
      <family val="2"/>
      <scheme val="minor"/>
    </font>
    <font>
      <sz val="14"/>
      <color rgb="FF990099"/>
      <name val="Calibri"/>
      <family val="2"/>
      <scheme val="minor"/>
    </font>
    <font>
      <sz val="14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14"/>
      <color rgb="FFCC0099"/>
      <name val="Calibri"/>
      <family val="2"/>
      <scheme val="minor"/>
    </font>
    <font>
      <b/>
      <sz val="12"/>
      <color rgb="FFFFC000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9" tint="-0.249977111117893"/>
      <name val="Calibri"/>
      <family val="2"/>
      <scheme val="minor"/>
    </font>
    <font>
      <b/>
      <sz val="14"/>
      <color theme="9"/>
      <name val="Calibri"/>
      <family val="2"/>
      <scheme val="minor"/>
    </font>
    <font>
      <sz val="14"/>
      <color theme="4"/>
      <name val="Calibri"/>
      <family val="2"/>
      <scheme val="minor"/>
    </font>
    <font>
      <sz val="14"/>
      <color theme="4"/>
      <name val="Calibri"/>
      <family val="2"/>
    </font>
    <font>
      <b/>
      <sz val="14"/>
      <color rgb="FF960096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sz val="14"/>
      <color theme="9"/>
      <name val="Calibri"/>
      <family val="2"/>
      <scheme val="minor"/>
    </font>
    <font>
      <b/>
      <sz val="11"/>
      <color rgb="FFFFFFFF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b/>
      <sz val="11"/>
      <color rgb="FFFFFFFF"/>
      <name val="Calibri"/>
      <family val="2"/>
      <scheme val="minor"/>
    </font>
    <font>
      <u/>
      <sz val="14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99009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DDEBF7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AE0A2D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60096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rgb="FFFFD9FF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990099"/>
      </left>
      <right style="thin">
        <color rgb="FF990099"/>
      </right>
      <top style="thin">
        <color rgb="FF990099"/>
      </top>
      <bottom style="thin">
        <color rgb="FF990099"/>
      </bottom>
      <diagonal/>
    </border>
    <border>
      <left/>
      <right/>
      <top style="thin">
        <color rgb="FF990099"/>
      </top>
      <bottom style="thin">
        <color rgb="FF990099"/>
      </bottom>
      <diagonal/>
    </border>
    <border>
      <left/>
      <right/>
      <top style="thin">
        <color rgb="FF990099"/>
      </top>
      <bottom style="thin">
        <color indexed="64"/>
      </bottom>
      <diagonal/>
    </border>
    <border>
      <left/>
      <right style="thin">
        <color rgb="FF990099"/>
      </right>
      <top style="thin">
        <color rgb="FF990099"/>
      </top>
      <bottom style="thin">
        <color indexed="64"/>
      </bottom>
      <diagonal/>
    </border>
    <border>
      <left style="thin">
        <color rgb="FF990099"/>
      </left>
      <right style="thin">
        <color indexed="64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 style="thin">
        <color rgb="FF990099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rgb="FF990099"/>
      </right>
      <top style="thin">
        <color rgb="FF990099"/>
      </top>
      <bottom style="thin">
        <color rgb="FF990099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medium">
        <color rgb="FF000000"/>
      </left>
      <right style="thin">
        <color rgb="FFC8C8C8"/>
      </right>
      <top style="medium">
        <color rgb="FF000000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medium">
        <color rgb="FF000000"/>
      </top>
      <bottom style="thin">
        <color rgb="FFC8C8C8"/>
      </bottom>
      <diagonal/>
    </border>
    <border>
      <left style="thin">
        <color rgb="FFC8C8C8"/>
      </left>
      <right style="medium">
        <color rgb="FF000000"/>
      </right>
      <top style="medium">
        <color rgb="FF000000"/>
      </top>
      <bottom style="thin">
        <color rgb="FFC8C8C8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 style="thin">
        <color rgb="FFC8C8C8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/>
      <diagonal/>
    </border>
    <border>
      <left style="medium">
        <color rgb="FF000000"/>
      </left>
      <right style="thin">
        <color rgb="FFC8C8C8"/>
      </right>
      <top style="thin">
        <color rgb="FFC8C8C8"/>
      </top>
      <bottom/>
      <diagonal/>
    </border>
    <border>
      <left style="thin">
        <color rgb="FFC8C8C8"/>
      </left>
      <right style="medium">
        <color rgb="FF000000"/>
      </right>
      <top style="thin">
        <color rgb="FFC8C8C8"/>
      </top>
      <bottom/>
      <diagonal/>
    </border>
    <border>
      <left style="thin">
        <color rgb="FFC8C8C8"/>
      </left>
      <right style="thin">
        <color rgb="FFC8C8C8"/>
      </right>
      <top/>
      <bottom style="thin">
        <color rgb="FFC8C8C8"/>
      </bottom>
      <diagonal/>
    </border>
    <border>
      <left style="medium">
        <color indexed="64"/>
      </left>
      <right style="thin">
        <color rgb="FFC8C8C8"/>
      </right>
      <top style="medium">
        <color indexed="64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medium">
        <color indexed="64"/>
      </top>
      <bottom style="thin">
        <color rgb="FFC8C8C8"/>
      </bottom>
      <diagonal/>
    </border>
    <border>
      <left style="thin">
        <color rgb="FFC8C8C8"/>
      </left>
      <right style="medium">
        <color indexed="64"/>
      </right>
      <top style="medium">
        <color indexed="64"/>
      </top>
      <bottom style="thin">
        <color rgb="FFC8C8C8"/>
      </bottom>
      <diagonal/>
    </border>
    <border>
      <left style="medium">
        <color indexed="64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medium">
        <color indexed="64"/>
      </right>
      <top style="thin">
        <color rgb="FFC8C8C8"/>
      </top>
      <bottom style="thin">
        <color rgb="FFC8C8C8"/>
      </bottom>
      <diagonal/>
    </border>
    <border>
      <left style="medium">
        <color indexed="64"/>
      </left>
      <right style="thin">
        <color rgb="FFC8C8C8"/>
      </right>
      <top style="thin">
        <color rgb="FFC8C8C8"/>
      </top>
      <bottom style="medium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medium">
        <color indexed="64"/>
      </bottom>
      <diagonal/>
    </border>
    <border>
      <left style="thin">
        <color rgb="FFC8C8C8"/>
      </left>
      <right style="medium">
        <color indexed="64"/>
      </right>
      <top style="thin">
        <color rgb="FFC8C8C8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990099"/>
      </left>
      <right style="thin">
        <color rgb="FF990099"/>
      </right>
      <top/>
      <bottom style="thin">
        <color rgb="FF99009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rgb="FF990099"/>
      </left>
      <right style="thin">
        <color indexed="64"/>
      </right>
      <top/>
      <bottom style="thin">
        <color rgb="FF990099"/>
      </bottom>
      <diagonal/>
    </border>
    <border>
      <left style="thin">
        <color indexed="64"/>
      </left>
      <right style="thin">
        <color rgb="FF990099"/>
      </right>
      <top style="thin">
        <color rgb="FF990099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990099"/>
      </bottom>
      <diagonal/>
    </border>
    <border>
      <left style="thin">
        <color indexed="64"/>
      </left>
      <right style="thin">
        <color rgb="FF990099"/>
      </right>
      <top/>
      <bottom style="thin">
        <color rgb="FF990099"/>
      </bottom>
      <diagonal/>
    </border>
  </borders>
  <cellStyleXfs count="38">
    <xf numFmtId="0" fontId="0" fillId="0" borderId="0"/>
    <xf numFmtId="0" fontId="25" fillId="0" borderId="0"/>
    <xf numFmtId="44" fontId="6" fillId="0" borderId="0"/>
    <xf numFmtId="44" fontId="6" fillId="0" borderId="0"/>
    <xf numFmtId="0" fontId="20" fillId="0" borderId="0"/>
    <xf numFmtId="0" fontId="25" fillId="0" borderId="0"/>
    <xf numFmtId="43" fontId="6" fillId="0" borderId="0"/>
    <xf numFmtId="44" fontId="6" fillId="0" borderId="0"/>
    <xf numFmtId="0" fontId="25" fillId="0" borderId="0"/>
    <xf numFmtId="0" fontId="43" fillId="0" borderId="0"/>
    <xf numFmtId="44" fontId="20" fillId="0" borderId="0"/>
    <xf numFmtId="0" fontId="43" fillId="0" borderId="0"/>
    <xf numFmtId="44" fontId="20" fillId="0" borderId="0"/>
    <xf numFmtId="44" fontId="20" fillId="0" borderId="0"/>
    <xf numFmtId="44" fontId="20" fillId="0" borderId="0"/>
    <xf numFmtId="44" fontId="20" fillId="0" borderId="0"/>
    <xf numFmtId="44" fontId="20" fillId="0" borderId="0"/>
    <xf numFmtId="44" fontId="20" fillId="0" borderId="0"/>
    <xf numFmtId="44" fontId="20" fillId="0" borderId="0"/>
    <xf numFmtId="44" fontId="20" fillId="0" borderId="0"/>
    <xf numFmtId="44" fontId="20" fillId="0" borderId="0"/>
    <xf numFmtId="44" fontId="20" fillId="0" borderId="0"/>
    <xf numFmtId="44" fontId="20" fillId="0" borderId="0"/>
    <xf numFmtId="44" fontId="20" fillId="0" borderId="0"/>
    <xf numFmtId="44" fontId="20" fillId="0" borderId="0"/>
    <xf numFmtId="44" fontId="20" fillId="0" borderId="0"/>
    <xf numFmtId="44" fontId="20" fillId="0" borderId="0"/>
    <xf numFmtId="44" fontId="6" fillId="0" borderId="0"/>
    <xf numFmtId="44" fontId="20" fillId="0" borderId="0"/>
    <xf numFmtId="0" fontId="43" fillId="0" borderId="0"/>
    <xf numFmtId="44" fontId="20" fillId="0" borderId="0"/>
    <xf numFmtId="44" fontId="20" fillId="0" borderId="0"/>
    <xf numFmtId="44" fontId="20" fillId="0" borderId="0"/>
    <xf numFmtId="44" fontId="20" fillId="0" borderId="0"/>
    <xf numFmtId="44" fontId="6" fillId="0" borderId="0"/>
    <xf numFmtId="0" fontId="25" fillId="0" borderId="0"/>
    <xf numFmtId="44" fontId="20" fillId="0" borderId="0"/>
    <xf numFmtId="44" fontId="20" fillId="0" borderId="0"/>
  </cellStyleXfs>
  <cellXfs count="541">
    <xf numFmtId="0" fontId="0" fillId="0" borderId="0" xfId="0"/>
    <xf numFmtId="0" fontId="5" fillId="0" borderId="0" xfId="0" applyFont="1" applyAlignment="1">
      <alignment horizontal="center" vertical="center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4" fontId="3" fillId="0" borderId="0" xfId="2" applyFont="1"/>
    <xf numFmtId="0" fontId="10" fillId="3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2" fillId="0" borderId="0" xfId="0" applyFont="1" applyAlignment="1" applyProtection="1">
      <alignment horizontal="center" vertical="center"/>
      <protection locked="0"/>
    </xf>
    <xf numFmtId="0" fontId="3" fillId="0" borderId="0" xfId="0" applyFont="1"/>
    <xf numFmtId="0" fontId="4" fillId="3" borderId="1" xfId="0" applyFont="1" applyFill="1" applyBorder="1" applyAlignment="1">
      <alignment horizontal="center" vertical="center"/>
    </xf>
    <xf numFmtId="164" fontId="4" fillId="10" borderId="1" xfId="0" applyNumberFormat="1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7" fillId="0" borderId="0" xfId="0" applyFont="1" applyAlignment="1" applyProtection="1">
      <alignment horizontal="center" vertical="center"/>
      <protection locked="0"/>
    </xf>
    <xf numFmtId="0" fontId="17" fillId="0" borderId="0" xfId="0" applyFont="1" applyAlignment="1">
      <alignment horizontal="center" vertical="center"/>
    </xf>
    <xf numFmtId="164" fontId="4" fillId="9" borderId="1" xfId="0" applyNumberFormat="1" applyFont="1" applyFill="1" applyBorder="1" applyAlignment="1">
      <alignment horizontal="center" vertical="center"/>
    </xf>
    <xf numFmtId="164" fontId="4" fillId="8" borderId="1" xfId="0" applyNumberFormat="1" applyFont="1" applyFill="1" applyBorder="1" applyAlignment="1">
      <alignment horizontal="center"/>
    </xf>
    <xf numFmtId="0" fontId="18" fillId="0" borderId="1" xfId="0" applyFont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14" borderId="1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21" fillId="13" borderId="1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164" fontId="5" fillId="0" borderId="0" xfId="0" applyNumberFormat="1" applyFont="1" applyAlignment="1">
      <alignment vertical="center"/>
    </xf>
    <xf numFmtId="0" fontId="22" fillId="0" borderId="1" xfId="0" applyFont="1" applyBorder="1" applyAlignment="1" applyProtection="1">
      <alignment horizontal="center" vertical="center"/>
      <protection locked="0"/>
    </xf>
    <xf numFmtId="0" fontId="22" fillId="0" borderId="0" xfId="0" applyFont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164" fontId="4" fillId="15" borderId="1" xfId="0" applyNumberFormat="1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5" fillId="0" borderId="1" xfId="0" applyFont="1" applyBorder="1" applyAlignment="1" applyProtection="1">
      <alignment horizontal="center" vertical="center"/>
      <protection locked="0"/>
    </xf>
    <xf numFmtId="0" fontId="3" fillId="1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16" borderId="6" xfId="0" applyFont="1" applyFill="1" applyBorder="1" applyAlignment="1">
      <alignment horizontal="center" vertical="center"/>
    </xf>
    <xf numFmtId="44" fontId="4" fillId="16" borderId="6" xfId="2" applyFont="1" applyFill="1" applyBorder="1" applyAlignment="1">
      <alignment horizontal="center" vertical="center" wrapText="1"/>
    </xf>
    <xf numFmtId="44" fontId="9" fillId="16" borderId="6" xfId="2" applyFont="1" applyFill="1" applyBorder="1" applyAlignment="1">
      <alignment horizontal="center" vertical="center" wrapText="1"/>
    </xf>
    <xf numFmtId="2" fontId="8" fillId="4" borderId="1" xfId="0" applyNumberFormat="1" applyFont="1" applyFill="1" applyBorder="1" applyAlignment="1">
      <alignment horizontal="center" vertical="center"/>
    </xf>
    <xf numFmtId="2" fontId="8" fillId="4" borderId="6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2" fontId="8" fillId="4" borderId="9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44" fontId="4" fillId="3" borderId="10" xfId="2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vertical="center"/>
    </xf>
    <xf numFmtId="44" fontId="8" fillId="11" borderId="9" xfId="2" applyFont="1" applyFill="1" applyBorder="1" applyAlignment="1">
      <alignment horizontal="center" vertical="center"/>
    </xf>
    <xf numFmtId="44" fontId="8" fillId="11" borderId="1" xfId="2" applyFont="1" applyFill="1" applyBorder="1" applyAlignment="1">
      <alignment horizontal="center" vertical="center"/>
    </xf>
    <xf numFmtId="44" fontId="4" fillId="3" borderId="10" xfId="2" applyFont="1" applyFill="1" applyBorder="1" applyAlignment="1">
      <alignment vertical="center"/>
    </xf>
    <xf numFmtId="0" fontId="5" fillId="0" borderId="6" xfId="0" applyFont="1" applyBorder="1" applyAlignment="1">
      <alignment horizontal="left" vertical="center"/>
    </xf>
    <xf numFmtId="0" fontId="5" fillId="4" borderId="1" xfId="0" applyFont="1" applyFill="1" applyBorder="1" applyAlignment="1">
      <alignment horizontal="left" vertical="center"/>
    </xf>
    <xf numFmtId="44" fontId="8" fillId="4" borderId="1" xfId="2" applyFont="1" applyFill="1" applyBorder="1" applyAlignment="1">
      <alignment horizontal="center" vertical="center"/>
    </xf>
    <xf numFmtId="44" fontId="4" fillId="3" borderId="1" xfId="2" applyFont="1" applyFill="1" applyBorder="1" applyAlignment="1">
      <alignment vertical="center"/>
    </xf>
    <xf numFmtId="0" fontId="3" fillId="0" borderId="0" xfId="0" applyFont="1" applyAlignment="1">
      <alignment horizontal="left"/>
    </xf>
    <xf numFmtId="0" fontId="21" fillId="13" borderId="1" xfId="0" applyFont="1" applyFill="1" applyBorder="1" applyAlignment="1">
      <alignment horizontal="left" vertical="center"/>
    </xf>
    <xf numFmtId="44" fontId="5" fillId="0" borderId="0" xfId="2" applyFont="1" applyAlignment="1">
      <alignment horizontal="center" vertical="center"/>
    </xf>
    <xf numFmtId="44" fontId="4" fillId="3" borderId="1" xfId="2" applyFont="1" applyFill="1" applyBorder="1" applyAlignment="1">
      <alignment horizontal="center" vertical="center"/>
    </xf>
    <xf numFmtId="44" fontId="5" fillId="0" borderId="1" xfId="2" applyFont="1" applyBorder="1" applyAlignment="1">
      <alignment horizontal="center" vertical="center"/>
    </xf>
    <xf numFmtId="44" fontId="5" fillId="0" borderId="0" xfId="2" applyFont="1" applyAlignment="1">
      <alignment vertical="center"/>
    </xf>
    <xf numFmtId="0" fontId="4" fillId="3" borderId="8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15" fillId="0" borderId="0" xfId="0" applyFont="1"/>
    <xf numFmtId="0" fontId="3" fillId="0" borderId="0" xfId="0" applyFont="1" applyAlignment="1" applyProtection="1">
      <alignment horizontal="center"/>
      <protection locked="0"/>
    </xf>
    <xf numFmtId="0" fontId="3" fillId="0" borderId="1" xfId="0" applyFont="1" applyBorder="1" applyAlignment="1">
      <alignment horizontal="center"/>
    </xf>
    <xf numFmtId="0" fontId="13" fillId="0" borderId="0" xfId="0" applyFont="1" applyAlignment="1" applyProtection="1">
      <alignment horizontal="center" vertical="center"/>
      <protection locked="0"/>
    </xf>
    <xf numFmtId="16" fontId="14" fillId="0" borderId="0" xfId="0" applyNumberFormat="1" applyFont="1" applyProtection="1">
      <protection locked="0"/>
    </xf>
    <xf numFmtId="0" fontId="18" fillId="0" borderId="0" xfId="0" applyFont="1" applyAlignment="1" applyProtection="1">
      <alignment horizontal="center" vertical="center"/>
      <protection locked="0"/>
    </xf>
    <xf numFmtId="0" fontId="22" fillId="0" borderId="1" xfId="0" applyFont="1" applyBorder="1" applyAlignment="1">
      <alignment horizontal="center" vertical="center"/>
    </xf>
    <xf numFmtId="44" fontId="3" fillId="0" borderId="1" xfId="2" applyFont="1" applyBorder="1" applyAlignment="1">
      <alignment horizontal="center"/>
    </xf>
    <xf numFmtId="0" fontId="12" fillId="0" borderId="1" xfId="0" applyFont="1" applyBorder="1" applyAlignment="1" applyProtection="1">
      <alignment horizontal="center" vertical="center"/>
      <protection locked="0"/>
    </xf>
    <xf numFmtId="44" fontId="8" fillId="11" borderId="8" xfId="2" applyFont="1" applyFill="1" applyBorder="1" applyAlignment="1">
      <alignment vertical="center"/>
    </xf>
    <xf numFmtId="44" fontId="8" fillId="11" borderId="7" xfId="2" applyFont="1" applyFill="1" applyBorder="1" applyAlignment="1">
      <alignment vertical="center"/>
    </xf>
    <xf numFmtId="44" fontId="5" fillId="0" borderId="9" xfId="2" applyFont="1" applyBorder="1" applyAlignment="1">
      <alignment horizontal="center" vertical="center"/>
    </xf>
    <xf numFmtId="44" fontId="5" fillId="0" borderId="1" xfId="2" applyFont="1" applyBorder="1" applyAlignment="1">
      <alignment vertical="center"/>
    </xf>
    <xf numFmtId="3" fontId="5" fillId="0" borderId="1" xfId="0" applyNumberFormat="1" applyFont="1" applyBorder="1" applyAlignment="1">
      <alignment horizontal="center" vertical="center"/>
    </xf>
    <xf numFmtId="16" fontId="4" fillId="3" borderId="1" xfId="0" applyNumberFormat="1" applyFont="1" applyFill="1" applyBorder="1" applyAlignment="1">
      <alignment horizontal="center" vertical="center"/>
    </xf>
    <xf numFmtId="16" fontId="26" fillId="18" borderId="14" xfId="0" applyNumberFormat="1" applyFont="1" applyFill="1" applyBorder="1" applyAlignment="1">
      <alignment horizontal="center" vertical="center"/>
    </xf>
    <xf numFmtId="0" fontId="26" fillId="18" borderId="14" xfId="0" applyFont="1" applyFill="1" applyBorder="1" applyAlignment="1">
      <alignment horizontal="center" vertical="center" wrapText="1"/>
    </xf>
    <xf numFmtId="0" fontId="27" fillId="0" borderId="7" xfId="0" applyFont="1" applyBorder="1" applyAlignment="1">
      <alignment horizontal="left" vertical="center"/>
    </xf>
    <xf numFmtId="0" fontId="28" fillId="0" borderId="1" xfId="0" applyFont="1" applyBorder="1" applyAlignment="1">
      <alignment horizontal="center"/>
    </xf>
    <xf numFmtId="0" fontId="28" fillId="19" borderId="1" xfId="0" applyFont="1" applyFill="1" applyBorder="1" applyAlignment="1">
      <alignment horizontal="center"/>
    </xf>
    <xf numFmtId="0" fontId="27" fillId="0" borderId="4" xfId="0" applyFont="1" applyBorder="1" applyAlignment="1">
      <alignment horizontal="left" vertical="center"/>
    </xf>
    <xf numFmtId="0" fontId="27" fillId="0" borderId="5" xfId="0" applyFont="1" applyBorder="1" applyAlignment="1">
      <alignment horizontal="left" vertical="center"/>
    </xf>
    <xf numFmtId="0" fontId="27" fillId="0" borderId="1" xfId="0" applyFont="1" applyBorder="1" applyAlignment="1">
      <alignment horizontal="left" vertical="center"/>
    </xf>
    <xf numFmtId="0" fontId="29" fillId="19" borderId="1" xfId="0" applyFont="1" applyFill="1" applyBorder="1" applyAlignment="1">
      <alignment horizontal="left" vertical="center"/>
    </xf>
    <xf numFmtId="0" fontId="30" fillId="19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left"/>
    </xf>
    <xf numFmtId="16" fontId="26" fillId="8" borderId="14" xfId="0" applyNumberFormat="1" applyFont="1" applyFill="1" applyBorder="1" applyAlignment="1">
      <alignment horizontal="center" vertical="center"/>
    </xf>
    <xf numFmtId="0" fontId="26" fillId="8" borderId="14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6" fontId="26" fillId="0" borderId="0" xfId="0" applyNumberFormat="1" applyFont="1" applyAlignment="1">
      <alignment horizontal="center" vertical="center"/>
    </xf>
    <xf numFmtId="0" fontId="26" fillId="0" borderId="0" xfId="0" applyFont="1" applyAlignment="1">
      <alignment horizontal="center" vertical="center" wrapText="1"/>
    </xf>
    <xf numFmtId="0" fontId="27" fillId="0" borderId="0" xfId="0" applyFont="1" applyAlignment="1">
      <alignment horizontal="left" vertical="center"/>
    </xf>
    <xf numFmtId="0" fontId="29" fillId="0" borderId="0" xfId="0" applyFont="1" applyAlignment="1">
      <alignment horizontal="left" vertical="center"/>
    </xf>
    <xf numFmtId="0" fontId="30" fillId="0" borderId="0" xfId="0" applyFont="1" applyAlignment="1">
      <alignment horizontal="center"/>
    </xf>
    <xf numFmtId="0" fontId="26" fillId="0" borderId="0" xfId="0" applyFont="1" applyAlignment="1">
      <alignment vertical="center"/>
    </xf>
    <xf numFmtId="3" fontId="28" fillId="0" borderId="1" xfId="0" applyNumberFormat="1" applyFont="1" applyBorder="1" applyAlignment="1">
      <alignment horizontal="center"/>
    </xf>
    <xf numFmtId="0" fontId="28" fillId="5" borderId="1" xfId="0" applyFont="1" applyFill="1" applyBorder="1" applyAlignment="1">
      <alignment horizontal="center"/>
    </xf>
    <xf numFmtId="0" fontId="29" fillId="5" borderId="1" xfId="0" applyFont="1" applyFill="1" applyBorder="1" applyAlignment="1">
      <alignment horizontal="left" vertical="center"/>
    </xf>
    <xf numFmtId="0" fontId="30" fillId="5" borderId="1" xfId="0" applyFont="1" applyFill="1" applyBorder="1" applyAlignment="1">
      <alignment horizontal="center"/>
    </xf>
    <xf numFmtId="3" fontId="31" fillId="0" borderId="0" xfId="0" applyNumberFormat="1" applyFont="1" applyAlignment="1" applyProtection="1">
      <alignment horizontal="center" vertical="center"/>
      <protection locked="0"/>
    </xf>
    <xf numFmtId="0" fontId="37" fillId="0" borderId="1" xfId="0" applyFont="1" applyBorder="1" applyAlignment="1">
      <alignment horizontal="left" vertical="center"/>
    </xf>
    <xf numFmtId="0" fontId="22" fillId="3" borderId="1" xfId="0" applyFont="1" applyFill="1" applyBorder="1" applyAlignment="1" applyProtection="1">
      <alignment horizontal="center" vertical="center"/>
      <protection locked="0"/>
    </xf>
    <xf numFmtId="0" fontId="18" fillId="0" borderId="1" xfId="2" applyNumberFormat="1" applyFont="1" applyBorder="1" applyAlignment="1">
      <alignment horizontal="center" vertical="center"/>
    </xf>
    <xf numFmtId="0" fontId="27" fillId="0" borderId="1" xfId="0" applyFont="1" applyBorder="1" applyAlignment="1" applyProtection="1">
      <alignment horizontal="left" vertical="center"/>
      <protection locked="0"/>
    </xf>
    <xf numFmtId="16" fontId="4" fillId="3" borderId="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4" fillId="0" borderId="1" xfId="0" applyFont="1" applyBorder="1" applyAlignment="1" applyProtection="1">
      <alignment horizontal="center" vertical="center"/>
      <protection locked="0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44" fontId="3" fillId="0" borderId="0" xfId="2" applyFont="1" applyAlignment="1">
      <alignment horizontal="center"/>
    </xf>
    <xf numFmtId="16" fontId="4" fillId="0" borderId="0" xfId="0" applyNumberFormat="1" applyFont="1" applyAlignment="1">
      <alignment horizontal="center" vertical="center"/>
    </xf>
    <xf numFmtId="3" fontId="5" fillId="0" borderId="1" xfId="0" applyNumberFormat="1" applyFont="1" applyBorder="1" applyAlignment="1" applyProtection="1">
      <alignment horizontal="center" vertical="center"/>
      <protection locked="0"/>
    </xf>
    <xf numFmtId="3" fontId="5" fillId="14" borderId="1" xfId="0" applyNumberFormat="1" applyFont="1" applyFill="1" applyBorder="1" applyAlignment="1" applyProtection="1">
      <alignment horizontal="center" vertical="center"/>
      <protection locked="0"/>
    </xf>
    <xf numFmtId="0" fontId="16" fillId="3" borderId="1" xfId="0" applyFont="1" applyFill="1" applyBorder="1" applyAlignment="1">
      <alignment horizontal="center" vertical="center"/>
    </xf>
    <xf numFmtId="0" fontId="5" fillId="0" borderId="0" xfId="0" applyFont="1"/>
    <xf numFmtId="0" fontId="40" fillId="0" borderId="0" xfId="0" applyFont="1"/>
    <xf numFmtId="44" fontId="5" fillId="0" borderId="0" xfId="2" applyFont="1"/>
    <xf numFmtId="0" fontId="5" fillId="0" borderId="1" xfId="0" applyFont="1" applyBorder="1" applyAlignment="1" applyProtection="1">
      <alignment horizontal="center" vertical="center" wrapText="1"/>
      <protection locked="0"/>
    </xf>
    <xf numFmtId="0" fontId="32" fillId="0" borderId="0" xfId="0" applyFont="1" applyAlignment="1">
      <alignment horizontal="left" vertical="center"/>
    </xf>
    <xf numFmtId="0" fontId="33" fillId="0" borderId="0" xfId="0" applyFont="1" applyAlignment="1">
      <alignment horizontal="center" vertical="center"/>
    </xf>
    <xf numFmtId="16" fontId="0" fillId="0" borderId="0" xfId="0" applyNumberFormat="1"/>
    <xf numFmtId="0" fontId="19" fillId="3" borderId="1" xfId="0" applyFont="1" applyFill="1" applyBorder="1" applyAlignment="1">
      <alignment horizontal="center" vertical="center"/>
    </xf>
    <xf numFmtId="0" fontId="4" fillId="12" borderId="0" xfId="0" applyFont="1" applyFill="1" applyAlignment="1">
      <alignment horizontal="left" vertical="center"/>
    </xf>
    <xf numFmtId="0" fontId="12" fillId="0" borderId="1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8" borderId="24" xfId="0" applyFont="1" applyFill="1" applyBorder="1" applyAlignment="1">
      <alignment horizontal="left" vertical="center"/>
    </xf>
    <xf numFmtId="0" fontId="8" fillId="8" borderId="23" xfId="0" applyFont="1" applyFill="1" applyBorder="1" applyAlignment="1">
      <alignment horizontal="center" vertical="center"/>
    </xf>
    <xf numFmtId="2" fontId="8" fillId="8" borderId="23" xfId="0" applyNumberFormat="1" applyFont="1" applyFill="1" applyBorder="1" applyAlignment="1">
      <alignment horizontal="center" vertical="center"/>
    </xf>
    <xf numFmtId="0" fontId="5" fillId="8" borderId="23" xfId="0" applyFont="1" applyFill="1" applyBorder="1" applyAlignment="1" applyProtection="1">
      <alignment horizontal="center" vertical="center"/>
      <protection locked="0"/>
    </xf>
    <xf numFmtId="0" fontId="5" fillId="22" borderId="5" xfId="0" applyFont="1" applyFill="1" applyBorder="1" applyAlignment="1">
      <alignment horizontal="left" vertical="center"/>
    </xf>
    <xf numFmtId="0" fontId="5" fillId="22" borderId="1" xfId="0" applyFont="1" applyFill="1" applyBorder="1" applyAlignment="1">
      <alignment horizontal="center" vertical="center"/>
    </xf>
    <xf numFmtId="44" fontId="5" fillId="22" borderId="1" xfId="2" applyFont="1" applyFill="1" applyBorder="1" applyAlignment="1">
      <alignment vertical="center"/>
    </xf>
    <xf numFmtId="0" fontId="2" fillId="24" borderId="1" xfId="0" applyFont="1" applyFill="1" applyBorder="1" applyAlignment="1">
      <alignment horizontal="left" vertical="center"/>
    </xf>
    <xf numFmtId="0" fontId="2" fillId="24" borderId="1" xfId="0" applyFont="1" applyFill="1" applyBorder="1" applyAlignment="1">
      <alignment horizontal="center" vertical="center"/>
    </xf>
    <xf numFmtId="0" fontId="12" fillId="17" borderId="1" xfId="0" applyFont="1" applyFill="1" applyBorder="1" applyAlignment="1">
      <alignment horizontal="left" vertical="center"/>
    </xf>
    <xf numFmtId="0" fontId="12" fillId="17" borderId="1" xfId="0" applyFont="1" applyFill="1" applyBorder="1" applyAlignment="1">
      <alignment horizontal="center" vertical="center"/>
    </xf>
    <xf numFmtId="0" fontId="26" fillId="18" borderId="17" xfId="0" applyFont="1" applyFill="1" applyBorder="1" applyAlignment="1">
      <alignment horizontal="center" vertical="center"/>
    </xf>
    <xf numFmtId="0" fontId="27" fillId="0" borderId="4" xfId="0" applyFont="1" applyBorder="1" applyAlignment="1">
      <alignment vertical="center"/>
    </xf>
    <xf numFmtId="43" fontId="4" fillId="15" borderId="1" xfId="6" applyFont="1" applyFill="1" applyBorder="1" applyAlignment="1">
      <alignment horizontal="center" vertical="center"/>
    </xf>
    <xf numFmtId="0" fontId="18" fillId="0" borderId="0" xfId="0" applyFont="1" applyAlignment="1" applyProtection="1">
      <alignment horizontal="center"/>
      <protection locked="0"/>
    </xf>
    <xf numFmtId="164" fontId="2" fillId="0" borderId="0" xfId="0" applyNumberFormat="1" applyFont="1" applyAlignment="1">
      <alignment horizontal="center"/>
    </xf>
    <xf numFmtId="0" fontId="38" fillId="7" borderId="1" xfId="0" applyFont="1" applyFill="1" applyBorder="1" applyAlignment="1" applyProtection="1">
      <alignment horizontal="left" vertical="center"/>
      <protection locked="0"/>
    </xf>
    <xf numFmtId="0" fontId="3" fillId="0" borderId="1" xfId="0" applyFont="1" applyBorder="1"/>
    <xf numFmtId="16" fontId="3" fillId="0" borderId="0" xfId="0" applyNumberFormat="1" applyFont="1" applyAlignment="1">
      <alignment horizontal="center"/>
    </xf>
    <xf numFmtId="0" fontId="15" fillId="0" borderId="0" xfId="0" applyFont="1" applyAlignment="1">
      <alignment horizontal="right"/>
    </xf>
    <xf numFmtId="0" fontId="5" fillId="23" borderId="1" xfId="0" applyFont="1" applyFill="1" applyBorder="1" applyAlignment="1" applyProtection="1">
      <alignment horizontal="left" vertical="center"/>
      <protection locked="0"/>
    </xf>
    <xf numFmtId="0" fontId="36" fillId="26" borderId="27" xfId="0" applyFont="1" applyFill="1" applyBorder="1" applyAlignment="1" applyProtection="1">
      <alignment horizontal="center" vertical="center"/>
      <protection locked="0"/>
    </xf>
    <xf numFmtId="0" fontId="35" fillId="0" borderId="27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center" vertical="center"/>
    </xf>
    <xf numFmtId="0" fontId="27" fillId="0" borderId="9" xfId="0" applyFont="1" applyBorder="1" applyAlignment="1" applyProtection="1">
      <alignment horizontal="left" vertical="center"/>
      <protection locked="0"/>
    </xf>
    <xf numFmtId="0" fontId="28" fillId="0" borderId="9" xfId="0" applyFont="1" applyBorder="1" applyAlignment="1">
      <alignment horizontal="center"/>
    </xf>
    <xf numFmtId="0" fontId="28" fillId="5" borderId="9" xfId="0" applyFont="1" applyFill="1" applyBorder="1" applyAlignment="1">
      <alignment horizontal="center"/>
    </xf>
    <xf numFmtId="3" fontId="45" fillId="27" borderId="1" xfId="0" applyNumberFormat="1" applyFont="1" applyFill="1" applyBorder="1" applyAlignment="1">
      <alignment horizontal="center"/>
    </xf>
    <xf numFmtId="164" fontId="44" fillId="17" borderId="1" xfId="2" applyNumberFormat="1" applyFont="1" applyFill="1" applyBorder="1" applyAlignment="1">
      <alignment horizontal="left" vertical="center" wrapText="1"/>
    </xf>
    <xf numFmtId="164" fontId="44" fillId="0" borderId="1" xfId="2" applyNumberFormat="1" applyFont="1" applyBorder="1" applyAlignment="1">
      <alignment horizontal="left" vertical="center" wrapText="1"/>
    </xf>
    <xf numFmtId="16" fontId="26" fillId="28" borderId="1" xfId="0" applyNumberFormat="1" applyFont="1" applyFill="1" applyBorder="1" applyAlignment="1">
      <alignment horizontal="center" vertical="center"/>
    </xf>
    <xf numFmtId="0" fontId="26" fillId="28" borderId="35" xfId="0" applyFont="1" applyFill="1" applyBorder="1" applyAlignment="1">
      <alignment horizontal="center" vertical="center" wrapText="1"/>
    </xf>
    <xf numFmtId="16" fontId="26" fillId="28" borderId="2" xfId="0" applyNumberFormat="1" applyFont="1" applyFill="1" applyBorder="1" applyAlignment="1">
      <alignment horizontal="center" vertical="center"/>
    </xf>
    <xf numFmtId="0" fontId="26" fillId="28" borderId="10" xfId="0" applyFont="1" applyFill="1" applyBorder="1" applyAlignment="1">
      <alignment horizontal="center" vertical="center" wrapText="1"/>
    </xf>
    <xf numFmtId="3" fontId="29" fillId="10" borderId="9" xfId="0" applyNumberFormat="1" applyFont="1" applyFill="1" applyBorder="1" applyAlignment="1">
      <alignment horizontal="center"/>
    </xf>
    <xf numFmtId="3" fontId="26" fillId="28" borderId="9" xfId="0" applyNumberFormat="1" applyFont="1" applyFill="1" applyBorder="1" applyAlignment="1">
      <alignment horizontal="center"/>
    </xf>
    <xf numFmtId="3" fontId="26" fillId="28" borderId="1" xfId="0" applyNumberFormat="1" applyFont="1" applyFill="1" applyBorder="1" applyAlignment="1">
      <alignment horizontal="center"/>
    </xf>
    <xf numFmtId="0" fontId="26" fillId="28" borderId="1" xfId="0" applyFont="1" applyFill="1" applyBorder="1" applyAlignment="1">
      <alignment horizontal="center"/>
    </xf>
    <xf numFmtId="0" fontId="5" fillId="0" borderId="22" xfId="0" applyFont="1" applyBorder="1" applyAlignment="1" applyProtection="1">
      <alignment horizontal="center" vertical="center"/>
      <protection locked="0"/>
    </xf>
    <xf numFmtId="0" fontId="11" fillId="3" borderId="1" xfId="0" applyFont="1" applyFill="1" applyBorder="1" applyAlignment="1">
      <alignment vertical="center"/>
    </xf>
    <xf numFmtId="0" fontId="2" fillId="24" borderId="11" xfId="0" applyFont="1" applyFill="1" applyBorder="1" applyAlignment="1">
      <alignment horizontal="center" vertical="center"/>
    </xf>
    <xf numFmtId="0" fontId="44" fillId="0" borderId="0" xfId="0" applyFont="1" applyAlignment="1">
      <alignment vertical="center"/>
    </xf>
    <xf numFmtId="0" fontId="35" fillId="22" borderId="0" xfId="0" applyFont="1" applyFill="1" applyAlignment="1" applyProtection="1">
      <alignment horizontal="center" vertical="center"/>
      <protection locked="0"/>
    </xf>
    <xf numFmtId="164" fontId="2" fillId="2" borderId="1" xfId="0" applyNumberFormat="1" applyFont="1" applyFill="1" applyBorder="1" applyAlignment="1">
      <alignment horizontal="center" vertical="center"/>
    </xf>
    <xf numFmtId="164" fontId="4" fillId="8" borderId="1" xfId="0" applyNumberFormat="1" applyFont="1" applyFill="1" applyBorder="1" applyAlignment="1">
      <alignment horizontal="center" vertical="center"/>
    </xf>
    <xf numFmtId="0" fontId="46" fillId="0" borderId="1" xfId="0" applyFont="1" applyBorder="1" applyAlignment="1">
      <alignment vertical="center"/>
    </xf>
    <xf numFmtId="0" fontId="12" fillId="0" borderId="2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46" fillId="0" borderId="0" xfId="0" applyFont="1" applyAlignment="1">
      <alignment vertical="center"/>
    </xf>
    <xf numFmtId="0" fontId="30" fillId="5" borderId="9" xfId="0" applyFont="1" applyFill="1" applyBorder="1" applyAlignment="1">
      <alignment horizontal="center"/>
    </xf>
    <xf numFmtId="164" fontId="48" fillId="0" borderId="1" xfId="0" applyNumberFormat="1" applyFont="1" applyBorder="1" applyAlignment="1">
      <alignment horizontal="center"/>
    </xf>
    <xf numFmtId="0" fontId="48" fillId="0" borderId="1" xfId="0" applyFont="1" applyBorder="1" applyAlignment="1">
      <alignment horizontal="center"/>
    </xf>
    <xf numFmtId="16" fontId="26" fillId="32" borderId="1" xfId="0" applyNumberFormat="1" applyFont="1" applyFill="1" applyBorder="1" applyAlignment="1">
      <alignment horizontal="center" vertical="center"/>
    </xf>
    <xf numFmtId="16" fontId="26" fillId="32" borderId="2" xfId="0" applyNumberFormat="1" applyFont="1" applyFill="1" applyBorder="1" applyAlignment="1">
      <alignment horizontal="center" vertical="center"/>
    </xf>
    <xf numFmtId="0" fontId="26" fillId="32" borderId="10" xfId="0" applyFont="1" applyFill="1" applyBorder="1" applyAlignment="1">
      <alignment horizontal="center" vertical="center" wrapText="1"/>
    </xf>
    <xf numFmtId="3" fontId="26" fillId="32" borderId="9" xfId="0" applyNumberFormat="1" applyFont="1" applyFill="1" applyBorder="1" applyAlignment="1">
      <alignment horizontal="center"/>
    </xf>
    <xf numFmtId="3" fontId="26" fillId="32" borderId="1" xfId="0" applyNumberFormat="1" applyFont="1" applyFill="1" applyBorder="1" applyAlignment="1">
      <alignment horizontal="center"/>
    </xf>
    <xf numFmtId="3" fontId="29" fillId="23" borderId="9" xfId="0" applyNumberFormat="1" applyFont="1" applyFill="1" applyBorder="1" applyAlignment="1">
      <alignment horizontal="center"/>
    </xf>
    <xf numFmtId="0" fontId="27" fillId="22" borderId="5" xfId="0" applyFont="1" applyFill="1" applyBorder="1" applyAlignment="1">
      <alignment horizontal="left" vertical="center"/>
    </xf>
    <xf numFmtId="0" fontId="28" fillId="0" borderId="6" xfId="0" applyFont="1" applyBorder="1" applyAlignment="1">
      <alignment horizontal="center"/>
    </xf>
    <xf numFmtId="0" fontId="28" fillId="0" borderId="1" xfId="0" applyFont="1" applyBorder="1" applyAlignment="1">
      <alignment horizontal="left"/>
    </xf>
    <xf numFmtId="44" fontId="49" fillId="0" borderId="1" xfId="2" applyFont="1" applyBorder="1" applyAlignment="1">
      <alignment vertical="center"/>
    </xf>
    <xf numFmtId="44" fontId="44" fillId="0" borderId="9" xfId="2" applyFont="1" applyBorder="1" applyAlignment="1">
      <alignment horizontal="center" vertical="center"/>
    </xf>
    <xf numFmtId="44" fontId="4" fillId="0" borderId="1" xfId="2" applyFont="1" applyBorder="1" applyAlignment="1">
      <alignment horizontal="center" vertical="center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Protection="1">
      <protection locked="0"/>
    </xf>
    <xf numFmtId="0" fontId="4" fillId="0" borderId="0" xfId="0" applyFont="1"/>
    <xf numFmtId="0" fontId="48" fillId="0" borderId="0" xfId="0" applyFont="1"/>
    <xf numFmtId="0" fontId="22" fillId="0" borderId="0" xfId="0" applyFont="1" applyAlignment="1">
      <alignment horizontal="center" vertical="center"/>
    </xf>
    <xf numFmtId="0" fontId="5" fillId="31" borderId="1" xfId="0" applyFont="1" applyFill="1" applyBorder="1" applyAlignment="1" applyProtection="1">
      <alignment horizontal="center" vertical="center"/>
      <protection locked="0"/>
    </xf>
    <xf numFmtId="164" fontId="4" fillId="6" borderId="1" xfId="0" applyNumberFormat="1" applyFont="1" applyFill="1" applyBorder="1" applyAlignment="1">
      <alignment horizontal="center" vertical="center"/>
    </xf>
    <xf numFmtId="0" fontId="23" fillId="0" borderId="1" xfId="0" applyFont="1" applyBorder="1"/>
    <xf numFmtId="14" fontId="23" fillId="0" borderId="1" xfId="0" applyNumberFormat="1" applyFont="1" applyBorder="1"/>
    <xf numFmtId="3" fontId="30" fillId="9" borderId="9" xfId="0" applyNumberFormat="1" applyFont="1" applyFill="1" applyBorder="1" applyAlignment="1">
      <alignment horizontal="center"/>
    </xf>
    <xf numFmtId="3" fontId="30" fillId="9" borderId="1" xfId="0" applyNumberFormat="1" applyFont="1" applyFill="1" applyBorder="1" applyAlignment="1">
      <alignment horizontal="center"/>
    </xf>
    <xf numFmtId="0" fontId="29" fillId="10" borderId="28" xfId="0" applyFont="1" applyFill="1" applyBorder="1" applyAlignment="1">
      <alignment horizontal="center" vertical="center" wrapText="1"/>
    </xf>
    <xf numFmtId="16" fontId="29" fillId="10" borderId="28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33" borderId="1" xfId="0" applyFont="1" applyFill="1" applyBorder="1" applyAlignment="1">
      <alignment horizontal="left" vertical="center"/>
    </xf>
    <xf numFmtId="0" fontId="2" fillId="33" borderId="1" xfId="0" applyFont="1" applyFill="1" applyBorder="1" applyAlignment="1">
      <alignment horizontal="center" vertical="center"/>
    </xf>
    <xf numFmtId="0" fontId="3" fillId="22" borderId="1" xfId="0" applyFont="1" applyFill="1" applyBorder="1" applyAlignment="1">
      <alignment horizontal="center"/>
    </xf>
    <xf numFmtId="44" fontId="3" fillId="22" borderId="1" xfId="2" applyFont="1" applyFill="1" applyBorder="1" applyAlignment="1">
      <alignment horizontal="center"/>
    </xf>
    <xf numFmtId="3" fontId="3" fillId="22" borderId="1" xfId="0" applyNumberFormat="1" applyFont="1" applyFill="1" applyBorder="1" applyAlignment="1">
      <alignment horizontal="center"/>
    </xf>
    <xf numFmtId="0" fontId="2" fillId="33" borderId="35" xfId="0" applyFont="1" applyFill="1" applyBorder="1" applyAlignment="1">
      <alignment horizontal="center" vertical="center"/>
    </xf>
    <xf numFmtId="0" fontId="2" fillId="33" borderId="19" xfId="0" applyFont="1" applyFill="1" applyBorder="1" applyAlignment="1">
      <alignment horizontal="center" vertical="center"/>
    </xf>
    <xf numFmtId="0" fontId="24" fillId="5" borderId="37" xfId="0" applyFont="1" applyFill="1" applyBorder="1" applyAlignment="1" applyProtection="1">
      <alignment horizontal="center" wrapText="1" readingOrder="1"/>
      <protection locked="0"/>
    </xf>
    <xf numFmtId="0" fontId="23" fillId="0" borderId="38" xfId="0" applyFont="1" applyBorder="1" applyAlignment="1">
      <alignment horizontal="center"/>
    </xf>
    <xf numFmtId="0" fontId="23" fillId="0" borderId="39" xfId="0" applyFont="1" applyBorder="1" applyAlignment="1">
      <alignment horizontal="center"/>
    </xf>
    <xf numFmtId="0" fontId="23" fillId="0" borderId="40" xfId="0" applyFont="1" applyBorder="1" applyAlignment="1">
      <alignment horizontal="center"/>
    </xf>
    <xf numFmtId="0" fontId="50" fillId="0" borderId="1" xfId="0" applyFont="1" applyBorder="1" applyAlignment="1">
      <alignment vertical="center"/>
    </xf>
    <xf numFmtId="0" fontId="26" fillId="20" borderId="1" xfId="0" applyFont="1" applyFill="1" applyBorder="1" applyAlignment="1">
      <alignment horizontal="center" vertical="center"/>
    </xf>
    <xf numFmtId="0" fontId="26" fillId="20" borderId="1" xfId="0" applyFont="1" applyFill="1" applyBorder="1" applyAlignment="1">
      <alignment horizontal="center" vertical="center" wrapText="1"/>
    </xf>
    <xf numFmtId="16" fontId="26" fillId="20" borderId="1" xfId="0" applyNumberFormat="1" applyFont="1" applyFill="1" applyBorder="1" applyAlignment="1">
      <alignment horizontal="center" vertical="center"/>
    </xf>
    <xf numFmtId="3" fontId="45" fillId="20" borderId="1" xfId="0" applyNumberFormat="1" applyFont="1" applyFill="1" applyBorder="1" applyAlignment="1">
      <alignment horizontal="center"/>
    </xf>
    <xf numFmtId="0" fontId="29" fillId="5" borderId="1" xfId="0" applyFont="1" applyFill="1" applyBorder="1" applyAlignment="1">
      <alignment horizontal="center" vertical="center"/>
    </xf>
    <xf numFmtId="164" fontId="4" fillId="31" borderId="1" xfId="0" applyNumberFormat="1" applyFont="1" applyFill="1" applyBorder="1" applyAlignment="1">
      <alignment horizontal="center"/>
    </xf>
    <xf numFmtId="0" fontId="11" fillId="3" borderId="8" xfId="0" applyFont="1" applyFill="1" applyBorder="1" applyAlignment="1">
      <alignment horizontal="center" vertical="center"/>
    </xf>
    <xf numFmtId="3" fontId="11" fillId="0" borderId="1" xfId="2" applyNumberFormat="1" applyFont="1" applyBorder="1" applyAlignment="1">
      <alignment horizontal="center" vertical="center"/>
    </xf>
    <xf numFmtId="3" fontId="11" fillId="0" borderId="0" xfId="2" applyNumberFormat="1" applyFont="1" applyAlignment="1">
      <alignment horizontal="center" vertical="center"/>
    </xf>
    <xf numFmtId="3" fontId="11" fillId="0" borderId="9" xfId="2" applyNumberFormat="1" applyFont="1" applyBorder="1" applyAlignment="1">
      <alignment horizontal="center" vertical="center"/>
    </xf>
    <xf numFmtId="0" fontId="38" fillId="0" borderId="1" xfId="0" applyFont="1" applyBorder="1" applyAlignment="1" applyProtection="1">
      <alignment vertical="center"/>
      <protection locked="0"/>
    </xf>
    <xf numFmtId="3" fontId="11" fillId="31" borderId="1" xfId="2" applyNumberFormat="1" applyFont="1" applyFill="1" applyBorder="1" applyAlignment="1">
      <alignment horizontal="center" vertical="center"/>
    </xf>
    <xf numFmtId="0" fontId="27" fillId="0" borderId="9" xfId="0" applyFont="1" applyBorder="1" applyAlignment="1" applyProtection="1">
      <alignment horizontal="center" vertical="center"/>
      <protection locked="0"/>
    </xf>
    <xf numFmtId="0" fontId="27" fillId="0" borderId="1" xfId="0" applyFont="1" applyBorder="1" applyAlignment="1" applyProtection="1">
      <alignment horizontal="center" vertical="center"/>
      <protection locked="0"/>
    </xf>
    <xf numFmtId="44" fontId="49" fillId="0" borderId="1" xfId="2" applyFont="1" applyBorder="1" applyAlignment="1">
      <alignment horizontal="center" vertical="center"/>
    </xf>
    <xf numFmtId="44" fontId="3" fillId="0" borderId="2" xfId="2" applyFont="1" applyBorder="1" applyAlignment="1">
      <alignment horizontal="center"/>
    </xf>
    <xf numFmtId="0" fontId="12" fillId="0" borderId="1" xfId="0" applyFont="1" applyBorder="1" applyAlignment="1" applyProtection="1">
      <alignment vertical="center" wrapText="1"/>
      <protection locked="0"/>
    </xf>
    <xf numFmtId="0" fontId="4" fillId="10" borderId="1" xfId="0" applyFont="1" applyFill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left" vertical="center"/>
      <protection locked="0"/>
    </xf>
    <xf numFmtId="44" fontId="12" fillId="0" borderId="1" xfId="2" applyFont="1" applyBorder="1" applyAlignment="1">
      <alignment horizontal="center" vertical="center"/>
    </xf>
    <xf numFmtId="0" fontId="12" fillId="0" borderId="1" xfId="0" applyFont="1" applyBorder="1" applyAlignment="1">
      <alignment vertical="center"/>
    </xf>
    <xf numFmtId="0" fontId="2" fillId="30" borderId="1" xfId="0" applyFont="1" applyFill="1" applyBorder="1" applyAlignment="1">
      <alignment horizontal="center" vertical="center"/>
    </xf>
    <xf numFmtId="0" fontId="51" fillId="0" borderId="1" xfId="0" applyFont="1" applyBorder="1" applyAlignment="1" applyProtection="1">
      <alignment horizontal="left" vertical="center"/>
      <protection locked="0"/>
    </xf>
    <xf numFmtId="0" fontId="52" fillId="0" borderId="26" xfId="0" applyFont="1" applyBorder="1" applyAlignment="1" applyProtection="1">
      <alignment horizontal="center" vertical="center"/>
      <protection locked="0"/>
    </xf>
    <xf numFmtId="0" fontId="4" fillId="19" borderId="1" xfId="0" applyFont="1" applyFill="1" applyBorder="1" applyAlignment="1" applyProtection="1">
      <alignment horizontal="center" vertical="center"/>
      <protection locked="0"/>
    </xf>
    <xf numFmtId="44" fontId="53" fillId="0" borderId="1" xfId="2" applyFont="1" applyBorder="1" applyAlignment="1">
      <alignment horizontal="center" vertical="center"/>
    </xf>
    <xf numFmtId="0" fontId="4" fillId="14" borderId="1" xfId="0" applyFont="1" applyFill="1" applyBorder="1" applyAlignment="1" applyProtection="1">
      <alignment horizontal="center" vertical="center"/>
      <protection locked="0"/>
    </xf>
    <xf numFmtId="44" fontId="46" fillId="0" borderId="1" xfId="2" applyFont="1" applyBorder="1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0" fontId="2" fillId="35" borderId="1" xfId="0" applyFont="1" applyFill="1" applyBorder="1" applyAlignment="1">
      <alignment horizontal="left" vertical="center"/>
    </xf>
    <xf numFmtId="0" fontId="2" fillId="35" borderId="1" xfId="0" applyFont="1" applyFill="1" applyBorder="1" applyAlignment="1">
      <alignment horizontal="center" vertical="center"/>
    </xf>
    <xf numFmtId="164" fontId="2" fillId="35" borderId="1" xfId="0" applyNumberFormat="1" applyFont="1" applyFill="1" applyBorder="1" applyAlignment="1">
      <alignment horizontal="center" vertical="center"/>
    </xf>
    <xf numFmtId="16" fontId="26" fillId="35" borderId="1" xfId="0" applyNumberFormat="1" applyFont="1" applyFill="1" applyBorder="1" applyAlignment="1">
      <alignment horizontal="center" vertical="center"/>
    </xf>
    <xf numFmtId="0" fontId="26" fillId="35" borderId="35" xfId="0" applyFont="1" applyFill="1" applyBorder="1" applyAlignment="1">
      <alignment horizontal="center" vertical="center" wrapText="1"/>
    </xf>
    <xf numFmtId="16" fontId="26" fillId="35" borderId="2" xfId="0" applyNumberFormat="1" applyFont="1" applyFill="1" applyBorder="1" applyAlignment="1">
      <alignment horizontal="center" vertical="center"/>
    </xf>
    <xf numFmtId="0" fontId="26" fillId="35" borderId="10" xfId="0" applyFont="1" applyFill="1" applyBorder="1" applyAlignment="1">
      <alignment horizontal="center" vertical="center" wrapText="1"/>
    </xf>
    <xf numFmtId="3" fontId="26" fillId="8" borderId="9" xfId="0" applyNumberFormat="1" applyFont="1" applyFill="1" applyBorder="1" applyAlignment="1">
      <alignment horizontal="center"/>
    </xf>
    <xf numFmtId="0" fontId="26" fillId="8" borderId="1" xfId="0" applyFont="1" applyFill="1" applyBorder="1" applyAlignment="1">
      <alignment horizontal="center"/>
    </xf>
    <xf numFmtId="3" fontId="26" fillId="8" borderId="1" xfId="0" applyNumberFormat="1" applyFont="1" applyFill="1" applyBorder="1" applyAlignment="1">
      <alignment horizontal="center"/>
    </xf>
    <xf numFmtId="3" fontId="29" fillId="29" borderId="9" xfId="0" applyNumberFormat="1" applyFont="1" applyFill="1" applyBorder="1" applyAlignment="1">
      <alignment horizontal="center"/>
    </xf>
    <xf numFmtId="164" fontId="4" fillId="0" borderId="1" xfId="0" applyNumberFormat="1" applyFont="1" applyBorder="1" applyAlignment="1">
      <alignment horizontal="center" vertical="center"/>
    </xf>
    <xf numFmtId="164" fontId="2" fillId="30" borderId="6" xfId="2" applyNumberFormat="1" applyFont="1" applyFill="1" applyBorder="1" applyAlignment="1">
      <alignment horizontal="center" vertical="center" wrapText="1"/>
    </xf>
    <xf numFmtId="164" fontId="2" fillId="30" borderId="1" xfId="0" applyNumberFormat="1" applyFont="1" applyFill="1" applyBorder="1" applyAlignment="1">
      <alignment horizontal="center"/>
    </xf>
    <xf numFmtId="0" fontId="2" fillId="34" borderId="1" xfId="0" applyFont="1" applyFill="1" applyBorder="1" applyAlignment="1">
      <alignment horizontal="left" vertical="center"/>
    </xf>
    <xf numFmtId="0" fontId="2" fillId="34" borderId="1" xfId="0" applyFont="1" applyFill="1" applyBorder="1" applyAlignment="1">
      <alignment horizontal="center" vertical="center"/>
    </xf>
    <xf numFmtId="0" fontId="2" fillId="30" borderId="1" xfId="0" applyFont="1" applyFill="1" applyBorder="1" applyAlignment="1">
      <alignment horizontal="left" vertical="center"/>
    </xf>
    <xf numFmtId="0" fontId="18" fillId="0" borderId="3" xfId="0" applyFont="1" applyBorder="1" applyAlignment="1" applyProtection="1">
      <alignment horizontal="center" vertical="center"/>
      <protection locked="0"/>
    </xf>
    <xf numFmtId="164" fontId="2" fillId="37" borderId="1" xfId="0" applyNumberFormat="1" applyFont="1" applyFill="1" applyBorder="1" applyAlignment="1">
      <alignment horizontal="center" vertical="center"/>
    </xf>
    <xf numFmtId="0" fontId="4" fillId="23" borderId="1" xfId="0" applyFont="1" applyFill="1" applyBorder="1" applyAlignment="1" applyProtection="1">
      <alignment horizontal="center" vertical="center"/>
      <protection locked="0"/>
    </xf>
    <xf numFmtId="0" fontId="8" fillId="4" borderId="35" xfId="0" applyFont="1" applyFill="1" applyBorder="1" applyAlignment="1">
      <alignment horizontal="center" vertical="center"/>
    </xf>
    <xf numFmtId="44" fontId="8" fillId="11" borderId="12" xfId="2" applyFont="1" applyFill="1" applyBorder="1" applyAlignment="1">
      <alignment horizontal="center" vertical="center"/>
    </xf>
    <xf numFmtId="2" fontId="8" fillId="4" borderId="19" xfId="0" applyNumberFormat="1" applyFont="1" applyFill="1" applyBorder="1" applyAlignment="1">
      <alignment horizontal="center" vertical="center"/>
    </xf>
    <xf numFmtId="18" fontId="12" fillId="0" borderId="1" xfId="0" applyNumberFormat="1" applyFont="1" applyBorder="1" applyAlignment="1" applyProtection="1">
      <alignment horizontal="center" vertical="center"/>
      <protection locked="0"/>
    </xf>
    <xf numFmtId="164" fontId="2" fillId="21" borderId="0" xfId="0" applyNumberFormat="1" applyFont="1" applyFill="1" applyAlignment="1">
      <alignment horizontal="center" vertical="center"/>
    </xf>
    <xf numFmtId="164" fontId="4" fillId="31" borderId="1" xfId="0" applyNumberFormat="1" applyFont="1" applyFill="1" applyBorder="1" applyAlignment="1">
      <alignment horizontal="center" vertical="center"/>
    </xf>
    <xf numFmtId="0" fontId="5" fillId="5" borderId="2" xfId="0" applyFont="1" applyFill="1" applyBorder="1" applyAlignment="1" applyProtection="1">
      <alignment horizontal="center" vertical="center"/>
      <protection locked="0"/>
    </xf>
    <xf numFmtId="0" fontId="54" fillId="0" borderId="1" xfId="0" applyFont="1" applyBorder="1" applyAlignment="1">
      <alignment horizontal="left" vertical="center"/>
    </xf>
    <xf numFmtId="0" fontId="54" fillId="0" borderId="1" xfId="0" applyFont="1" applyBorder="1" applyAlignment="1">
      <alignment horizontal="center" vertical="center"/>
    </xf>
    <xf numFmtId="44" fontId="54" fillId="0" borderId="1" xfId="2" applyFont="1" applyBorder="1" applyAlignment="1">
      <alignment horizontal="center" vertical="center"/>
    </xf>
    <xf numFmtId="0" fontId="35" fillId="0" borderId="1" xfId="0" applyFont="1" applyBorder="1" applyAlignment="1" applyProtection="1">
      <alignment horizontal="left" vertical="center"/>
      <protection locked="0"/>
    </xf>
    <xf numFmtId="0" fontId="4" fillId="3" borderId="41" xfId="0" applyFont="1" applyFill="1" applyBorder="1" applyAlignment="1">
      <alignment horizontal="center" vertical="center"/>
    </xf>
    <xf numFmtId="0" fontId="24" fillId="5" borderId="6" xfId="0" applyFont="1" applyFill="1" applyBorder="1" applyAlignment="1" applyProtection="1">
      <alignment horizontal="center" wrapText="1" readingOrder="1"/>
      <protection locked="0"/>
    </xf>
    <xf numFmtId="44" fontId="8" fillId="11" borderId="1" xfId="2" applyFont="1" applyFill="1" applyBorder="1" applyAlignment="1">
      <alignment vertical="center"/>
    </xf>
    <xf numFmtId="0" fontId="5" fillId="31" borderId="2" xfId="0" applyFont="1" applyFill="1" applyBorder="1" applyAlignment="1" applyProtection="1">
      <alignment horizontal="center" vertical="center"/>
      <protection locked="0"/>
    </xf>
    <xf numFmtId="0" fontId="55" fillId="0" borderId="0" xfId="0" applyFont="1" applyAlignment="1">
      <alignment horizontal="center"/>
    </xf>
    <xf numFmtId="164" fontId="2" fillId="34" borderId="1" xfId="0" applyNumberFormat="1" applyFont="1" applyFill="1" applyBorder="1" applyAlignment="1">
      <alignment horizontal="center" vertical="center"/>
    </xf>
    <xf numFmtId="0" fontId="4" fillId="38" borderId="1" xfId="0" applyFont="1" applyFill="1" applyBorder="1" applyAlignment="1" applyProtection="1">
      <alignment horizontal="center" vertical="center"/>
      <protection locked="0"/>
    </xf>
    <xf numFmtId="164" fontId="56" fillId="30" borderId="1" xfId="0" applyNumberFormat="1" applyFont="1" applyFill="1" applyBorder="1" applyAlignment="1">
      <alignment horizontal="center" vertical="center"/>
    </xf>
    <xf numFmtId="0" fontId="3" fillId="31" borderId="1" xfId="0" applyFont="1" applyFill="1" applyBorder="1" applyAlignment="1">
      <alignment horizontal="center"/>
    </xf>
    <xf numFmtId="0" fontId="57" fillId="0" borderId="1" xfId="0" applyFont="1" applyBorder="1" applyAlignment="1" applyProtection="1">
      <alignment horizontal="center" vertical="center"/>
      <protection locked="0"/>
    </xf>
    <xf numFmtId="0" fontId="58" fillId="39" borderId="45" xfId="0" applyFont="1" applyFill="1" applyBorder="1" applyAlignment="1">
      <alignment horizontal="left"/>
    </xf>
    <xf numFmtId="0" fontId="58" fillId="40" borderId="45" xfId="0" applyFont="1" applyFill="1" applyBorder="1" applyAlignment="1">
      <alignment horizontal="center" vertical="center"/>
    </xf>
    <xf numFmtId="0" fontId="58" fillId="41" borderId="45" xfId="0" applyFont="1" applyFill="1" applyBorder="1" applyAlignment="1">
      <alignment horizontal="center" vertical="center"/>
    </xf>
    <xf numFmtId="0" fontId="58" fillId="42" borderId="45" xfId="0" applyFont="1" applyFill="1" applyBorder="1" applyAlignment="1">
      <alignment horizontal="center" vertical="center"/>
    </xf>
    <xf numFmtId="0" fontId="59" fillId="43" borderId="45" xfId="0" applyFont="1" applyFill="1" applyBorder="1"/>
    <xf numFmtId="165" fontId="59" fillId="43" borderId="45" xfId="0" applyNumberFormat="1" applyFont="1" applyFill="1" applyBorder="1" applyAlignment="1">
      <alignment horizontal="center"/>
    </xf>
    <xf numFmtId="0" fontId="59" fillId="44" borderId="45" xfId="0" applyFont="1" applyFill="1" applyBorder="1"/>
    <xf numFmtId="165" fontId="59" fillId="44" borderId="45" xfId="0" applyNumberFormat="1" applyFont="1" applyFill="1" applyBorder="1" applyAlignment="1">
      <alignment horizontal="center"/>
    </xf>
    <xf numFmtId="0" fontId="59" fillId="41" borderId="46" xfId="0" applyFont="1" applyFill="1" applyBorder="1"/>
    <xf numFmtId="165" fontId="59" fillId="41" borderId="46" xfId="0" applyNumberFormat="1" applyFont="1" applyFill="1" applyBorder="1" applyAlignment="1">
      <alignment horizontal="center"/>
    </xf>
    <xf numFmtId="0" fontId="59" fillId="44" borderId="47" xfId="0" applyFont="1" applyFill="1" applyBorder="1"/>
    <xf numFmtId="165" fontId="59" fillId="44" borderId="48" xfId="0" applyNumberFormat="1" applyFont="1" applyFill="1" applyBorder="1" applyAlignment="1">
      <alignment horizontal="center"/>
    </xf>
    <xf numFmtId="165" fontId="59" fillId="44" borderId="49" xfId="0" applyNumberFormat="1" applyFont="1" applyFill="1" applyBorder="1" applyAlignment="1">
      <alignment horizontal="center"/>
    </xf>
    <xf numFmtId="0" fontId="59" fillId="43" borderId="50" xfId="0" applyFont="1" applyFill="1" applyBorder="1"/>
    <xf numFmtId="165" fontId="59" fillId="43" borderId="51" xfId="0" applyNumberFormat="1" applyFont="1" applyFill="1" applyBorder="1" applyAlignment="1">
      <alignment horizontal="center"/>
    </xf>
    <xf numFmtId="0" fontId="59" fillId="44" borderId="50" xfId="0" applyFont="1" applyFill="1" applyBorder="1"/>
    <xf numFmtId="165" fontId="59" fillId="44" borderId="51" xfId="0" applyNumberFormat="1" applyFont="1" applyFill="1" applyBorder="1" applyAlignment="1">
      <alignment horizontal="center"/>
    </xf>
    <xf numFmtId="0" fontId="59" fillId="43" borderId="52" xfId="0" applyFont="1" applyFill="1" applyBorder="1"/>
    <xf numFmtId="165" fontId="59" fillId="43" borderId="53" xfId="0" applyNumberFormat="1" applyFont="1" applyFill="1" applyBorder="1" applyAlignment="1">
      <alignment horizontal="center"/>
    </xf>
    <xf numFmtId="165" fontId="59" fillId="43" borderId="54" xfId="0" applyNumberFormat="1" applyFont="1" applyFill="1" applyBorder="1" applyAlignment="1">
      <alignment horizontal="center"/>
    </xf>
    <xf numFmtId="0" fontId="59" fillId="44" borderId="52" xfId="0" applyFont="1" applyFill="1" applyBorder="1"/>
    <xf numFmtId="165" fontId="59" fillId="44" borderId="53" xfId="0" applyNumberFormat="1" applyFont="1" applyFill="1" applyBorder="1" applyAlignment="1">
      <alignment horizontal="center"/>
    </xf>
    <xf numFmtId="165" fontId="59" fillId="44" borderId="54" xfId="0" applyNumberFormat="1" applyFont="1" applyFill="1" applyBorder="1" applyAlignment="1">
      <alignment horizontal="center"/>
    </xf>
    <xf numFmtId="0" fontId="59" fillId="43" borderId="47" xfId="0" applyFont="1" applyFill="1" applyBorder="1"/>
    <xf numFmtId="165" fontId="59" fillId="43" borderId="48" xfId="0" applyNumberFormat="1" applyFont="1" applyFill="1" applyBorder="1" applyAlignment="1">
      <alignment horizontal="center"/>
    </xf>
    <xf numFmtId="165" fontId="59" fillId="43" borderId="49" xfId="0" applyNumberFormat="1" applyFont="1" applyFill="1" applyBorder="1" applyAlignment="1">
      <alignment horizontal="center"/>
    </xf>
    <xf numFmtId="0" fontId="60" fillId="43" borderId="45" xfId="0" applyFont="1" applyFill="1" applyBorder="1"/>
    <xf numFmtId="165" fontId="60" fillId="43" borderId="45" xfId="0" applyNumberFormat="1" applyFont="1" applyFill="1" applyBorder="1" applyAlignment="1">
      <alignment horizontal="center"/>
    </xf>
    <xf numFmtId="0" fontId="59" fillId="0" borderId="0" xfId="0" applyFont="1"/>
    <xf numFmtId="0" fontId="23" fillId="0" borderId="0" xfId="0" applyFont="1" applyAlignment="1">
      <alignment horizontal="left"/>
    </xf>
    <xf numFmtId="0" fontId="61" fillId="40" borderId="0" xfId="0" applyFont="1" applyFill="1" applyAlignment="1">
      <alignment horizontal="center" vertical="center"/>
    </xf>
    <xf numFmtId="0" fontId="61" fillId="41" borderId="0" xfId="0" applyFont="1" applyFill="1" applyAlignment="1">
      <alignment horizontal="center" vertical="center"/>
    </xf>
    <xf numFmtId="0" fontId="61" fillId="8" borderId="0" xfId="0" applyFont="1" applyFill="1" applyAlignment="1">
      <alignment horizontal="center" vertical="center"/>
    </xf>
    <xf numFmtId="0" fontId="61" fillId="42" borderId="0" xfId="0" applyFont="1" applyFill="1" applyAlignment="1">
      <alignment horizontal="center" vertical="center"/>
    </xf>
    <xf numFmtId="165" fontId="0" fillId="0" borderId="0" xfId="0" applyNumberFormat="1" applyAlignment="1">
      <alignment horizontal="center"/>
    </xf>
    <xf numFmtId="0" fontId="23" fillId="44" borderId="0" xfId="0" applyFont="1" applyFill="1"/>
    <xf numFmtId="165" fontId="23" fillId="44" borderId="0" xfId="0" applyNumberFormat="1" applyFont="1" applyFill="1" applyAlignment="1">
      <alignment horizontal="center"/>
    </xf>
    <xf numFmtId="0" fontId="62" fillId="14" borderId="1" xfId="0" applyFont="1" applyFill="1" applyBorder="1" applyAlignment="1" applyProtection="1">
      <alignment horizontal="center" vertical="center"/>
      <protection locked="0"/>
    </xf>
    <xf numFmtId="0" fontId="39" fillId="0" borderId="2" xfId="0" applyFont="1" applyBorder="1" applyAlignment="1">
      <alignment horizontal="left" vertical="center"/>
    </xf>
    <xf numFmtId="0" fontId="39" fillId="0" borderId="10" xfId="0" applyFont="1" applyBorder="1" applyAlignment="1">
      <alignment horizontal="left" vertical="center"/>
    </xf>
    <xf numFmtId="0" fontId="39" fillId="0" borderId="3" xfId="0" applyFont="1" applyBorder="1" applyAlignment="1">
      <alignment horizontal="left" vertical="center"/>
    </xf>
    <xf numFmtId="0" fontId="4" fillId="12" borderId="0" xfId="0" applyFont="1" applyFill="1" applyAlignment="1">
      <alignment horizontal="center" vertical="center"/>
    </xf>
    <xf numFmtId="164" fontId="4" fillId="15" borderId="1" xfId="0" applyNumberFormat="1" applyFont="1" applyFill="1" applyBorder="1" applyAlignment="1">
      <alignment horizontal="center"/>
    </xf>
    <xf numFmtId="165" fontId="0" fillId="31" borderId="0" xfId="0" applyNumberFormat="1" applyFill="1" applyAlignment="1">
      <alignment horizontal="center"/>
    </xf>
    <xf numFmtId="0" fontId="4" fillId="0" borderId="0" xfId="0" applyFont="1" applyAlignment="1">
      <alignment horizontal="center" vertical="center"/>
    </xf>
    <xf numFmtId="0" fontId="11" fillId="0" borderId="0" xfId="0" applyFont="1" applyAlignment="1" applyProtection="1">
      <alignment horizontal="center" vertical="center"/>
      <protection locked="0"/>
    </xf>
    <xf numFmtId="0" fontId="17" fillId="0" borderId="1" xfId="0" applyFont="1" applyBorder="1" applyAlignment="1" applyProtection="1">
      <alignment horizontal="center" vertical="center"/>
      <protection locked="0"/>
    </xf>
    <xf numFmtId="0" fontId="22" fillId="0" borderId="0" xfId="0" applyFont="1" applyAlignment="1">
      <alignment vertical="center"/>
    </xf>
    <xf numFmtId="0" fontId="15" fillId="0" borderId="1" xfId="0" applyFont="1" applyBorder="1" applyAlignment="1" applyProtection="1">
      <alignment horizontal="center" vertical="center"/>
      <protection locked="0"/>
    </xf>
    <xf numFmtId="0" fontId="5" fillId="0" borderId="9" xfId="0" applyFont="1" applyBorder="1" applyAlignment="1" applyProtection="1">
      <alignment horizontal="center" vertical="center"/>
      <protection locked="0"/>
    </xf>
    <xf numFmtId="0" fontId="18" fillId="0" borderId="0" xfId="0" applyFont="1" applyProtection="1">
      <protection locked="0"/>
    </xf>
    <xf numFmtId="0" fontId="13" fillId="22" borderId="0" xfId="0" applyFont="1" applyFill="1" applyProtection="1">
      <protection locked="0"/>
    </xf>
    <xf numFmtId="0" fontId="3" fillId="22" borderId="0" xfId="0" applyFont="1" applyFill="1"/>
    <xf numFmtId="0" fontId="4" fillId="22" borderId="0" xfId="0" applyFont="1" applyFill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15" fillId="0" borderId="0" xfId="0" applyFont="1" applyAlignment="1">
      <alignment vertical="center"/>
    </xf>
    <xf numFmtId="0" fontId="4" fillId="12" borderId="0" xfId="0" applyFont="1" applyFill="1" applyAlignment="1">
      <alignment vertical="center"/>
    </xf>
    <xf numFmtId="0" fontId="10" fillId="12" borderId="0" xfId="0" applyFont="1" applyFill="1" applyAlignment="1">
      <alignment vertical="center"/>
    </xf>
    <xf numFmtId="0" fontId="1" fillId="0" borderId="0" xfId="0" applyFont="1" applyAlignment="1" applyProtection="1">
      <alignment horizontal="center" vertical="center"/>
      <protection locked="0"/>
    </xf>
    <xf numFmtId="164" fontId="2" fillId="21" borderId="1" xfId="0" applyNumberFormat="1" applyFont="1" applyFill="1" applyBorder="1" applyAlignment="1">
      <alignment horizontal="center" vertical="center"/>
    </xf>
    <xf numFmtId="0" fontId="35" fillId="0" borderId="1" xfId="0" applyFont="1" applyBorder="1" applyAlignment="1" applyProtection="1">
      <alignment horizontal="center" vertical="center"/>
      <protection locked="0"/>
    </xf>
    <xf numFmtId="0" fontId="5" fillId="5" borderId="1" xfId="0" applyFont="1" applyFill="1" applyBorder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4" fillId="3" borderId="6" xfId="0" applyFont="1" applyFill="1" applyBorder="1" applyAlignment="1">
      <alignment horizontal="center" vertical="center"/>
    </xf>
    <xf numFmtId="0" fontId="42" fillId="20" borderId="1" xfId="0" applyFont="1" applyFill="1" applyBorder="1" applyAlignment="1">
      <alignment horizontal="center" vertical="center" wrapText="1"/>
    </xf>
    <xf numFmtId="0" fontId="7" fillId="0" borderId="0" xfId="0" applyFont="1" applyProtection="1">
      <protection locked="0"/>
    </xf>
    <xf numFmtId="164" fontId="4" fillId="7" borderId="1" xfId="0" applyNumberFormat="1" applyFont="1" applyFill="1" applyBorder="1" applyAlignment="1">
      <alignment horizontal="center"/>
    </xf>
    <xf numFmtId="0" fontId="5" fillId="0" borderId="7" xfId="0" applyFont="1" applyBorder="1" applyAlignment="1">
      <alignment horizontal="left" vertical="center"/>
    </xf>
    <xf numFmtId="0" fontId="5" fillId="22" borderId="0" xfId="0" applyFont="1" applyFill="1" applyAlignment="1" applyProtection="1">
      <alignment horizontal="center"/>
      <protection locked="0"/>
    </xf>
    <xf numFmtId="0" fontId="15" fillId="0" borderId="0" xfId="0" applyFont="1" applyProtection="1">
      <protection locked="0"/>
    </xf>
    <xf numFmtId="0" fontId="36" fillId="26" borderId="26" xfId="0" applyFont="1" applyFill="1" applyBorder="1" applyAlignment="1" applyProtection="1">
      <alignment horizontal="center" vertical="center"/>
      <protection locked="0"/>
    </xf>
    <xf numFmtId="0" fontId="35" fillId="0" borderId="26" xfId="0" applyFont="1" applyBorder="1" applyAlignment="1" applyProtection="1">
      <alignment horizontal="center" vertical="center"/>
      <protection locked="0"/>
    </xf>
    <xf numFmtId="0" fontId="13" fillId="0" borderId="0" xfId="0" applyFont="1" applyProtection="1">
      <protection locked="0"/>
    </xf>
    <xf numFmtId="0" fontId="36" fillId="26" borderId="1" xfId="0" applyFont="1" applyFill="1" applyBorder="1" applyAlignment="1" applyProtection="1">
      <alignment horizontal="center" vertical="center"/>
      <protection locked="0"/>
    </xf>
    <xf numFmtId="164" fontId="4" fillId="6" borderId="1" xfId="0" applyNumberFormat="1" applyFont="1" applyFill="1" applyBorder="1" applyAlignment="1">
      <alignment horizontal="center"/>
    </xf>
    <xf numFmtId="3" fontId="4" fillId="14" borderId="1" xfId="0" applyNumberFormat="1" applyFont="1" applyFill="1" applyBorder="1" applyAlignment="1" applyProtection="1">
      <alignment horizontal="center" vertical="center"/>
      <protection locked="0"/>
    </xf>
    <xf numFmtId="0" fontId="5" fillId="31" borderId="1" xfId="0" applyFont="1" applyFill="1" applyBorder="1" applyAlignment="1">
      <alignment horizontal="center" vertical="center"/>
    </xf>
    <xf numFmtId="0" fontId="35" fillId="0" borderId="0" xfId="0" applyFont="1" applyAlignment="1" applyProtection="1">
      <alignment horizontal="center" vertical="center"/>
      <protection locked="0"/>
    </xf>
    <xf numFmtId="0" fontId="44" fillId="0" borderId="1" xfId="0" applyFont="1" applyBorder="1" applyAlignment="1">
      <alignment vertical="center"/>
    </xf>
    <xf numFmtId="0" fontId="4" fillId="10" borderId="1" xfId="0" applyFont="1" applyFill="1" applyBorder="1" applyAlignment="1">
      <alignment horizontal="center" vertical="center"/>
    </xf>
    <xf numFmtId="0" fontId="4" fillId="29" borderId="1" xfId="0" applyFont="1" applyFill="1" applyBorder="1" applyAlignment="1">
      <alignment horizontal="left" vertical="center"/>
    </xf>
    <xf numFmtId="0" fontId="2" fillId="32" borderId="1" xfId="0" applyFont="1" applyFill="1" applyBorder="1" applyAlignment="1">
      <alignment horizontal="left" vertical="center"/>
    </xf>
    <xf numFmtId="0" fontId="2" fillId="32" borderId="1" xfId="0" applyFont="1" applyFill="1" applyBorder="1" applyAlignment="1">
      <alignment horizontal="center" vertical="center"/>
    </xf>
    <xf numFmtId="3" fontId="35" fillId="0" borderId="1" xfId="0" applyNumberFormat="1" applyFont="1" applyBorder="1" applyAlignment="1" applyProtection="1">
      <alignment horizontal="center" vertical="center"/>
      <protection locked="0"/>
    </xf>
    <xf numFmtId="16" fontId="4" fillId="31" borderId="1" xfId="0" applyNumberFormat="1" applyFont="1" applyFill="1" applyBorder="1" applyAlignment="1">
      <alignment horizontal="center" vertical="center"/>
    </xf>
    <xf numFmtId="0" fontId="49" fillId="0" borderId="1" xfId="0" applyFont="1" applyBorder="1" applyAlignment="1">
      <alignment horizontal="left" vertical="center"/>
    </xf>
    <xf numFmtId="0" fontId="49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left" vertical="center"/>
    </xf>
    <xf numFmtId="0" fontId="4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16" fontId="3" fillId="0" borderId="0" xfId="0" applyNumberFormat="1" applyFont="1" applyAlignment="1" applyProtection="1">
      <alignment horizontal="center"/>
      <protection locked="0"/>
    </xf>
    <xf numFmtId="0" fontId="18" fillId="0" borderId="0" xfId="0" applyFont="1" applyAlignment="1">
      <alignment horizontal="center" vertical="center"/>
    </xf>
    <xf numFmtId="0" fontId="4" fillId="10" borderId="1" xfId="0" applyFont="1" applyFill="1" applyBorder="1" applyAlignment="1">
      <alignment horizontal="left" vertical="center"/>
    </xf>
    <xf numFmtId="0" fontId="4" fillId="0" borderId="0" xfId="0" applyFont="1" applyAlignment="1">
      <alignment vertical="center"/>
    </xf>
    <xf numFmtId="164" fontId="4" fillId="10" borderId="9" xfId="0" applyNumberFormat="1" applyFont="1" applyFill="1" applyBorder="1" applyAlignment="1">
      <alignment horizontal="center" vertical="center"/>
    </xf>
    <xf numFmtId="0" fontId="7" fillId="0" borderId="1" xfId="0" applyFont="1" applyBorder="1" applyAlignment="1" applyProtection="1">
      <alignment horizontal="center" vertical="center"/>
      <protection locked="0"/>
    </xf>
    <xf numFmtId="49" fontId="22" fillId="0" borderId="1" xfId="0" applyNumberFormat="1" applyFont="1" applyBorder="1" applyAlignment="1" applyProtection="1">
      <alignment horizontal="center" vertical="center"/>
      <protection locked="0"/>
    </xf>
    <xf numFmtId="0" fontId="41" fillId="20" borderId="1" xfId="0" applyFont="1" applyFill="1" applyBorder="1" applyAlignment="1">
      <alignment vertical="center"/>
    </xf>
    <xf numFmtId="3" fontId="11" fillId="3" borderId="1" xfId="0" applyNumberFormat="1" applyFont="1" applyFill="1" applyBorder="1" applyAlignment="1">
      <alignment horizontal="center" vertical="center"/>
    </xf>
    <xf numFmtId="0" fontId="0" fillId="0" borderId="1" xfId="0" applyBorder="1"/>
    <xf numFmtId="0" fontId="46" fillId="0" borderId="1" xfId="0" applyFont="1" applyBorder="1" applyAlignment="1">
      <alignment horizontal="left" vertical="center"/>
    </xf>
    <xf numFmtId="0" fontId="46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left" vertical="center"/>
    </xf>
    <xf numFmtId="0" fontId="3" fillId="5" borderId="1" xfId="0" applyFont="1" applyFill="1" applyBorder="1" applyAlignment="1">
      <alignment horizontal="center"/>
    </xf>
    <xf numFmtId="0" fontId="3" fillId="0" borderId="0" xfId="0" applyFont="1" applyAlignment="1">
      <alignment horizontal="right"/>
    </xf>
    <xf numFmtId="0" fontId="35" fillId="25" borderId="1" xfId="0" applyFont="1" applyFill="1" applyBorder="1" applyAlignment="1" applyProtection="1">
      <alignment horizontal="left" vertical="center"/>
      <protection locked="0"/>
    </xf>
    <xf numFmtId="0" fontId="4" fillId="29" borderId="1" xfId="0" applyFont="1" applyFill="1" applyBorder="1" applyAlignment="1">
      <alignment horizontal="center" vertical="center"/>
    </xf>
    <xf numFmtId="0" fontId="53" fillId="0" borderId="1" xfId="0" applyFont="1" applyBorder="1" applyAlignment="1">
      <alignment horizontal="left" vertical="center"/>
    </xf>
    <xf numFmtId="0" fontId="53" fillId="0" borderId="1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2" fillId="36" borderId="1" xfId="0" applyFont="1" applyFill="1" applyBorder="1" applyAlignment="1">
      <alignment horizontal="left" vertical="center"/>
    </xf>
    <xf numFmtId="0" fontId="2" fillId="36" borderId="1" xfId="0" applyFont="1" applyFill="1" applyBorder="1" applyAlignment="1">
      <alignment horizontal="center" vertical="center"/>
    </xf>
    <xf numFmtId="164" fontId="4" fillId="10" borderId="1" xfId="0" applyNumberFormat="1" applyFont="1" applyFill="1" applyBorder="1" applyAlignment="1">
      <alignment horizontal="center"/>
    </xf>
    <xf numFmtId="49" fontId="5" fillId="0" borderId="9" xfId="0" applyNumberFormat="1" applyFont="1" applyBorder="1" applyAlignment="1" applyProtection="1">
      <alignment horizontal="center" vertical="center"/>
      <protection locked="0"/>
    </xf>
    <xf numFmtId="0" fontId="12" fillId="31" borderId="1" xfId="0" applyFont="1" applyFill="1" applyBorder="1" applyAlignment="1" applyProtection="1">
      <alignment horizontal="center" vertical="center"/>
      <protection locked="0"/>
    </xf>
    <xf numFmtId="0" fontId="4" fillId="10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3" fillId="12" borderId="12" xfId="0" applyFont="1" applyFill="1" applyBorder="1" applyAlignment="1">
      <alignment horizontal="center" vertical="center"/>
    </xf>
    <xf numFmtId="0" fontId="55" fillId="15" borderId="44" xfId="0" applyFont="1" applyFill="1" applyBorder="1" applyAlignment="1">
      <alignment horizontal="center"/>
    </xf>
    <xf numFmtId="0" fontId="3" fillId="13" borderId="3" xfId="0" applyFont="1" applyFill="1" applyBorder="1" applyAlignment="1">
      <alignment horizontal="center" vertical="center"/>
    </xf>
    <xf numFmtId="0" fontId="4" fillId="12" borderId="3" xfId="0" applyFont="1" applyFill="1" applyBorder="1" applyAlignment="1">
      <alignment horizontal="center" vertical="center"/>
    </xf>
    <xf numFmtId="165" fontId="59" fillId="31" borderId="45" xfId="0" applyNumberFormat="1" applyFont="1" applyFill="1" applyBorder="1" applyAlignment="1">
      <alignment horizontal="center"/>
    </xf>
    <xf numFmtId="0" fontId="59" fillId="16" borderId="45" xfId="0" applyFont="1" applyFill="1" applyBorder="1"/>
    <xf numFmtId="165" fontId="59" fillId="16" borderId="45" xfId="0" applyNumberFormat="1" applyFont="1" applyFill="1" applyBorder="1" applyAlignment="1">
      <alignment horizontal="center"/>
    </xf>
    <xf numFmtId="165" fontId="59" fillId="31" borderId="48" xfId="0" applyNumberFormat="1" applyFont="1" applyFill="1" applyBorder="1" applyAlignment="1">
      <alignment horizontal="center"/>
    </xf>
    <xf numFmtId="165" fontId="59" fillId="31" borderId="53" xfId="0" applyNumberFormat="1" applyFont="1" applyFill="1" applyBorder="1" applyAlignment="1">
      <alignment horizontal="center"/>
    </xf>
    <xf numFmtId="165" fontId="59" fillId="44" borderId="55" xfId="0" applyNumberFormat="1" applyFont="1" applyFill="1" applyBorder="1" applyAlignment="1">
      <alignment horizontal="center"/>
    </xf>
    <xf numFmtId="165" fontId="59" fillId="31" borderId="55" xfId="0" applyNumberFormat="1" applyFont="1" applyFill="1" applyBorder="1" applyAlignment="1">
      <alignment horizontal="center"/>
    </xf>
    <xf numFmtId="0" fontId="59" fillId="44" borderId="56" xfId="0" applyFont="1" applyFill="1" applyBorder="1"/>
    <xf numFmtId="0" fontId="59" fillId="43" borderId="58" xfId="0" applyFont="1" applyFill="1" applyBorder="1"/>
    <xf numFmtId="165" fontId="59" fillId="43" borderId="58" xfId="0" applyNumberFormat="1" applyFont="1" applyFill="1" applyBorder="1" applyAlignment="1">
      <alignment horizontal="center"/>
    </xf>
    <xf numFmtId="0" fontId="59" fillId="43" borderId="59" xfId="0" applyFont="1" applyFill="1" applyBorder="1"/>
    <xf numFmtId="165" fontId="59" fillId="43" borderId="60" xfId="0" applyNumberFormat="1" applyFont="1" applyFill="1" applyBorder="1" applyAlignment="1">
      <alignment horizontal="center"/>
    </xf>
    <xf numFmtId="165" fontId="59" fillId="43" borderId="61" xfId="0" applyNumberFormat="1" applyFont="1" applyFill="1" applyBorder="1" applyAlignment="1">
      <alignment horizontal="center"/>
    </xf>
    <xf numFmtId="0" fontId="59" fillId="44" borderId="62" xfId="0" applyFont="1" applyFill="1" applyBorder="1"/>
    <xf numFmtId="165" fontId="59" fillId="44" borderId="63" xfId="0" applyNumberFormat="1" applyFont="1" applyFill="1" applyBorder="1" applyAlignment="1">
      <alignment horizontal="center"/>
    </xf>
    <xf numFmtId="0" fontId="59" fillId="43" borderId="62" xfId="0" applyFont="1" applyFill="1" applyBorder="1"/>
    <xf numFmtId="165" fontId="59" fillId="43" borderId="63" xfId="0" applyNumberFormat="1" applyFont="1" applyFill="1" applyBorder="1" applyAlignment="1">
      <alignment horizontal="center"/>
    </xf>
    <xf numFmtId="0" fontId="59" fillId="44" borderId="64" xfId="0" applyFont="1" applyFill="1" applyBorder="1"/>
    <xf numFmtId="165" fontId="59" fillId="44" borderId="65" xfId="0" applyNumberFormat="1" applyFont="1" applyFill="1" applyBorder="1" applyAlignment="1">
      <alignment horizontal="center"/>
    </xf>
    <xf numFmtId="165" fontId="59" fillId="44" borderId="66" xfId="0" applyNumberFormat="1" applyFont="1" applyFill="1" applyBorder="1" applyAlignment="1">
      <alignment horizontal="center"/>
    </xf>
    <xf numFmtId="165" fontId="59" fillId="31" borderId="49" xfId="0" applyNumberFormat="1" applyFont="1" applyFill="1" applyBorder="1" applyAlignment="1">
      <alignment horizontal="center"/>
    </xf>
    <xf numFmtId="165" fontId="59" fillId="31" borderId="51" xfId="0" applyNumberFormat="1" applyFont="1" applyFill="1" applyBorder="1" applyAlignment="1">
      <alignment horizontal="center"/>
    </xf>
    <xf numFmtId="165" fontId="59" fillId="31" borderId="54" xfId="0" applyNumberFormat="1" applyFont="1" applyFill="1" applyBorder="1" applyAlignment="1">
      <alignment horizontal="center"/>
    </xf>
    <xf numFmtId="165" fontId="59" fillId="31" borderId="57" xfId="0" applyNumberFormat="1" applyFont="1" applyFill="1" applyBorder="1" applyAlignment="1">
      <alignment horizontal="center"/>
    </xf>
    <xf numFmtId="44" fontId="3" fillId="0" borderId="0" xfId="0" applyNumberFormat="1" applyFont="1"/>
    <xf numFmtId="0" fontId="0" fillId="0" borderId="10" xfId="0" applyBorder="1"/>
    <xf numFmtId="0" fontId="6" fillId="0" borderId="10" xfId="0" applyFont="1" applyBorder="1"/>
    <xf numFmtId="0" fontId="18" fillId="0" borderId="1" xfId="0" applyFont="1" applyBorder="1" applyAlignment="1">
      <alignment horizontal="center" vertical="center"/>
    </xf>
    <xf numFmtId="0" fontId="57" fillId="0" borderId="1" xfId="0" applyFont="1" applyBorder="1" applyAlignment="1">
      <alignment horizontal="center" vertical="center"/>
    </xf>
    <xf numFmtId="0" fontId="0" fillId="0" borderId="3" xfId="0" applyBorder="1"/>
    <xf numFmtId="0" fontId="5" fillId="5" borderId="1" xfId="0" applyFont="1" applyFill="1" applyBorder="1" applyAlignment="1">
      <alignment horizontal="center" vertical="center"/>
    </xf>
    <xf numFmtId="164" fontId="4" fillId="7" borderId="1" xfId="2" applyNumberFormat="1" applyFont="1" applyFill="1" applyBorder="1" applyAlignment="1">
      <alignment horizontal="center"/>
    </xf>
    <xf numFmtId="0" fontId="57" fillId="0" borderId="1" xfId="2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0" fillId="0" borderId="12" xfId="0" applyBorder="1"/>
    <xf numFmtId="0" fontId="6" fillId="0" borderId="12" xfId="0" applyFont="1" applyBorder="1"/>
    <xf numFmtId="3" fontId="35" fillId="0" borderId="1" xfId="0" applyNumberFormat="1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164" fontId="4" fillId="9" borderId="1" xfId="2" applyNumberFormat="1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6" fillId="0" borderId="43" xfId="0" applyFont="1" applyBorder="1"/>
    <xf numFmtId="0" fontId="4" fillId="12" borderId="1" xfId="0" applyFont="1" applyFill="1" applyBorder="1" applyAlignment="1">
      <alignment horizontal="left" vertical="center"/>
    </xf>
    <xf numFmtId="0" fontId="0" fillId="0" borderId="9" xfId="0" applyBorder="1"/>
    <xf numFmtId="0" fontId="35" fillId="0" borderId="1" xfId="0" applyFont="1" applyBorder="1" applyAlignment="1" applyProtection="1">
      <alignment horizontal="center" vertical="center"/>
      <protection locked="0"/>
    </xf>
    <xf numFmtId="0" fontId="0" fillId="0" borderId="10" xfId="0" applyBorder="1" applyProtection="1">
      <protection locked="0"/>
    </xf>
    <xf numFmtId="0" fontId="0" fillId="0" borderId="3" xfId="0" applyBorder="1" applyProtection="1">
      <protection locked="0"/>
    </xf>
    <xf numFmtId="0" fontId="3" fillId="0" borderId="1" xfId="0" applyFont="1" applyBorder="1" applyAlignment="1" applyProtection="1">
      <alignment horizontal="center"/>
      <protection locked="0"/>
    </xf>
    <xf numFmtId="0" fontId="4" fillId="3" borderId="1" xfId="0" applyFont="1" applyFill="1" applyBorder="1" applyAlignment="1">
      <alignment horizontal="center" vertical="center"/>
    </xf>
    <xf numFmtId="0" fontId="0" fillId="0" borderId="10" xfId="0" applyBorder="1"/>
    <xf numFmtId="0" fontId="46" fillId="0" borderId="1" xfId="0" applyFont="1" applyBorder="1" applyAlignment="1">
      <alignment horizontal="center" vertical="center"/>
    </xf>
    <xf numFmtId="0" fontId="0" fillId="0" borderId="3" xfId="0" applyBorder="1"/>
    <xf numFmtId="0" fontId="39" fillId="0" borderId="1" xfId="0" applyFont="1" applyBorder="1" applyAlignment="1">
      <alignment horizontal="left" vertical="center"/>
    </xf>
    <xf numFmtId="44" fontId="4" fillId="12" borderId="1" xfId="2" applyFont="1" applyFill="1" applyBorder="1" applyAlignment="1">
      <alignment horizontal="center" vertical="center" wrapText="1"/>
    </xf>
    <xf numFmtId="0" fontId="2" fillId="21" borderId="1" xfId="0" applyFont="1" applyFill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44" fontId="11" fillId="12" borderId="1" xfId="2" applyFont="1" applyFill="1" applyBorder="1" applyAlignment="1">
      <alignment horizontal="center" vertical="center" wrapText="1"/>
    </xf>
    <xf numFmtId="0" fontId="4" fillId="10" borderId="1" xfId="0" applyFont="1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0" borderId="0" xfId="0"/>
    <xf numFmtId="0" fontId="3" fillId="0" borderId="0" xfId="0" applyFont="1"/>
    <xf numFmtId="0" fontId="3" fillId="0" borderId="0" xfId="0" applyFont="1" applyProtection="1">
      <protection locked="0"/>
    </xf>
    <xf numFmtId="0" fontId="1" fillId="0" borderId="0" xfId="0" applyFont="1" applyAlignment="1">
      <alignment horizontal="center"/>
    </xf>
    <xf numFmtId="0" fontId="3" fillId="12" borderId="12" xfId="0" applyFont="1" applyFill="1" applyBorder="1" applyAlignment="1">
      <alignment horizontal="center" vertical="center"/>
    </xf>
    <xf numFmtId="0" fontId="0" fillId="0" borderId="12" xfId="0" applyBorder="1"/>
    <xf numFmtId="0" fontId="26" fillId="8" borderId="67" xfId="0" applyFont="1" applyFill="1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26" fillId="8" borderId="13" xfId="0" applyFont="1" applyFill="1" applyBorder="1" applyAlignment="1">
      <alignment horizontal="center" vertical="center"/>
    </xf>
    <xf numFmtId="0" fontId="29" fillId="10" borderId="28" xfId="0" applyFont="1" applyFill="1" applyBorder="1" applyAlignment="1">
      <alignment horizontal="center" vertical="center" wrapText="1"/>
    </xf>
    <xf numFmtId="0" fontId="0" fillId="0" borderId="68" xfId="0" applyBorder="1"/>
    <xf numFmtId="0" fontId="29" fillId="10" borderId="28" xfId="0" applyFont="1" applyFill="1" applyBorder="1" applyAlignment="1">
      <alignment horizontal="center" vertical="center"/>
    </xf>
    <xf numFmtId="0" fontId="0" fillId="0" borderId="29" xfId="0" applyBorder="1"/>
    <xf numFmtId="0" fontId="0" fillId="0" borderId="36" xfId="0" applyBorder="1"/>
    <xf numFmtId="0" fontId="23" fillId="0" borderId="1" xfId="0" applyFont="1" applyBorder="1" applyAlignment="1">
      <alignment horizontal="center"/>
    </xf>
    <xf numFmtId="0" fontId="3" fillId="13" borderId="2" xfId="0" applyFont="1" applyFill="1" applyBorder="1" applyAlignment="1">
      <alignment horizontal="center" vertical="center"/>
    </xf>
    <xf numFmtId="0" fontId="55" fillId="15" borderId="42" xfId="0" applyFont="1" applyFill="1" applyBorder="1" applyAlignment="1">
      <alignment horizontal="center"/>
    </xf>
    <xf numFmtId="0" fontId="0" fillId="0" borderId="43" xfId="0" applyBorder="1"/>
    <xf numFmtId="0" fontId="4" fillId="12" borderId="0" xfId="0" applyFont="1" applyFill="1" applyAlignment="1">
      <alignment horizontal="left" vertical="center"/>
    </xf>
    <xf numFmtId="0" fontId="55" fillId="15" borderId="69" xfId="0" applyFont="1" applyFill="1" applyBorder="1" applyAlignment="1">
      <alignment horizontal="center"/>
    </xf>
    <xf numFmtId="0" fontId="0" fillId="0" borderId="44" xfId="0" applyBorder="1"/>
    <xf numFmtId="0" fontId="3" fillId="13" borderId="1" xfId="0" applyFont="1" applyFill="1" applyBorder="1" applyAlignment="1">
      <alignment horizontal="center" vertical="center"/>
    </xf>
    <xf numFmtId="0" fontId="4" fillId="12" borderId="2" xfId="0" applyFont="1" applyFill="1" applyBorder="1" applyAlignment="1">
      <alignment horizontal="center" vertical="center"/>
    </xf>
    <xf numFmtId="0" fontId="26" fillId="18" borderId="67" xfId="0" applyFont="1" applyFill="1" applyBorder="1" applyAlignment="1">
      <alignment horizontal="center" vertical="center"/>
    </xf>
    <xf numFmtId="0" fontId="26" fillId="18" borderId="16" xfId="0" applyFont="1" applyFill="1" applyBorder="1" applyAlignment="1">
      <alignment horizontal="center" vertical="center"/>
    </xf>
    <xf numFmtId="0" fontId="26" fillId="18" borderId="20" xfId="0" applyFont="1" applyFill="1" applyBorder="1" applyAlignment="1">
      <alignment horizontal="center" vertical="center"/>
    </xf>
    <xf numFmtId="0" fontId="0" fillId="0" borderId="21" xfId="0" applyBorder="1"/>
    <xf numFmtId="0" fontId="26" fillId="18" borderId="70" xfId="0" applyFont="1" applyFill="1" applyBorder="1" applyAlignment="1">
      <alignment horizontal="center" vertical="center"/>
    </xf>
    <xf numFmtId="0" fontId="0" fillId="0" borderId="25" xfId="0" applyBorder="1"/>
    <xf numFmtId="0" fontId="26" fillId="18" borderId="15" xfId="0" applyFont="1" applyFill="1" applyBorder="1" applyAlignment="1">
      <alignment horizontal="center" vertical="center"/>
    </xf>
    <xf numFmtId="0" fontId="26" fillId="20" borderId="1" xfId="0" applyFont="1" applyFill="1" applyBorder="1" applyAlignment="1">
      <alignment horizontal="center" vertical="center" wrapText="1"/>
    </xf>
    <xf numFmtId="0" fontId="26" fillId="20" borderId="1" xfId="0" applyFont="1" applyFill="1" applyBorder="1" applyAlignment="1">
      <alignment horizontal="center" vertical="center"/>
    </xf>
    <xf numFmtId="0" fontId="26" fillId="20" borderId="9" xfId="0" applyFont="1" applyFill="1" applyBorder="1" applyAlignment="1">
      <alignment horizontal="center" vertical="center"/>
    </xf>
    <xf numFmtId="0" fontId="0" fillId="0" borderId="11" xfId="0" applyBorder="1"/>
    <xf numFmtId="0" fontId="26" fillId="28" borderId="1" xfId="0" applyFont="1" applyFill="1" applyBorder="1" applyAlignment="1">
      <alignment horizontal="center" vertical="center"/>
    </xf>
    <xf numFmtId="0" fontId="26" fillId="28" borderId="33" xfId="0" applyFont="1" applyFill="1" applyBorder="1" applyAlignment="1">
      <alignment horizontal="center" vertical="center" wrapText="1"/>
    </xf>
    <xf numFmtId="0" fontId="0" fillId="0" borderId="73" xfId="0" applyBorder="1"/>
    <xf numFmtId="0" fontId="26" fillId="28" borderId="34" xfId="0" applyFont="1" applyFill="1" applyBorder="1" applyAlignment="1">
      <alignment horizontal="center" vertical="center" wrapText="1"/>
    </xf>
    <xf numFmtId="0" fontId="0" fillId="0" borderId="74" xfId="0" applyBorder="1"/>
    <xf numFmtId="0" fontId="26" fillId="28" borderId="72" xfId="0" applyFont="1" applyFill="1" applyBorder="1" applyAlignment="1">
      <alignment horizontal="center" vertical="center"/>
    </xf>
    <xf numFmtId="0" fontId="0" fillId="0" borderId="30" xfId="0" applyBorder="1"/>
    <xf numFmtId="0" fontId="0" fillId="0" borderId="31" xfId="0" applyBorder="1"/>
    <xf numFmtId="0" fontId="26" fillId="28" borderId="32" xfId="0" applyFont="1" applyFill="1" applyBorder="1" applyAlignment="1">
      <alignment horizontal="center" vertical="center"/>
    </xf>
    <xf numFmtId="0" fontId="0" fillId="0" borderId="71" xfId="0" applyBorder="1"/>
    <xf numFmtId="0" fontId="26" fillId="35" borderId="1" xfId="0" applyFont="1" applyFill="1" applyBorder="1" applyAlignment="1">
      <alignment horizontal="center" vertical="center"/>
    </xf>
    <xf numFmtId="0" fontId="26" fillId="35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left" vertical="center"/>
    </xf>
    <xf numFmtId="0" fontId="3" fillId="0" borderId="1" xfId="0" applyFont="1" applyBorder="1" applyAlignment="1">
      <alignment horizontal="left"/>
    </xf>
    <xf numFmtId="0" fontId="5" fillId="4" borderId="1" xfId="0" applyFont="1" applyFill="1" applyBorder="1" applyAlignment="1">
      <alignment horizontal="left" vertical="center"/>
    </xf>
    <xf numFmtId="0" fontId="2" fillId="33" borderId="35" xfId="0" applyFont="1" applyFill="1" applyBorder="1" applyAlignment="1">
      <alignment horizontal="center" vertical="center"/>
    </xf>
    <xf numFmtId="0" fontId="0" fillId="0" borderId="19" xfId="0" applyBorder="1"/>
    <xf numFmtId="0" fontId="2" fillId="24" borderId="2" xfId="0" applyFont="1" applyFill="1" applyBorder="1" applyAlignment="1">
      <alignment horizontal="center" vertical="center"/>
    </xf>
    <xf numFmtId="0" fontId="12" fillId="17" borderId="1" xfId="0" applyFont="1" applyFill="1" applyBorder="1" applyAlignment="1">
      <alignment horizontal="center" vertical="center"/>
    </xf>
    <xf numFmtId="0" fontId="26" fillId="32" borderId="34" xfId="0" applyFont="1" applyFill="1" applyBorder="1" applyAlignment="1">
      <alignment horizontal="center" vertical="center" wrapText="1"/>
    </xf>
    <xf numFmtId="0" fontId="26" fillId="32" borderId="72" xfId="0" applyFont="1" applyFill="1" applyBorder="1" applyAlignment="1">
      <alignment horizontal="center" vertical="center"/>
    </xf>
    <xf numFmtId="0" fontId="26" fillId="32" borderId="1" xfId="0" applyFont="1" applyFill="1" applyBorder="1" applyAlignment="1">
      <alignment horizontal="center" vertical="center"/>
    </xf>
    <xf numFmtId="0" fontId="26" fillId="32" borderId="33" xfId="0" applyFont="1" applyFill="1" applyBorder="1" applyAlignment="1">
      <alignment horizontal="center" vertical="center" wrapText="1"/>
    </xf>
    <xf numFmtId="0" fontId="26" fillId="32" borderId="32" xfId="0" applyFont="1" applyFill="1" applyBorder="1" applyAlignment="1">
      <alignment horizontal="center" vertical="center"/>
    </xf>
    <xf numFmtId="0" fontId="47" fillId="30" borderId="1" xfId="0" applyFont="1" applyFill="1" applyBorder="1" applyAlignment="1">
      <alignment horizontal="center"/>
    </xf>
    <xf numFmtId="0" fontId="0" fillId="0" borderId="41" xfId="0" applyBorder="1" applyAlignment="1">
      <alignment horizontal="center" vertical="center"/>
    </xf>
    <xf numFmtId="0" fontId="0" fillId="0" borderId="41" xfId="0" applyBorder="1"/>
  </cellXfs>
  <cellStyles count="38">
    <cellStyle name="Moeda" xfId="2" builtinId="4"/>
    <cellStyle name="Moeda 2" xfId="3" xr:uid="{00000000-0005-0000-0000-000003000000}"/>
    <cellStyle name="Moeda 2 10" xfId="18" xr:uid="{00000000-0005-0000-0000-000012000000}"/>
    <cellStyle name="Moeda 2 11" xfId="19" xr:uid="{00000000-0005-0000-0000-000013000000}"/>
    <cellStyle name="Moeda 2 12" xfId="20" xr:uid="{00000000-0005-0000-0000-000014000000}"/>
    <cellStyle name="Moeda 2 13" xfId="21" xr:uid="{00000000-0005-0000-0000-000015000000}"/>
    <cellStyle name="Moeda 2 14" xfId="22" xr:uid="{00000000-0005-0000-0000-000016000000}"/>
    <cellStyle name="Moeda 2 15" xfId="23" xr:uid="{00000000-0005-0000-0000-000017000000}"/>
    <cellStyle name="Moeda 2 16" xfId="24" xr:uid="{00000000-0005-0000-0000-000018000000}"/>
    <cellStyle name="Moeda 2 17" xfId="25" xr:uid="{00000000-0005-0000-0000-000019000000}"/>
    <cellStyle name="Moeda 2 18" xfId="26" xr:uid="{00000000-0005-0000-0000-00001A000000}"/>
    <cellStyle name="Moeda 2 19" xfId="28" xr:uid="{00000000-0005-0000-0000-00001C000000}"/>
    <cellStyle name="Moeda 2 2" xfId="7" xr:uid="{00000000-0005-0000-0000-000007000000}"/>
    <cellStyle name="Moeda 2 2 2" xfId="30" xr:uid="{00000000-0005-0000-0000-00001E000000}"/>
    <cellStyle name="Moeda 2 3" xfId="10" xr:uid="{00000000-0005-0000-0000-00000A000000}"/>
    <cellStyle name="Moeda 2 3 2" xfId="31" xr:uid="{00000000-0005-0000-0000-00001F000000}"/>
    <cellStyle name="Moeda 2 4" xfId="12" xr:uid="{00000000-0005-0000-0000-00000C000000}"/>
    <cellStyle name="Moeda 2 4 2" xfId="32" xr:uid="{00000000-0005-0000-0000-000020000000}"/>
    <cellStyle name="Moeda 2 5" xfId="13" xr:uid="{00000000-0005-0000-0000-00000D000000}"/>
    <cellStyle name="Moeda 2 5 2" xfId="34" xr:uid="{00000000-0005-0000-0000-000022000000}"/>
    <cellStyle name="Moeda 2 6" xfId="14" xr:uid="{00000000-0005-0000-0000-00000E000000}"/>
    <cellStyle name="Moeda 2 6 2" xfId="33" xr:uid="{00000000-0005-0000-0000-000021000000}"/>
    <cellStyle name="Moeda 2 7" xfId="15" xr:uid="{00000000-0005-0000-0000-00000F000000}"/>
    <cellStyle name="Moeda 2 7 2" xfId="36" xr:uid="{00000000-0005-0000-0000-000024000000}"/>
    <cellStyle name="Moeda 2 8" xfId="16" xr:uid="{00000000-0005-0000-0000-000010000000}"/>
    <cellStyle name="Moeda 2 8 2" xfId="37" xr:uid="{00000000-0005-0000-0000-000025000000}"/>
    <cellStyle name="Moeda 2 9" xfId="17" xr:uid="{00000000-0005-0000-0000-000011000000}"/>
    <cellStyle name="Moeda 3" xfId="27" xr:uid="{00000000-0005-0000-0000-00001B000000}"/>
    <cellStyle name="Normal" xfId="0" builtinId="0"/>
    <cellStyle name="Normal 2" xfId="1" xr:uid="{00000000-0005-0000-0000-000001000000}"/>
    <cellStyle name="Normal 2 2" xfId="9" xr:uid="{00000000-0005-0000-0000-000009000000}"/>
    <cellStyle name="Normal 3" xfId="4" xr:uid="{00000000-0005-0000-0000-000004000000}"/>
    <cellStyle name="Normal 4" xfId="5" xr:uid="{00000000-0005-0000-0000-000005000000}"/>
    <cellStyle name="Normal 4 2" xfId="8" xr:uid="{00000000-0005-0000-0000-000008000000}"/>
    <cellStyle name="Normal 4 2 2" xfId="29" xr:uid="{00000000-0005-0000-0000-00001D000000}"/>
    <cellStyle name="Normal 4 3" xfId="11" xr:uid="{00000000-0005-0000-0000-00000B000000}"/>
    <cellStyle name="Normal 4 3 2" xfId="35" xr:uid="{00000000-0005-0000-0000-000023000000}"/>
    <cellStyle name="Vírgula" xfId="6" builtinId="3"/>
  </cellStyles>
  <dxfs count="63"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LinkExternoRecuperado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UXILIAR"/>
      <sheetName val="__BKP__AUXILIAR"/>
      <sheetName val="AUXILIAR VD'S"/>
      <sheetName val="__BKP__AUXILIAR VD'S"/>
      <sheetName val="JC 3822"/>
      <sheetName val="__BKP__JC 3822"/>
      <sheetName val="JD 14446"/>
      <sheetName val="__BKP__JD 14446"/>
      <sheetName val="BB 12066"/>
      <sheetName val="__BKP__BB 12066"/>
      <sheetName val="SM 23048"/>
      <sheetName val="__BKP__SM 23048"/>
      <sheetName val="JSH 11722"/>
      <sheetName val="__BKP__JSH 11722"/>
      <sheetName val="CONF 14553"/>
      <sheetName val="Planilha1"/>
      <sheetName val="__BKP__CONF 14553"/>
      <sheetName val="DC 7529"/>
      <sheetName val="__BKP__DC 7529"/>
      <sheetName val="IT 6942"/>
      <sheetName val="__BKP__IT 6942"/>
      <sheetName val="BR 6954"/>
      <sheetName val="__BKP__BR 6954"/>
      <sheetName val="CDJ 23091"/>
      <sheetName val="__BKP__CDJ 23091"/>
      <sheetName val="ERJ 22838"/>
      <sheetName val="TOTAL ITENS DOADOS NATAL.22"/>
      <sheetName val="TOTAL ITENS DOADOS MÃES"/>
      <sheetName val="__BKP__ERJ 22838"/>
      <sheetName val="ER SM 24137"/>
      <sheetName val="__BKP__ER SM 24137"/>
      <sheetName val="TOTAL ITENS DOADOS 2026"/>
      <sheetName val="TOTAL ITENS DOADOS NAMORADOS"/>
      <sheetName val="TOTAL ITENS DOADOS PAIS"/>
      <sheetName val="TOTAL ITENS DOADOS DISNEY"/>
      <sheetName val="LOJAS JAÚ"/>
      <sheetName val="TOTAL ITENS DOADOS NAT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3">
          <cell r="A33" t="str">
            <v>SACOLA P OUI</v>
          </cell>
        </row>
        <row r="34">
          <cell r="A34" t="str">
            <v>SACOLA M OUI</v>
          </cell>
        </row>
        <row r="35">
          <cell r="A35" t="str">
            <v>SACOLA G OUI</v>
          </cell>
        </row>
        <row r="36">
          <cell r="A36" t="str">
            <v>SACO M OUI (BRINDE)</v>
          </cell>
        </row>
        <row r="39">
          <cell r="A39" t="str">
            <v>KIT CAIXA P OUI</v>
          </cell>
        </row>
        <row r="40">
          <cell r="A40" t="str">
            <v>KIT CAIXA M OUI</v>
          </cell>
        </row>
        <row r="41">
          <cell r="A41" t="str">
            <v>KIT CAIXA G OUI</v>
          </cell>
        </row>
        <row r="43">
          <cell r="A43" t="str">
            <v>SACOLAS E CAIXAS QDB</v>
          </cell>
        </row>
        <row r="44">
          <cell r="A44" t="str">
            <v>SACOLA P - QDB</v>
          </cell>
        </row>
        <row r="45">
          <cell r="A45" t="str">
            <v>SACOLA M - QDB</v>
          </cell>
        </row>
        <row r="46">
          <cell r="A46" t="str">
            <v>SACOLA G - QDB</v>
          </cell>
        </row>
        <row r="47">
          <cell r="A47" t="str">
            <v>CAIXA P QDB</v>
          </cell>
        </row>
        <row r="48">
          <cell r="A48" t="str">
            <v>CAIXA M QDB</v>
          </cell>
        </row>
        <row r="49">
          <cell r="A49" t="str">
            <v>CAIXA G QDB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aldo_estoque_18_05_2026" displayName="saldo_estoque_18_05_2026" ref="A1:X31" totalsRowShown="0" headerRowDxfId="62" dataDxfId="61">
  <tableColumns count="24">
    <tableColumn id="1" xr3:uid="{00000000-0010-0000-0000-000001000000}" name="Produtos" dataDxfId="60"/>
    <tableColumn id="2" xr3:uid="{00000000-0010-0000-0000-000002000000}" name="12973" dataDxfId="59"/>
    <tableColumn id="3" xr3:uid="{00000000-0010-0000-0000-000003000000}" name="11734" dataDxfId="58"/>
    <tableColumn id="4" xr3:uid="{00000000-0010-0000-0000-000004000000}" name="14462" dataDxfId="57"/>
    <tableColumn id="5" xr3:uid="{00000000-0010-0000-0000-000005000000}" name="5418" dataDxfId="56"/>
    <tableColumn id="6" xr3:uid="{00000000-0010-0000-0000-000006000000}" name="11733" dataDxfId="55"/>
    <tableColumn id="7" xr3:uid="{00000000-0010-0000-0000-000007000000}" name="23012" dataDxfId="54"/>
    <tableColumn id="8" xr3:uid="{00000000-0010-0000-0000-000008000000}" name="6700" dataDxfId="53"/>
    <tableColumn id="9" xr3:uid="{00000000-0010-0000-0000-000009000000}" name="13868" dataDxfId="52"/>
    <tableColumn id="10" xr3:uid="{00000000-0010-0000-0000-00000A000000}" name="13370" dataDxfId="51"/>
    <tableColumn id="11" xr3:uid="{00000000-0010-0000-0000-00000B000000}" name="20000" dataDxfId="50"/>
    <tableColumn id="12" xr3:uid="{00000000-0010-0000-0000-00000C000000}" name="23049" dataDxfId="49"/>
    <tableColumn id="13" xr3:uid="{00000000-0010-0000-0000-00000D000000}" name="6727" dataDxfId="48"/>
    <tableColumn id="14" xr3:uid="{00000000-0010-0000-0000-00000E000000}" name="12466" dataDxfId="47"/>
    <tableColumn id="15" xr3:uid="{00000000-0010-0000-0000-00000F000000}" name="12942" dataDxfId="46"/>
    <tableColumn id="16" xr3:uid="{00000000-0010-0000-0000-000010000000}" name="3822" dataDxfId="45"/>
    <tableColumn id="17" xr3:uid="{00000000-0010-0000-0000-000011000000}" name="14446" dataDxfId="44"/>
    <tableColumn id="18" xr3:uid="{00000000-0010-0000-0000-000012000000}" name="12066" dataDxfId="43"/>
    <tableColumn id="19" xr3:uid="{00000000-0010-0000-0000-000013000000}" name="23048" dataDxfId="42"/>
    <tableColumn id="20" xr3:uid="{00000000-0010-0000-0000-000014000000}" name="11722" dataDxfId="41"/>
    <tableColumn id="21" xr3:uid="{00000000-0010-0000-0000-000015000000}" name="14553" dataDxfId="40"/>
    <tableColumn id="22" xr3:uid="{00000000-0010-0000-0000-000016000000}" name="7529" dataDxfId="39"/>
    <tableColumn id="23" xr3:uid="{00000000-0010-0000-0000-000017000000}" name="6942" dataDxfId="38"/>
    <tableColumn id="24" xr3:uid="{00000000-0010-0000-0000-000018000000}" name="6954" dataDxfId="3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aldo_estoque_18_05_20264" displayName="saldo_estoque_18_05_20264" ref="A1:X31" totalsRowShown="0" headerRowDxfId="36" dataDxfId="35">
  <tableColumns count="24">
    <tableColumn id="1" xr3:uid="{00000000-0010-0000-0100-000001000000}" name="Produtos" dataDxfId="34"/>
    <tableColumn id="2" xr3:uid="{00000000-0010-0000-0100-000002000000}" name="12973" dataDxfId="33"/>
    <tableColumn id="3" xr3:uid="{00000000-0010-0000-0100-000003000000}" name="11734" dataDxfId="32"/>
    <tableColumn id="4" xr3:uid="{00000000-0010-0000-0100-000004000000}" name="14462" dataDxfId="31"/>
    <tableColumn id="5" xr3:uid="{00000000-0010-0000-0100-000005000000}" name="5418" dataDxfId="30"/>
    <tableColumn id="6" xr3:uid="{00000000-0010-0000-0100-000006000000}" name="11733" dataDxfId="29"/>
    <tableColumn id="7" xr3:uid="{00000000-0010-0000-0100-000007000000}" name="23012" dataDxfId="28"/>
    <tableColumn id="8" xr3:uid="{00000000-0010-0000-0100-000008000000}" name="6700" dataDxfId="27"/>
    <tableColumn id="9" xr3:uid="{00000000-0010-0000-0100-000009000000}" name="13868" dataDxfId="26"/>
    <tableColumn id="10" xr3:uid="{00000000-0010-0000-0100-00000A000000}" name="13370" dataDxfId="25"/>
    <tableColumn id="11" xr3:uid="{00000000-0010-0000-0100-00000B000000}" name="20000" dataDxfId="24"/>
    <tableColumn id="12" xr3:uid="{00000000-0010-0000-0100-00000C000000}" name="23049" dataDxfId="23"/>
    <tableColumn id="13" xr3:uid="{00000000-0010-0000-0100-00000D000000}" name="6727" dataDxfId="22"/>
    <tableColumn id="14" xr3:uid="{00000000-0010-0000-0100-00000E000000}" name="12466" dataDxfId="21"/>
    <tableColumn id="15" xr3:uid="{00000000-0010-0000-0100-00000F000000}" name="12942" dataDxfId="20"/>
    <tableColumn id="16" xr3:uid="{00000000-0010-0000-0100-000010000000}" name="3822" dataDxfId="19"/>
    <tableColumn id="17" xr3:uid="{00000000-0010-0000-0100-000011000000}" name="14446" dataDxfId="18"/>
    <tableColumn id="18" xr3:uid="{00000000-0010-0000-0100-000012000000}" name="12066" dataDxfId="17"/>
    <tableColumn id="19" xr3:uid="{00000000-0010-0000-0100-000013000000}" name="23048" dataDxfId="16"/>
    <tableColumn id="20" xr3:uid="{00000000-0010-0000-0100-000014000000}" name="11722" dataDxfId="15"/>
    <tableColumn id="21" xr3:uid="{00000000-0010-0000-0100-000015000000}" name="14553" dataDxfId="14"/>
    <tableColumn id="22" xr3:uid="{00000000-0010-0000-0100-000016000000}" name="7529" dataDxfId="13"/>
    <tableColumn id="23" xr3:uid="{00000000-0010-0000-0100-000017000000}" name="6942" dataDxfId="12"/>
    <tableColumn id="24" xr3:uid="{00000000-0010-0000-0100-000018000000}" name="6954" dataDxf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9"/>
  <dimension ref="A1:X32"/>
  <sheetViews>
    <sheetView workbookViewId="0">
      <selection sqref="A1:Y1048576"/>
    </sheetView>
  </sheetViews>
  <sheetFormatPr defaultRowHeight="15" x14ac:dyDescent="0.25"/>
  <cols>
    <col min="1" max="1" width="63.42578125" customWidth="1"/>
    <col min="2" max="15" width="5.28515625" hidden="1" customWidth="1"/>
    <col min="16" max="24" width="5.28515625" customWidth="1"/>
  </cols>
  <sheetData>
    <row r="1" spans="1:24" x14ac:dyDescent="0.25">
      <c r="A1" s="326" t="s">
        <v>0</v>
      </c>
      <c r="B1" s="327" t="s">
        <v>1</v>
      </c>
      <c r="C1" s="327" t="s">
        <v>2</v>
      </c>
      <c r="D1" s="327" t="s">
        <v>3</v>
      </c>
      <c r="E1" s="327" t="s">
        <v>4</v>
      </c>
      <c r="F1" s="327" t="s">
        <v>5</v>
      </c>
      <c r="G1" s="327" t="s">
        <v>6</v>
      </c>
      <c r="H1" s="328" t="s">
        <v>7</v>
      </c>
      <c r="I1" s="328" t="s">
        <v>8</v>
      </c>
      <c r="J1" s="328" t="s">
        <v>9</v>
      </c>
      <c r="K1" s="328" t="s">
        <v>10</v>
      </c>
      <c r="L1" s="328" t="s">
        <v>11</v>
      </c>
      <c r="M1" s="328" t="s">
        <v>12</v>
      </c>
      <c r="N1" s="328" t="s">
        <v>13</v>
      </c>
      <c r="O1" s="328" t="s">
        <v>14</v>
      </c>
      <c r="P1" s="329" t="s">
        <v>15</v>
      </c>
      <c r="Q1" s="329" t="s">
        <v>16</v>
      </c>
      <c r="R1" s="329" t="s">
        <v>17</v>
      </c>
      <c r="S1" s="330" t="s">
        <v>18</v>
      </c>
      <c r="T1" s="330" t="s">
        <v>19</v>
      </c>
      <c r="U1" s="330" t="s">
        <v>20</v>
      </c>
      <c r="V1" s="330" t="s">
        <v>21</v>
      </c>
      <c r="W1" s="330" t="s">
        <v>22</v>
      </c>
      <c r="X1" s="330" t="s">
        <v>23</v>
      </c>
    </row>
    <row r="2" spans="1:24" x14ac:dyDescent="0.25">
      <c r="A2" t="s">
        <v>24</v>
      </c>
      <c r="B2" s="331">
        <v>184</v>
      </c>
      <c r="C2" s="331">
        <v>182</v>
      </c>
      <c r="D2" s="331">
        <v>33</v>
      </c>
      <c r="E2" s="331">
        <v>77</v>
      </c>
      <c r="F2" s="331">
        <v>16</v>
      </c>
      <c r="G2" s="331">
        <v>49</v>
      </c>
      <c r="H2" s="340">
        <v>260</v>
      </c>
      <c r="I2" s="340">
        <v>254</v>
      </c>
      <c r="J2" s="331">
        <v>0</v>
      </c>
      <c r="K2" s="331">
        <v>0</v>
      </c>
      <c r="L2" s="340">
        <v>158</v>
      </c>
      <c r="M2" s="340">
        <v>149</v>
      </c>
      <c r="N2" s="340">
        <v>122</v>
      </c>
      <c r="O2" s="340">
        <v>150</v>
      </c>
      <c r="P2" s="340">
        <v>46</v>
      </c>
      <c r="Q2" s="340">
        <v>208</v>
      </c>
      <c r="R2" s="340">
        <v>198</v>
      </c>
      <c r="S2" s="340">
        <v>118</v>
      </c>
      <c r="T2" s="340">
        <v>217</v>
      </c>
      <c r="U2" s="340">
        <v>95</v>
      </c>
      <c r="V2" s="340">
        <v>80</v>
      </c>
      <c r="W2" s="340">
        <v>100</v>
      </c>
      <c r="X2" s="340">
        <v>76</v>
      </c>
    </row>
    <row r="3" spans="1:24" x14ac:dyDescent="0.25">
      <c r="A3" t="s">
        <v>25</v>
      </c>
      <c r="B3" s="331">
        <v>0</v>
      </c>
      <c r="C3" s="331">
        <v>0</v>
      </c>
      <c r="D3" s="331">
        <v>-16</v>
      </c>
      <c r="E3" s="331">
        <v>-1</v>
      </c>
      <c r="F3" s="331">
        <v>-13</v>
      </c>
      <c r="G3" s="331">
        <v>-1</v>
      </c>
      <c r="H3" s="331">
        <v>0</v>
      </c>
      <c r="I3" s="331">
        <v>0</v>
      </c>
      <c r="J3" s="340">
        <v>165</v>
      </c>
      <c r="K3" s="340">
        <v>116</v>
      </c>
      <c r="L3" s="331">
        <v>0</v>
      </c>
      <c r="M3" s="331">
        <v>-7</v>
      </c>
      <c r="N3" s="331">
        <v>0</v>
      </c>
      <c r="O3" s="340">
        <v>16</v>
      </c>
      <c r="P3" s="331">
        <v>0</v>
      </c>
      <c r="Q3" s="331">
        <v>0</v>
      </c>
      <c r="R3" s="331">
        <v>0</v>
      </c>
      <c r="S3" s="340">
        <v>1</v>
      </c>
      <c r="T3" s="331">
        <v>0</v>
      </c>
      <c r="U3" s="331">
        <v>0</v>
      </c>
      <c r="V3" s="331">
        <v>0</v>
      </c>
      <c r="W3" s="331">
        <v>0</v>
      </c>
      <c r="X3" s="331">
        <v>0</v>
      </c>
    </row>
    <row r="4" spans="1:24" x14ac:dyDescent="0.25">
      <c r="A4" t="s">
        <v>26</v>
      </c>
      <c r="B4" s="331">
        <v>295</v>
      </c>
      <c r="C4" s="331">
        <v>300</v>
      </c>
      <c r="D4" s="331">
        <v>95</v>
      </c>
      <c r="E4" s="331">
        <v>99</v>
      </c>
      <c r="F4" s="331">
        <v>66</v>
      </c>
      <c r="G4" s="331">
        <v>123</v>
      </c>
      <c r="H4" s="340">
        <v>307</v>
      </c>
      <c r="I4" s="340">
        <v>141</v>
      </c>
      <c r="J4" s="340">
        <v>185</v>
      </c>
      <c r="K4" s="340">
        <v>266</v>
      </c>
      <c r="L4" s="340">
        <v>143</v>
      </c>
      <c r="M4" s="340">
        <v>190</v>
      </c>
      <c r="N4" s="340">
        <v>235</v>
      </c>
      <c r="O4" s="340">
        <v>68</v>
      </c>
      <c r="P4" s="340">
        <v>67</v>
      </c>
      <c r="Q4" s="340">
        <v>253</v>
      </c>
      <c r="R4" s="340">
        <v>248</v>
      </c>
      <c r="S4" s="340">
        <v>191</v>
      </c>
      <c r="T4" s="340">
        <v>130</v>
      </c>
      <c r="U4" s="340">
        <v>27</v>
      </c>
      <c r="V4" s="340">
        <v>76</v>
      </c>
      <c r="W4" s="340">
        <v>65</v>
      </c>
      <c r="X4" s="340">
        <v>27</v>
      </c>
    </row>
    <row r="5" spans="1:24" x14ac:dyDescent="0.25">
      <c r="A5" t="s">
        <v>27</v>
      </c>
      <c r="B5" s="331">
        <v>0</v>
      </c>
      <c r="C5" s="331">
        <v>0</v>
      </c>
      <c r="D5" s="331">
        <v>-2</v>
      </c>
      <c r="E5" s="331">
        <v>0</v>
      </c>
      <c r="F5" s="331">
        <v>0</v>
      </c>
      <c r="G5" s="331">
        <v>0</v>
      </c>
      <c r="H5" s="331">
        <v>0</v>
      </c>
      <c r="I5" s="340">
        <v>4</v>
      </c>
      <c r="J5" s="331">
        <v>0</v>
      </c>
      <c r="K5" s="331">
        <v>0</v>
      </c>
      <c r="L5" s="331">
        <v>0</v>
      </c>
      <c r="M5" s="331">
        <v>0</v>
      </c>
      <c r="N5" s="331">
        <v>0</v>
      </c>
      <c r="O5" s="331">
        <v>0</v>
      </c>
      <c r="P5" s="331">
        <v>0</v>
      </c>
      <c r="Q5" s="340">
        <v>0</v>
      </c>
      <c r="R5" s="331">
        <v>0</v>
      </c>
      <c r="S5" s="340">
        <v>2</v>
      </c>
      <c r="T5" s="331">
        <v>0</v>
      </c>
      <c r="U5" s="331">
        <v>0</v>
      </c>
      <c r="V5" s="331">
        <v>0</v>
      </c>
      <c r="W5" s="331">
        <v>0</v>
      </c>
      <c r="X5" s="331">
        <v>0</v>
      </c>
    </row>
    <row r="6" spans="1:24" x14ac:dyDescent="0.25">
      <c r="A6" t="s">
        <v>28</v>
      </c>
      <c r="B6" s="331">
        <v>51</v>
      </c>
      <c r="C6" s="331">
        <v>45</v>
      </c>
      <c r="D6" s="331">
        <v>1</v>
      </c>
      <c r="E6" s="331">
        <v>2</v>
      </c>
      <c r="F6" s="331">
        <v>19</v>
      </c>
      <c r="G6" s="331">
        <v>28</v>
      </c>
      <c r="H6" s="340">
        <v>20</v>
      </c>
      <c r="I6" s="340">
        <v>20</v>
      </c>
      <c r="J6" s="340">
        <v>68</v>
      </c>
      <c r="K6" s="340">
        <v>8</v>
      </c>
      <c r="L6" s="340">
        <v>-4</v>
      </c>
      <c r="M6" s="340">
        <v>46</v>
      </c>
      <c r="N6" s="340">
        <v>11</v>
      </c>
      <c r="O6" s="340">
        <v>8</v>
      </c>
      <c r="P6" s="340">
        <v>17</v>
      </c>
      <c r="Q6" s="340">
        <v>13</v>
      </c>
      <c r="R6" s="340">
        <v>47</v>
      </c>
      <c r="S6" s="340">
        <v>17</v>
      </c>
      <c r="T6" s="340">
        <v>57</v>
      </c>
      <c r="U6" s="340">
        <v>12</v>
      </c>
      <c r="V6" s="340">
        <v>5</v>
      </c>
      <c r="W6" s="340">
        <v>4</v>
      </c>
      <c r="X6" s="340">
        <v>8</v>
      </c>
    </row>
    <row r="7" spans="1:24" x14ac:dyDescent="0.25">
      <c r="A7" t="s">
        <v>29</v>
      </c>
      <c r="B7" s="331">
        <v>0</v>
      </c>
      <c r="C7" s="331">
        <v>0</v>
      </c>
      <c r="D7" s="331">
        <v>0</v>
      </c>
      <c r="E7" s="331">
        <v>0</v>
      </c>
      <c r="F7" s="331">
        <v>0</v>
      </c>
      <c r="G7" s="331">
        <v>0</v>
      </c>
      <c r="H7" s="340">
        <v>216</v>
      </c>
      <c r="I7" s="340">
        <v>272</v>
      </c>
      <c r="J7" s="340">
        <v>85</v>
      </c>
      <c r="K7" s="340">
        <v>450</v>
      </c>
      <c r="L7" s="340">
        <v>130</v>
      </c>
      <c r="M7" s="340">
        <v>57</v>
      </c>
      <c r="N7" s="340">
        <v>175</v>
      </c>
      <c r="O7" s="340">
        <v>23</v>
      </c>
      <c r="P7" s="340">
        <v>110</v>
      </c>
      <c r="Q7" s="340">
        <v>111</v>
      </c>
      <c r="R7" s="340">
        <v>168</v>
      </c>
      <c r="S7" s="340">
        <v>0</v>
      </c>
      <c r="T7" s="340">
        <v>-3</v>
      </c>
      <c r="U7" s="340">
        <v>1</v>
      </c>
      <c r="V7" s="340">
        <v>40</v>
      </c>
      <c r="W7" s="340">
        <v>0</v>
      </c>
      <c r="X7" s="340">
        <v>0</v>
      </c>
    </row>
    <row r="8" spans="1:24" x14ac:dyDescent="0.25">
      <c r="A8" t="s">
        <v>30</v>
      </c>
      <c r="B8" s="331">
        <v>12</v>
      </c>
      <c r="C8" s="331">
        <v>0</v>
      </c>
      <c r="D8" s="331">
        <v>0</v>
      </c>
      <c r="E8" s="331">
        <v>0</v>
      </c>
      <c r="F8" s="331">
        <v>3</v>
      </c>
      <c r="G8" s="331">
        <v>4</v>
      </c>
      <c r="H8" s="340">
        <v>359</v>
      </c>
      <c r="I8" s="340">
        <v>272</v>
      </c>
      <c r="J8" s="340">
        <v>66</v>
      </c>
      <c r="K8" s="340">
        <v>146</v>
      </c>
      <c r="L8" s="340">
        <v>118</v>
      </c>
      <c r="M8" s="340">
        <v>170</v>
      </c>
      <c r="N8" s="340">
        <v>91</v>
      </c>
      <c r="O8" s="340">
        <v>133</v>
      </c>
      <c r="P8" s="340">
        <v>39</v>
      </c>
      <c r="Q8" s="340">
        <v>0</v>
      </c>
      <c r="R8" s="340">
        <v>80</v>
      </c>
      <c r="S8" s="340">
        <v>188</v>
      </c>
      <c r="T8" s="340">
        <v>347</v>
      </c>
      <c r="U8" s="340">
        <v>18</v>
      </c>
      <c r="V8" s="340">
        <v>102</v>
      </c>
      <c r="W8" s="340">
        <v>124</v>
      </c>
      <c r="X8" s="340">
        <v>15</v>
      </c>
    </row>
    <row r="9" spans="1:24" x14ac:dyDescent="0.25">
      <c r="A9" t="s">
        <v>31</v>
      </c>
      <c r="B9" s="331">
        <v>97</v>
      </c>
      <c r="C9" s="331">
        <v>12</v>
      </c>
      <c r="D9" s="331">
        <v>68</v>
      </c>
      <c r="E9" s="331">
        <v>0</v>
      </c>
      <c r="F9" s="331">
        <v>0</v>
      </c>
      <c r="G9" s="331">
        <v>0</v>
      </c>
      <c r="H9" s="331">
        <v>0</v>
      </c>
      <c r="I9" s="331">
        <v>0</v>
      </c>
      <c r="J9" s="331">
        <v>0</v>
      </c>
      <c r="K9" s="331">
        <v>0</v>
      </c>
      <c r="L9" s="331">
        <v>3</v>
      </c>
      <c r="M9" s="331">
        <v>8</v>
      </c>
      <c r="N9" s="331">
        <v>2</v>
      </c>
      <c r="O9" s="331">
        <v>8</v>
      </c>
      <c r="P9" s="331">
        <v>0</v>
      </c>
      <c r="Q9" s="331">
        <v>0</v>
      </c>
      <c r="R9" s="331">
        <v>0</v>
      </c>
      <c r="S9" s="331">
        <v>0</v>
      </c>
      <c r="T9" s="331">
        <v>0</v>
      </c>
      <c r="U9" s="331">
        <v>0</v>
      </c>
      <c r="V9" s="331">
        <v>0</v>
      </c>
      <c r="W9" s="331">
        <v>0</v>
      </c>
      <c r="X9" s="331">
        <v>0</v>
      </c>
    </row>
    <row r="10" spans="1:24" x14ac:dyDescent="0.25">
      <c r="A10" t="s">
        <v>32</v>
      </c>
      <c r="B10" s="331">
        <v>2</v>
      </c>
      <c r="C10" s="331">
        <v>5</v>
      </c>
      <c r="D10" s="331">
        <v>7</v>
      </c>
      <c r="E10" s="331">
        <v>0</v>
      </c>
      <c r="F10" s="331">
        <v>0</v>
      </c>
      <c r="G10" s="331">
        <v>0</v>
      </c>
      <c r="H10" s="331">
        <v>0</v>
      </c>
      <c r="I10" s="331">
        <v>0</v>
      </c>
      <c r="J10" s="331">
        <v>0</v>
      </c>
      <c r="K10" s="331">
        <v>0</v>
      </c>
      <c r="L10" s="331">
        <v>6</v>
      </c>
      <c r="M10" s="331">
        <v>6</v>
      </c>
      <c r="N10" s="331">
        <v>1</v>
      </c>
      <c r="O10" s="331">
        <v>0</v>
      </c>
      <c r="P10" s="331">
        <v>0</v>
      </c>
      <c r="Q10" s="331">
        <v>0</v>
      </c>
      <c r="R10" s="331">
        <v>0</v>
      </c>
      <c r="S10" s="331">
        <v>0</v>
      </c>
      <c r="T10" s="331">
        <v>0</v>
      </c>
      <c r="U10" s="331">
        <v>0</v>
      </c>
      <c r="V10" s="331">
        <v>0</v>
      </c>
      <c r="W10" s="340">
        <v>2</v>
      </c>
      <c r="X10" s="331">
        <v>0</v>
      </c>
    </row>
    <row r="11" spans="1:24" x14ac:dyDescent="0.25">
      <c r="A11" t="s">
        <v>33</v>
      </c>
      <c r="B11" s="331">
        <v>0</v>
      </c>
      <c r="C11" s="331">
        <v>0</v>
      </c>
      <c r="D11" s="331">
        <v>0</v>
      </c>
      <c r="E11" s="331">
        <v>0</v>
      </c>
      <c r="F11" s="331">
        <v>0</v>
      </c>
      <c r="G11" s="331">
        <v>0</v>
      </c>
      <c r="H11" s="331">
        <v>0</v>
      </c>
      <c r="I11" s="331">
        <v>0</v>
      </c>
      <c r="J11" s="331">
        <v>0</v>
      </c>
      <c r="K11" s="331">
        <v>0</v>
      </c>
      <c r="L11" s="331">
        <v>0</v>
      </c>
      <c r="M11" s="331">
        <v>0</v>
      </c>
      <c r="N11" s="331">
        <v>0</v>
      </c>
      <c r="O11" s="331">
        <v>0</v>
      </c>
      <c r="P11" s="340">
        <v>15</v>
      </c>
      <c r="Q11" s="331">
        <v>0</v>
      </c>
      <c r="R11" s="331">
        <v>0</v>
      </c>
      <c r="S11" s="331">
        <v>0</v>
      </c>
      <c r="T11" s="331">
        <v>0</v>
      </c>
      <c r="U11" s="331">
        <v>0</v>
      </c>
      <c r="V11" s="331">
        <v>0</v>
      </c>
      <c r="W11" s="331">
        <v>0</v>
      </c>
      <c r="X11" s="331">
        <v>0</v>
      </c>
    </row>
    <row r="12" spans="1:24" x14ac:dyDescent="0.25">
      <c r="A12" t="s">
        <v>34</v>
      </c>
      <c r="B12" s="331">
        <v>0</v>
      </c>
      <c r="C12" s="331">
        <v>0</v>
      </c>
      <c r="D12" s="331">
        <v>0</v>
      </c>
      <c r="E12" s="331">
        <v>0</v>
      </c>
      <c r="F12" s="331">
        <v>0</v>
      </c>
      <c r="G12" s="331">
        <v>0</v>
      </c>
      <c r="H12" s="331">
        <v>0</v>
      </c>
      <c r="I12" s="331">
        <v>0</v>
      </c>
      <c r="J12" s="331">
        <v>0</v>
      </c>
      <c r="K12" s="331">
        <v>0</v>
      </c>
      <c r="L12" s="331">
        <v>0</v>
      </c>
      <c r="M12" s="331">
        <v>0</v>
      </c>
      <c r="N12" s="331">
        <v>0</v>
      </c>
      <c r="O12" s="331">
        <v>0</v>
      </c>
      <c r="P12" s="340">
        <v>10</v>
      </c>
      <c r="Q12" s="331">
        <v>0</v>
      </c>
      <c r="R12" s="331">
        <v>0</v>
      </c>
      <c r="S12" s="331">
        <v>0</v>
      </c>
      <c r="T12" s="331">
        <v>0</v>
      </c>
      <c r="U12" s="331">
        <v>0</v>
      </c>
      <c r="V12" s="331">
        <v>0</v>
      </c>
      <c r="W12" s="331">
        <v>0</v>
      </c>
      <c r="X12" s="331">
        <v>0</v>
      </c>
    </row>
    <row r="13" spans="1:24" x14ac:dyDescent="0.25">
      <c r="A13" t="s">
        <v>35</v>
      </c>
      <c r="B13" s="331">
        <v>0</v>
      </c>
      <c r="C13" s="331">
        <v>0</v>
      </c>
      <c r="D13" s="331">
        <v>0</v>
      </c>
      <c r="E13" s="331">
        <v>0</v>
      </c>
      <c r="F13" s="331">
        <v>0</v>
      </c>
      <c r="G13" s="331">
        <v>0</v>
      </c>
      <c r="H13" s="331">
        <v>0</v>
      </c>
      <c r="I13" s="331">
        <v>0</v>
      </c>
      <c r="J13" s="331">
        <v>0</v>
      </c>
      <c r="K13" s="331">
        <v>0</v>
      </c>
      <c r="L13" s="331">
        <v>0</v>
      </c>
      <c r="M13" s="331">
        <v>0</v>
      </c>
      <c r="N13" s="331">
        <v>0</v>
      </c>
      <c r="O13" s="331">
        <v>0</v>
      </c>
      <c r="P13" s="340">
        <v>13</v>
      </c>
      <c r="Q13" s="331">
        <v>0</v>
      </c>
      <c r="R13" s="331">
        <v>0</v>
      </c>
      <c r="S13" s="331">
        <v>0</v>
      </c>
      <c r="T13" s="331">
        <v>0</v>
      </c>
      <c r="U13" s="331">
        <v>0</v>
      </c>
      <c r="V13" s="331">
        <v>0</v>
      </c>
      <c r="W13" s="331">
        <v>0</v>
      </c>
      <c r="X13" s="331">
        <v>0</v>
      </c>
    </row>
    <row r="14" spans="1:24" x14ac:dyDescent="0.25">
      <c r="A14" t="s">
        <v>36</v>
      </c>
      <c r="B14" s="331">
        <v>0</v>
      </c>
      <c r="C14" s="331">
        <v>0</v>
      </c>
      <c r="D14" s="331">
        <v>0</v>
      </c>
      <c r="E14" s="331">
        <v>800</v>
      </c>
      <c r="F14" s="331">
        <v>0</v>
      </c>
      <c r="G14" s="331">
        <v>0</v>
      </c>
      <c r="H14" s="331">
        <v>0</v>
      </c>
      <c r="I14" s="331">
        <v>0</v>
      </c>
      <c r="J14" s="331">
        <v>0</v>
      </c>
      <c r="K14" s="331">
        <v>0</v>
      </c>
      <c r="L14" s="331">
        <v>0</v>
      </c>
      <c r="M14" s="331">
        <v>0</v>
      </c>
      <c r="N14" s="331">
        <v>0</v>
      </c>
      <c r="O14" s="331">
        <v>0</v>
      </c>
      <c r="P14" s="331">
        <v>0</v>
      </c>
      <c r="Q14" s="331">
        <v>0</v>
      </c>
      <c r="R14" s="331">
        <v>0</v>
      </c>
      <c r="S14" s="331">
        <v>0</v>
      </c>
      <c r="T14" s="331">
        <v>0</v>
      </c>
      <c r="U14" s="331">
        <v>0</v>
      </c>
      <c r="V14" s="331">
        <v>0</v>
      </c>
      <c r="W14" s="331">
        <v>0</v>
      </c>
      <c r="X14" s="331">
        <v>0</v>
      </c>
    </row>
    <row r="15" spans="1:24" x14ac:dyDescent="0.25">
      <c r="A15" t="s">
        <v>37</v>
      </c>
      <c r="B15" s="331">
        <v>0</v>
      </c>
      <c r="C15" s="331">
        <v>0</v>
      </c>
      <c r="D15" s="331">
        <v>0</v>
      </c>
      <c r="E15" s="331">
        <v>400</v>
      </c>
      <c r="F15" s="331">
        <v>0</v>
      </c>
      <c r="G15" s="331">
        <v>0</v>
      </c>
      <c r="H15" s="331">
        <v>0</v>
      </c>
      <c r="I15" s="331">
        <v>0</v>
      </c>
      <c r="J15" s="331">
        <v>0</v>
      </c>
      <c r="K15" s="331">
        <v>0</v>
      </c>
      <c r="L15" s="331">
        <v>0</v>
      </c>
      <c r="M15" s="331">
        <v>0</v>
      </c>
      <c r="N15" s="331">
        <v>0</v>
      </c>
      <c r="O15" s="331">
        <v>0</v>
      </c>
      <c r="P15" s="331">
        <v>0</v>
      </c>
      <c r="Q15" s="331">
        <v>0</v>
      </c>
      <c r="R15" s="331">
        <v>0</v>
      </c>
      <c r="S15" s="331">
        <v>0</v>
      </c>
      <c r="T15" s="331">
        <v>0</v>
      </c>
      <c r="U15" s="331">
        <v>0</v>
      </c>
      <c r="V15" s="331">
        <v>0</v>
      </c>
      <c r="W15" s="331">
        <v>0</v>
      </c>
      <c r="X15" s="331">
        <v>0</v>
      </c>
    </row>
    <row r="16" spans="1:24" x14ac:dyDescent="0.25">
      <c r="A16" t="s">
        <v>38</v>
      </c>
      <c r="B16" s="331">
        <v>0</v>
      </c>
      <c r="C16" s="331">
        <v>0</v>
      </c>
      <c r="D16" s="331">
        <v>0</v>
      </c>
      <c r="E16" s="331">
        <v>800</v>
      </c>
      <c r="F16" s="331">
        <v>0</v>
      </c>
      <c r="G16" s="331">
        <v>0</v>
      </c>
      <c r="H16" s="331">
        <v>0</v>
      </c>
      <c r="I16" s="331">
        <v>0</v>
      </c>
      <c r="J16" s="331">
        <v>0</v>
      </c>
      <c r="K16" s="331">
        <v>0</v>
      </c>
      <c r="L16" s="331">
        <v>0</v>
      </c>
      <c r="M16" s="331">
        <v>0</v>
      </c>
      <c r="N16" s="331">
        <v>0</v>
      </c>
      <c r="O16" s="331">
        <v>0</v>
      </c>
      <c r="P16" s="331">
        <v>0</v>
      </c>
      <c r="Q16" s="331">
        <v>0</v>
      </c>
      <c r="R16" s="331">
        <v>0</v>
      </c>
      <c r="S16" s="331">
        <v>0</v>
      </c>
      <c r="T16" s="331">
        <v>0</v>
      </c>
      <c r="U16" s="331">
        <v>0</v>
      </c>
      <c r="V16" s="331">
        <v>0</v>
      </c>
      <c r="W16" s="331">
        <v>0</v>
      </c>
      <c r="X16" s="331">
        <v>0</v>
      </c>
    </row>
    <row r="17" spans="1:24" x14ac:dyDescent="0.25">
      <c r="A17" t="s">
        <v>39</v>
      </c>
      <c r="B17" s="331">
        <v>0</v>
      </c>
      <c r="C17" s="331">
        <v>0</v>
      </c>
      <c r="D17" s="331">
        <v>0</v>
      </c>
      <c r="E17" s="331">
        <v>0</v>
      </c>
      <c r="F17" s="331">
        <v>0</v>
      </c>
      <c r="G17" s="331">
        <v>0</v>
      </c>
      <c r="H17" s="331">
        <v>0</v>
      </c>
      <c r="I17" s="331">
        <v>0</v>
      </c>
      <c r="J17" s="331">
        <v>0</v>
      </c>
      <c r="K17" s="331">
        <v>0</v>
      </c>
      <c r="L17" s="331">
        <v>0</v>
      </c>
      <c r="M17" s="331">
        <v>0</v>
      </c>
      <c r="N17" s="331">
        <v>0</v>
      </c>
      <c r="O17" s="331">
        <v>0</v>
      </c>
      <c r="P17" s="331">
        <v>0</v>
      </c>
      <c r="Q17" s="331">
        <v>0</v>
      </c>
      <c r="R17" s="331">
        <v>0</v>
      </c>
      <c r="S17" s="331">
        <v>0</v>
      </c>
      <c r="T17" s="340">
        <v>8</v>
      </c>
      <c r="U17" s="331">
        <v>0</v>
      </c>
      <c r="V17" s="331">
        <v>0</v>
      </c>
      <c r="W17" s="340">
        <v>8</v>
      </c>
      <c r="X17" s="331">
        <v>0</v>
      </c>
    </row>
    <row r="18" spans="1:24" x14ac:dyDescent="0.25">
      <c r="A18" t="s">
        <v>40</v>
      </c>
      <c r="B18" s="331">
        <v>11</v>
      </c>
      <c r="C18" s="331">
        <v>0</v>
      </c>
      <c r="D18" s="331">
        <v>0</v>
      </c>
      <c r="E18" s="331">
        <v>0</v>
      </c>
      <c r="F18" s="331">
        <v>0</v>
      </c>
      <c r="G18" s="331">
        <v>4</v>
      </c>
      <c r="H18" s="331">
        <v>0</v>
      </c>
      <c r="I18" s="331">
        <v>7</v>
      </c>
      <c r="J18" s="331">
        <v>2</v>
      </c>
      <c r="K18" s="331">
        <v>0</v>
      </c>
      <c r="L18" s="331">
        <v>1</v>
      </c>
      <c r="M18" s="331">
        <v>1</v>
      </c>
      <c r="N18" s="331">
        <v>7</v>
      </c>
      <c r="O18" s="331">
        <v>0</v>
      </c>
      <c r="P18" s="331">
        <v>0</v>
      </c>
      <c r="Q18" s="331">
        <v>0</v>
      </c>
      <c r="R18" s="340">
        <v>4</v>
      </c>
      <c r="S18" s="331">
        <v>0</v>
      </c>
      <c r="T18" s="340">
        <v>11</v>
      </c>
      <c r="U18" s="340">
        <v>5</v>
      </c>
      <c r="V18" s="331">
        <v>0</v>
      </c>
      <c r="W18" s="340">
        <v>4</v>
      </c>
      <c r="X18" s="331">
        <v>0</v>
      </c>
    </row>
    <row r="19" spans="1:24" x14ac:dyDescent="0.25">
      <c r="A19" t="s">
        <v>41</v>
      </c>
      <c r="B19" s="331">
        <v>0</v>
      </c>
      <c r="C19" s="331">
        <v>0</v>
      </c>
      <c r="D19" s="331">
        <v>0</v>
      </c>
      <c r="E19" s="331">
        <v>0</v>
      </c>
      <c r="F19" s="331">
        <v>0</v>
      </c>
      <c r="G19" s="331">
        <v>19</v>
      </c>
      <c r="H19" s="331">
        <v>0</v>
      </c>
      <c r="I19" s="331">
        <v>0</v>
      </c>
      <c r="J19" s="331">
        <v>4</v>
      </c>
      <c r="K19" s="331">
        <v>0</v>
      </c>
      <c r="L19" s="331">
        <v>0</v>
      </c>
      <c r="M19" s="340">
        <v>4</v>
      </c>
      <c r="N19" s="331">
        <v>0</v>
      </c>
      <c r="O19" s="331">
        <v>0</v>
      </c>
      <c r="P19" s="340">
        <v>90</v>
      </c>
      <c r="Q19" s="331">
        <v>0</v>
      </c>
      <c r="R19" s="340">
        <v>40</v>
      </c>
      <c r="S19" s="331">
        <v>0</v>
      </c>
      <c r="T19" s="340">
        <v>3</v>
      </c>
      <c r="U19" s="331">
        <v>0</v>
      </c>
      <c r="V19" s="331">
        <v>0</v>
      </c>
      <c r="W19" s="340">
        <v>15</v>
      </c>
      <c r="X19" s="331">
        <v>0</v>
      </c>
    </row>
    <row r="20" spans="1:24" x14ac:dyDescent="0.25">
      <c r="A20" t="s">
        <v>42</v>
      </c>
      <c r="B20" s="331">
        <v>0</v>
      </c>
      <c r="C20" s="331">
        <v>0</v>
      </c>
      <c r="D20" s="331">
        <v>1</v>
      </c>
      <c r="E20" s="331">
        <v>0</v>
      </c>
      <c r="F20" s="331">
        <v>0</v>
      </c>
      <c r="G20" s="331">
        <v>5</v>
      </c>
      <c r="H20" s="331">
        <v>0</v>
      </c>
      <c r="I20" s="331">
        <v>3</v>
      </c>
      <c r="J20" s="331">
        <v>7</v>
      </c>
      <c r="K20" s="331">
        <v>0</v>
      </c>
      <c r="L20" s="331">
        <v>0</v>
      </c>
      <c r="M20" s="331">
        <v>0</v>
      </c>
      <c r="N20" s="331">
        <v>0</v>
      </c>
      <c r="O20" s="340">
        <v>1</v>
      </c>
      <c r="P20" s="340">
        <v>162</v>
      </c>
      <c r="Q20" s="331">
        <v>0</v>
      </c>
      <c r="R20" s="331">
        <v>0</v>
      </c>
      <c r="S20" s="331">
        <v>0</v>
      </c>
      <c r="T20" s="340">
        <v>31</v>
      </c>
      <c r="U20" s="331">
        <v>0</v>
      </c>
      <c r="V20" s="331">
        <v>0</v>
      </c>
      <c r="W20" s="340">
        <v>41</v>
      </c>
      <c r="X20" s="331">
        <v>0</v>
      </c>
    </row>
    <row r="21" spans="1:24" x14ac:dyDescent="0.25">
      <c r="A21" t="s">
        <v>43</v>
      </c>
      <c r="B21" s="331">
        <v>4</v>
      </c>
      <c r="C21" s="331">
        <v>3</v>
      </c>
      <c r="D21" s="331">
        <v>0</v>
      </c>
      <c r="E21" s="331">
        <v>0</v>
      </c>
      <c r="F21" s="331">
        <v>0</v>
      </c>
      <c r="G21" s="331">
        <v>9</v>
      </c>
      <c r="H21" s="331">
        <v>0</v>
      </c>
      <c r="I21" s="331">
        <v>0</v>
      </c>
      <c r="J21" s="331">
        <v>0</v>
      </c>
      <c r="K21" s="331">
        <v>0</v>
      </c>
      <c r="L21" s="331">
        <v>0</v>
      </c>
      <c r="M21" s="331">
        <v>0</v>
      </c>
      <c r="N21" s="331">
        <v>0</v>
      </c>
      <c r="O21" s="331">
        <v>0</v>
      </c>
      <c r="P21" s="331">
        <v>0</v>
      </c>
      <c r="Q21" s="331">
        <v>0</v>
      </c>
      <c r="R21" s="331">
        <v>0</v>
      </c>
      <c r="S21" s="331">
        <v>0</v>
      </c>
      <c r="T21" s="331">
        <v>0</v>
      </c>
      <c r="U21" s="331">
        <v>0</v>
      </c>
      <c r="V21" s="331">
        <v>0</v>
      </c>
      <c r="W21" s="331">
        <v>0</v>
      </c>
      <c r="X21" s="331">
        <v>0</v>
      </c>
    </row>
    <row r="22" spans="1:24" x14ac:dyDescent="0.25">
      <c r="A22" t="s">
        <v>44</v>
      </c>
      <c r="B22" s="331">
        <v>0</v>
      </c>
      <c r="C22" s="331">
        <v>0</v>
      </c>
      <c r="D22" s="331">
        <v>0</v>
      </c>
      <c r="E22" s="331">
        <v>0</v>
      </c>
      <c r="F22" s="331">
        <v>0</v>
      </c>
      <c r="G22" s="331">
        <v>0</v>
      </c>
      <c r="H22" s="331">
        <v>0</v>
      </c>
      <c r="I22" s="331">
        <v>0</v>
      </c>
      <c r="J22" s="331">
        <v>0</v>
      </c>
      <c r="K22" s="331">
        <v>0</v>
      </c>
      <c r="L22" s="340">
        <v>35</v>
      </c>
      <c r="M22" s="331">
        <v>0</v>
      </c>
      <c r="N22" s="331">
        <v>0</v>
      </c>
      <c r="O22" s="331">
        <v>0</v>
      </c>
      <c r="P22" s="331">
        <v>0</v>
      </c>
      <c r="Q22" s="331">
        <v>0</v>
      </c>
      <c r="R22" s="331">
        <v>0</v>
      </c>
      <c r="S22" s="331">
        <v>0</v>
      </c>
      <c r="T22" s="331">
        <v>0</v>
      </c>
      <c r="U22" s="331">
        <v>0</v>
      </c>
      <c r="V22" s="331">
        <v>0</v>
      </c>
      <c r="W22" s="331">
        <v>0</v>
      </c>
      <c r="X22" s="331">
        <v>0</v>
      </c>
    </row>
    <row r="23" spans="1:24" x14ac:dyDescent="0.25">
      <c r="A23" t="s">
        <v>45</v>
      </c>
      <c r="B23" s="331">
        <v>0</v>
      </c>
      <c r="C23" s="331">
        <v>0</v>
      </c>
      <c r="D23" s="331">
        <v>0</v>
      </c>
      <c r="E23" s="331">
        <v>0</v>
      </c>
      <c r="F23" s="331">
        <v>0</v>
      </c>
      <c r="G23" s="331">
        <v>1</v>
      </c>
      <c r="H23" s="331">
        <v>0</v>
      </c>
      <c r="I23" s="331">
        <v>0</v>
      </c>
      <c r="J23" s="331">
        <v>0</v>
      </c>
      <c r="K23" s="331">
        <v>0</v>
      </c>
      <c r="L23" s="340">
        <v>1</v>
      </c>
      <c r="M23" s="331">
        <v>0</v>
      </c>
      <c r="N23" s="331">
        <v>1</v>
      </c>
      <c r="O23" s="331">
        <v>0</v>
      </c>
      <c r="P23" s="331">
        <v>0</v>
      </c>
      <c r="Q23" s="331">
        <v>0</v>
      </c>
      <c r="R23" s="331">
        <v>0</v>
      </c>
      <c r="S23" s="331">
        <v>0</v>
      </c>
      <c r="T23" s="331">
        <v>0</v>
      </c>
      <c r="U23" s="331">
        <v>0</v>
      </c>
      <c r="V23" s="331">
        <v>0</v>
      </c>
      <c r="W23" s="331">
        <v>0</v>
      </c>
      <c r="X23" s="331">
        <v>0</v>
      </c>
    </row>
    <row r="24" spans="1:24" x14ac:dyDescent="0.25">
      <c r="A24" t="s">
        <v>46</v>
      </c>
      <c r="B24" s="331">
        <v>0</v>
      </c>
      <c r="C24" s="331">
        <v>0</v>
      </c>
      <c r="D24" s="331">
        <v>0</v>
      </c>
      <c r="E24" s="331">
        <v>0</v>
      </c>
      <c r="F24" s="331">
        <v>0</v>
      </c>
      <c r="G24" s="331">
        <v>0</v>
      </c>
      <c r="H24" s="331">
        <v>0</v>
      </c>
      <c r="I24" s="331">
        <v>0</v>
      </c>
      <c r="J24" s="331">
        <v>0</v>
      </c>
      <c r="K24" s="331">
        <v>0</v>
      </c>
      <c r="L24" s="331">
        <v>0</v>
      </c>
      <c r="M24" s="340">
        <v>14</v>
      </c>
      <c r="N24" s="340">
        <v>6</v>
      </c>
      <c r="O24" s="331">
        <v>0</v>
      </c>
      <c r="P24" s="340">
        <v>1</v>
      </c>
      <c r="Q24" s="340">
        <v>3</v>
      </c>
      <c r="R24" s="340">
        <v>5</v>
      </c>
      <c r="S24" s="340">
        <v>4</v>
      </c>
      <c r="T24" s="340">
        <v>5</v>
      </c>
      <c r="U24" s="331">
        <v>0</v>
      </c>
      <c r="V24" s="331">
        <v>0</v>
      </c>
      <c r="W24" s="331">
        <v>0</v>
      </c>
      <c r="X24" s="331">
        <v>0</v>
      </c>
    </row>
    <row r="25" spans="1:24" x14ac:dyDescent="0.25">
      <c r="A25" t="s">
        <v>47</v>
      </c>
      <c r="B25" s="331">
        <v>17</v>
      </c>
      <c r="C25" s="331">
        <v>0</v>
      </c>
      <c r="D25" s="331">
        <v>-33</v>
      </c>
      <c r="E25" s="331">
        <v>101</v>
      </c>
      <c r="F25" s="331">
        <v>-3</v>
      </c>
      <c r="G25" s="331">
        <v>0</v>
      </c>
      <c r="H25" s="340">
        <v>82</v>
      </c>
      <c r="I25" s="340">
        <v>49</v>
      </c>
      <c r="J25" s="340">
        <v>50</v>
      </c>
      <c r="K25" s="340">
        <v>89</v>
      </c>
      <c r="L25" s="340">
        <v>-1</v>
      </c>
      <c r="M25" s="340">
        <v>69</v>
      </c>
      <c r="N25" s="340">
        <v>1</v>
      </c>
      <c r="O25" s="340">
        <v>20</v>
      </c>
      <c r="P25" s="340">
        <v>0</v>
      </c>
      <c r="Q25" s="340">
        <v>0</v>
      </c>
      <c r="R25" s="340">
        <v>0</v>
      </c>
      <c r="S25" s="340">
        <v>3</v>
      </c>
      <c r="T25" s="340">
        <v>3</v>
      </c>
      <c r="U25" s="340">
        <v>0</v>
      </c>
      <c r="V25" s="340">
        <v>0</v>
      </c>
      <c r="W25" s="340">
        <v>1</v>
      </c>
      <c r="X25" s="340">
        <v>-1</v>
      </c>
    </row>
    <row r="26" spans="1:24" x14ac:dyDescent="0.25">
      <c r="A26" t="s">
        <v>48</v>
      </c>
      <c r="B26" s="331">
        <v>2</v>
      </c>
      <c r="C26" s="331">
        <v>18</v>
      </c>
      <c r="D26" s="331">
        <v>-10</v>
      </c>
      <c r="E26" s="331">
        <v>15</v>
      </c>
      <c r="F26" s="331">
        <v>-1</v>
      </c>
      <c r="G26" s="331">
        <v>-1</v>
      </c>
      <c r="H26" s="340">
        <v>160</v>
      </c>
      <c r="I26" s="340">
        <v>177</v>
      </c>
      <c r="J26" s="340">
        <v>53</v>
      </c>
      <c r="K26" s="340">
        <v>40</v>
      </c>
      <c r="L26" s="340">
        <v>3</v>
      </c>
      <c r="M26" s="340">
        <v>49</v>
      </c>
      <c r="N26" s="340">
        <v>3</v>
      </c>
      <c r="O26" s="340">
        <v>9</v>
      </c>
      <c r="P26" s="340">
        <v>6</v>
      </c>
      <c r="Q26" s="340">
        <v>8</v>
      </c>
      <c r="R26" s="340">
        <v>5</v>
      </c>
      <c r="S26" s="340">
        <v>3</v>
      </c>
      <c r="T26" s="340">
        <v>-1</v>
      </c>
      <c r="U26" s="340">
        <v>2</v>
      </c>
      <c r="V26" s="340">
        <v>-2</v>
      </c>
      <c r="W26" s="340">
        <v>1</v>
      </c>
      <c r="X26" s="340">
        <v>1</v>
      </c>
    </row>
    <row r="27" spans="1:24" x14ac:dyDescent="0.25">
      <c r="A27" t="s">
        <v>49</v>
      </c>
      <c r="B27" s="331">
        <v>0</v>
      </c>
      <c r="C27" s="331">
        <v>0</v>
      </c>
      <c r="D27" s="331">
        <v>0</v>
      </c>
      <c r="E27" s="331">
        <v>0</v>
      </c>
      <c r="F27" s="331">
        <v>0</v>
      </c>
      <c r="G27" s="331">
        <v>0</v>
      </c>
      <c r="H27" s="340">
        <v>46</v>
      </c>
      <c r="I27" s="340">
        <v>22</v>
      </c>
      <c r="J27" s="340">
        <v>49</v>
      </c>
      <c r="K27" s="340">
        <v>55</v>
      </c>
      <c r="L27" s="340">
        <v>69</v>
      </c>
      <c r="M27" s="340">
        <v>14</v>
      </c>
      <c r="N27" s="340">
        <v>0</v>
      </c>
      <c r="O27" s="340">
        <v>22</v>
      </c>
      <c r="P27" s="340">
        <v>0</v>
      </c>
      <c r="Q27" s="340">
        <v>0</v>
      </c>
      <c r="R27" s="340">
        <v>1</v>
      </c>
      <c r="S27" s="340">
        <v>4</v>
      </c>
      <c r="T27" s="340">
        <v>-5</v>
      </c>
      <c r="U27" s="340">
        <v>2</v>
      </c>
      <c r="V27" s="340">
        <v>-1</v>
      </c>
      <c r="W27" s="340">
        <v>0</v>
      </c>
      <c r="X27" s="340">
        <v>0</v>
      </c>
    </row>
    <row r="28" spans="1:24" x14ac:dyDescent="0.25">
      <c r="A28" t="s">
        <v>50</v>
      </c>
      <c r="B28" s="331">
        <v>0</v>
      </c>
      <c r="C28" s="331">
        <v>1</v>
      </c>
      <c r="D28" s="331">
        <v>3</v>
      </c>
      <c r="E28" s="331">
        <v>-1</v>
      </c>
      <c r="F28" s="331">
        <v>-2</v>
      </c>
      <c r="G28" s="331">
        <v>7</v>
      </c>
      <c r="H28" s="340">
        <v>7</v>
      </c>
      <c r="I28" s="340">
        <v>20</v>
      </c>
      <c r="J28" s="340">
        <v>54</v>
      </c>
      <c r="K28" s="340">
        <v>1</v>
      </c>
      <c r="L28" s="340">
        <v>6</v>
      </c>
      <c r="M28" s="340">
        <v>12</v>
      </c>
      <c r="N28" s="340">
        <v>5</v>
      </c>
      <c r="O28" s="340">
        <v>94</v>
      </c>
      <c r="P28" s="340">
        <v>4</v>
      </c>
      <c r="Q28" s="340">
        <v>0</v>
      </c>
      <c r="R28" s="340">
        <v>0</v>
      </c>
      <c r="S28" s="340">
        <v>-2</v>
      </c>
      <c r="T28" s="340">
        <v>-4</v>
      </c>
      <c r="U28" s="340">
        <v>1</v>
      </c>
      <c r="V28" s="340">
        <v>0</v>
      </c>
      <c r="W28" s="340">
        <v>3</v>
      </c>
      <c r="X28" s="340">
        <v>1</v>
      </c>
    </row>
    <row r="29" spans="1:24" x14ac:dyDescent="0.25">
      <c r="A29" t="s">
        <v>51</v>
      </c>
      <c r="B29" s="331">
        <v>0</v>
      </c>
      <c r="C29" s="331">
        <v>0</v>
      </c>
      <c r="D29" s="331">
        <v>0</v>
      </c>
      <c r="E29" s="331">
        <v>0</v>
      </c>
      <c r="F29" s="331">
        <v>0</v>
      </c>
      <c r="G29" s="331">
        <v>0</v>
      </c>
      <c r="H29" s="331">
        <v>0</v>
      </c>
      <c r="I29" s="331">
        <v>0</v>
      </c>
      <c r="J29" s="331">
        <v>0</v>
      </c>
      <c r="K29" s="331">
        <v>0</v>
      </c>
      <c r="L29" s="331">
        <v>0</v>
      </c>
      <c r="M29" s="331">
        <v>1</v>
      </c>
      <c r="N29" s="331">
        <v>1</v>
      </c>
      <c r="O29" s="331">
        <v>0</v>
      </c>
      <c r="P29" s="331">
        <v>0</v>
      </c>
      <c r="Q29" s="331">
        <v>0</v>
      </c>
      <c r="R29" s="331">
        <v>1</v>
      </c>
      <c r="S29" s="331">
        <v>0</v>
      </c>
      <c r="T29" s="331">
        <v>0</v>
      </c>
      <c r="U29" s="331">
        <v>0</v>
      </c>
      <c r="V29" s="331">
        <v>0</v>
      </c>
      <c r="W29" s="331">
        <v>0</v>
      </c>
      <c r="X29" s="331">
        <v>0</v>
      </c>
    </row>
    <row r="30" spans="1:24" x14ac:dyDescent="0.25">
      <c r="A30" t="s">
        <v>52</v>
      </c>
      <c r="B30" s="331">
        <v>1</v>
      </c>
      <c r="C30" s="331">
        <v>0</v>
      </c>
      <c r="D30" s="331">
        <v>0</v>
      </c>
      <c r="E30" s="331">
        <v>0</v>
      </c>
      <c r="F30" s="331">
        <v>0</v>
      </c>
      <c r="G30" s="331">
        <v>0</v>
      </c>
      <c r="H30" s="331">
        <v>0</v>
      </c>
      <c r="I30" s="331">
        <v>0</v>
      </c>
      <c r="J30" s="331">
        <v>0</v>
      </c>
      <c r="K30" s="331">
        <v>0</v>
      </c>
      <c r="L30" s="331">
        <v>0</v>
      </c>
      <c r="M30" s="331">
        <v>0</v>
      </c>
      <c r="N30" s="331">
        <v>0</v>
      </c>
      <c r="O30" s="331">
        <v>0</v>
      </c>
      <c r="P30" s="331">
        <v>0</v>
      </c>
      <c r="Q30" s="331">
        <v>0</v>
      </c>
      <c r="R30" s="331">
        <v>0</v>
      </c>
      <c r="S30" s="331">
        <v>0</v>
      </c>
      <c r="T30" s="331">
        <v>0</v>
      </c>
      <c r="U30" s="331">
        <v>0</v>
      </c>
      <c r="V30" s="331">
        <v>0</v>
      </c>
      <c r="W30" s="331">
        <v>0</v>
      </c>
      <c r="X30" s="331">
        <v>0</v>
      </c>
    </row>
    <row r="31" spans="1:24" x14ac:dyDescent="0.25">
      <c r="A31" t="s">
        <v>53</v>
      </c>
      <c r="B31" s="331">
        <v>300</v>
      </c>
      <c r="C31" s="331">
        <v>50</v>
      </c>
      <c r="D31" s="331">
        <v>0</v>
      </c>
      <c r="E31" s="331">
        <v>100</v>
      </c>
      <c r="F31" s="331">
        <v>50</v>
      </c>
      <c r="G31" s="331">
        <v>0</v>
      </c>
      <c r="H31" s="331">
        <v>100</v>
      </c>
      <c r="I31" s="331">
        <v>100</v>
      </c>
      <c r="J31" s="331">
        <v>0</v>
      </c>
      <c r="K31" s="331">
        <v>50</v>
      </c>
      <c r="L31" s="331">
        <v>0</v>
      </c>
      <c r="M31" s="331">
        <v>0</v>
      </c>
      <c r="N31" s="331">
        <v>0</v>
      </c>
      <c r="O31" s="331">
        <v>0</v>
      </c>
      <c r="P31" s="331">
        <v>0</v>
      </c>
      <c r="Q31" s="331">
        <v>50</v>
      </c>
      <c r="R31" s="331">
        <v>50</v>
      </c>
      <c r="S31" s="331">
        <v>50</v>
      </c>
      <c r="T31" s="331">
        <v>100</v>
      </c>
      <c r="U31" s="331">
        <v>50</v>
      </c>
      <c r="V31" s="331">
        <v>50</v>
      </c>
      <c r="W31" s="331">
        <v>0</v>
      </c>
      <c r="X31" s="331">
        <v>100</v>
      </c>
    </row>
    <row r="32" spans="1:24" x14ac:dyDescent="0.25">
      <c r="A32" s="332" t="s">
        <v>54</v>
      </c>
      <c r="B32" s="333">
        <v>1276</v>
      </c>
      <c r="C32" s="333">
        <v>766</v>
      </c>
      <c r="D32" s="333">
        <v>246</v>
      </c>
      <c r="E32" s="333">
        <v>2542</v>
      </c>
      <c r="F32" s="333">
        <v>285</v>
      </c>
      <c r="G32" s="333">
        <v>347</v>
      </c>
      <c r="H32" s="333">
        <v>1712</v>
      </c>
      <c r="I32" s="333">
        <v>1545</v>
      </c>
      <c r="J32" s="333">
        <v>792</v>
      </c>
      <c r="K32" s="333">
        <v>1275</v>
      </c>
      <c r="L32" s="333">
        <v>672</v>
      </c>
      <c r="M32" s="333">
        <v>788</v>
      </c>
      <c r="N32" s="333">
        <v>664</v>
      </c>
      <c r="O32" s="333">
        <v>555</v>
      </c>
      <c r="P32" s="333">
        <v>580</v>
      </c>
      <c r="Q32" s="333">
        <v>696</v>
      </c>
      <c r="R32" s="333">
        <v>901</v>
      </c>
      <c r="S32" s="333">
        <v>629</v>
      </c>
      <c r="T32" s="333">
        <v>954</v>
      </c>
      <c r="U32" s="333">
        <v>264</v>
      </c>
      <c r="V32" s="333">
        <v>400</v>
      </c>
      <c r="W32" s="333">
        <v>369</v>
      </c>
      <c r="X32" s="333">
        <v>280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53"/>
  <dimension ref="A1:X32"/>
  <sheetViews>
    <sheetView workbookViewId="0">
      <selection activeCell="Z21" sqref="Z21"/>
    </sheetView>
  </sheetViews>
  <sheetFormatPr defaultRowHeight="15" x14ac:dyDescent="0.25"/>
  <cols>
    <col min="1" max="1" width="63.42578125" customWidth="1"/>
    <col min="2" max="15" width="5.28515625" hidden="1" customWidth="1"/>
    <col min="16" max="24" width="5.28515625" customWidth="1"/>
  </cols>
  <sheetData>
    <row r="1" spans="1:24" x14ac:dyDescent="0.25">
      <c r="A1" s="326" t="s">
        <v>0</v>
      </c>
      <c r="B1" s="327" t="s">
        <v>1</v>
      </c>
      <c r="C1" s="327" t="s">
        <v>2</v>
      </c>
      <c r="D1" s="327" t="s">
        <v>3</v>
      </c>
      <c r="E1" s="327" t="s">
        <v>4</v>
      </c>
      <c r="F1" s="327" t="s">
        <v>5</v>
      </c>
      <c r="G1" s="327" t="s">
        <v>6</v>
      </c>
      <c r="H1" s="328" t="s">
        <v>7</v>
      </c>
      <c r="I1" s="328" t="s">
        <v>8</v>
      </c>
      <c r="J1" s="328" t="s">
        <v>9</v>
      </c>
      <c r="K1" s="328" t="s">
        <v>10</v>
      </c>
      <c r="L1" s="328" t="s">
        <v>11</v>
      </c>
      <c r="M1" s="328" t="s">
        <v>12</v>
      </c>
      <c r="N1" s="328" t="s">
        <v>13</v>
      </c>
      <c r="O1" s="328" t="s">
        <v>14</v>
      </c>
      <c r="P1" s="329" t="s">
        <v>15</v>
      </c>
      <c r="Q1" s="329" t="s">
        <v>16</v>
      </c>
      <c r="R1" s="329" t="s">
        <v>17</v>
      </c>
      <c r="S1" s="330" t="s">
        <v>18</v>
      </c>
      <c r="T1" s="330" t="s">
        <v>19</v>
      </c>
      <c r="U1" s="330" t="s">
        <v>20</v>
      </c>
      <c r="V1" s="330" t="s">
        <v>21</v>
      </c>
      <c r="W1" s="330" t="s">
        <v>22</v>
      </c>
      <c r="X1" s="330" t="s">
        <v>23</v>
      </c>
    </row>
    <row r="2" spans="1:24" x14ac:dyDescent="0.25">
      <c r="A2" t="s">
        <v>24</v>
      </c>
      <c r="B2" s="331">
        <v>184</v>
      </c>
      <c r="C2" s="331">
        <v>182</v>
      </c>
      <c r="D2" s="331">
        <v>33</v>
      </c>
      <c r="E2" s="331">
        <v>77</v>
      </c>
      <c r="F2" s="331">
        <v>16</v>
      </c>
      <c r="G2" s="331">
        <v>49</v>
      </c>
      <c r="H2" s="340">
        <v>260</v>
      </c>
      <c r="I2" s="340">
        <v>254</v>
      </c>
      <c r="J2" s="331">
        <v>0</v>
      </c>
      <c r="K2" s="331">
        <v>0</v>
      </c>
      <c r="L2" s="340">
        <v>158</v>
      </c>
      <c r="M2" s="340">
        <v>149</v>
      </c>
      <c r="N2" s="340">
        <v>122</v>
      </c>
      <c r="O2" s="340">
        <v>150</v>
      </c>
      <c r="P2" s="331">
        <v>46</v>
      </c>
      <c r="Q2" s="331">
        <v>208</v>
      </c>
      <c r="R2" s="331">
        <v>198</v>
      </c>
      <c r="S2" s="331">
        <v>118</v>
      </c>
      <c r="T2" s="331">
        <v>217</v>
      </c>
      <c r="U2" s="331">
        <v>95</v>
      </c>
      <c r="V2" s="331">
        <v>80</v>
      </c>
      <c r="W2" s="331">
        <v>100</v>
      </c>
      <c r="X2" s="331">
        <v>76</v>
      </c>
    </row>
    <row r="3" spans="1:24" x14ac:dyDescent="0.25">
      <c r="A3" t="s">
        <v>25</v>
      </c>
      <c r="B3" s="331">
        <v>0</v>
      </c>
      <c r="C3" s="331">
        <v>0</v>
      </c>
      <c r="D3" s="331">
        <v>-16</v>
      </c>
      <c r="E3" s="331">
        <v>-1</v>
      </c>
      <c r="F3" s="331">
        <v>-13</v>
      </c>
      <c r="G3" s="331">
        <v>-1</v>
      </c>
      <c r="H3" s="331">
        <v>0</v>
      </c>
      <c r="I3" s="331">
        <v>0</v>
      </c>
      <c r="J3" s="340">
        <v>165</v>
      </c>
      <c r="K3" s="340">
        <v>116</v>
      </c>
      <c r="L3" s="331">
        <v>0</v>
      </c>
      <c r="M3" s="331">
        <v>-7</v>
      </c>
      <c r="N3" s="331">
        <v>0</v>
      </c>
      <c r="O3" s="340">
        <v>16</v>
      </c>
      <c r="P3" s="331">
        <v>0</v>
      </c>
      <c r="Q3" s="331">
        <v>0</v>
      </c>
      <c r="R3" s="331">
        <v>0</v>
      </c>
      <c r="S3" s="331">
        <v>1</v>
      </c>
      <c r="T3" s="331">
        <v>0</v>
      </c>
      <c r="U3" s="331">
        <v>0</v>
      </c>
      <c r="V3" s="331">
        <v>0</v>
      </c>
      <c r="W3" s="331">
        <v>0</v>
      </c>
      <c r="X3" s="331">
        <v>0</v>
      </c>
    </row>
    <row r="4" spans="1:24" x14ac:dyDescent="0.25">
      <c r="A4" t="s">
        <v>26</v>
      </c>
      <c r="B4" s="331">
        <v>295</v>
      </c>
      <c r="C4" s="331">
        <v>300</v>
      </c>
      <c r="D4" s="331">
        <v>95</v>
      </c>
      <c r="E4" s="331">
        <v>99</v>
      </c>
      <c r="F4" s="331">
        <v>66</v>
      </c>
      <c r="G4" s="331">
        <v>123</v>
      </c>
      <c r="H4" s="340">
        <v>307</v>
      </c>
      <c r="I4" s="340">
        <v>141</v>
      </c>
      <c r="J4" s="340">
        <v>185</v>
      </c>
      <c r="K4" s="340">
        <v>266</v>
      </c>
      <c r="L4" s="340">
        <v>143</v>
      </c>
      <c r="M4" s="340">
        <v>190</v>
      </c>
      <c r="N4" s="340">
        <v>235</v>
      </c>
      <c r="O4" s="340">
        <v>68</v>
      </c>
      <c r="P4" s="331">
        <v>67</v>
      </c>
      <c r="Q4" s="331">
        <v>253</v>
      </c>
      <c r="R4" s="331">
        <v>248</v>
      </c>
      <c r="S4" s="331">
        <v>191</v>
      </c>
      <c r="T4" s="331">
        <v>130</v>
      </c>
      <c r="U4" s="331">
        <v>27</v>
      </c>
      <c r="V4" s="331">
        <v>76</v>
      </c>
      <c r="W4" s="331">
        <v>65</v>
      </c>
      <c r="X4" s="331">
        <v>27</v>
      </c>
    </row>
    <row r="5" spans="1:24" x14ac:dyDescent="0.25">
      <c r="A5" t="s">
        <v>27</v>
      </c>
      <c r="B5" s="331">
        <v>0</v>
      </c>
      <c r="C5" s="331">
        <v>0</v>
      </c>
      <c r="D5" s="331">
        <v>-2</v>
      </c>
      <c r="E5" s="331">
        <v>0</v>
      </c>
      <c r="F5" s="331">
        <v>0</v>
      </c>
      <c r="G5" s="331">
        <v>0</v>
      </c>
      <c r="H5" s="331">
        <v>0</v>
      </c>
      <c r="I5" s="340">
        <v>4</v>
      </c>
      <c r="J5" s="331">
        <v>0</v>
      </c>
      <c r="K5" s="331">
        <v>0</v>
      </c>
      <c r="L5" s="331">
        <v>0</v>
      </c>
      <c r="M5" s="331">
        <v>0</v>
      </c>
      <c r="N5" s="331">
        <v>0</v>
      </c>
      <c r="O5" s="331">
        <v>0</v>
      </c>
      <c r="P5" s="331">
        <v>0</v>
      </c>
      <c r="Q5" s="331">
        <v>0</v>
      </c>
      <c r="R5" s="331">
        <v>0</v>
      </c>
      <c r="S5" s="331">
        <v>2</v>
      </c>
      <c r="T5" s="331">
        <v>0</v>
      </c>
      <c r="U5" s="331">
        <v>0</v>
      </c>
      <c r="V5" s="331">
        <v>0</v>
      </c>
      <c r="W5" s="331">
        <v>0</v>
      </c>
      <c r="X5" s="331">
        <v>0</v>
      </c>
    </row>
    <row r="6" spans="1:24" x14ac:dyDescent="0.25">
      <c r="A6" t="s">
        <v>28</v>
      </c>
      <c r="B6" s="331">
        <v>51</v>
      </c>
      <c r="C6" s="331">
        <v>45</v>
      </c>
      <c r="D6" s="331">
        <v>1</v>
      </c>
      <c r="E6" s="331">
        <v>2</v>
      </c>
      <c r="F6" s="331">
        <v>19</v>
      </c>
      <c r="G6" s="331">
        <v>28</v>
      </c>
      <c r="H6" s="340">
        <v>20</v>
      </c>
      <c r="I6" s="340">
        <v>20</v>
      </c>
      <c r="J6" s="340">
        <v>68</v>
      </c>
      <c r="K6" s="340">
        <v>8</v>
      </c>
      <c r="L6" s="340">
        <v>-4</v>
      </c>
      <c r="M6" s="340">
        <v>46</v>
      </c>
      <c r="N6" s="340">
        <v>11</v>
      </c>
      <c r="O6" s="340">
        <v>8</v>
      </c>
      <c r="P6" s="331">
        <v>17</v>
      </c>
      <c r="Q6" s="331">
        <v>13</v>
      </c>
      <c r="R6" s="331">
        <v>47</v>
      </c>
      <c r="S6" s="331">
        <v>17</v>
      </c>
      <c r="T6" s="331">
        <v>57</v>
      </c>
      <c r="U6" s="331">
        <v>12</v>
      </c>
      <c r="V6" s="331">
        <v>5</v>
      </c>
      <c r="W6" s="331">
        <v>4</v>
      </c>
      <c r="X6" s="331">
        <v>8</v>
      </c>
    </row>
    <row r="7" spans="1:24" x14ac:dyDescent="0.25">
      <c r="A7" t="s">
        <v>29</v>
      </c>
      <c r="B7" s="331">
        <v>0</v>
      </c>
      <c r="C7" s="331">
        <v>0</v>
      </c>
      <c r="D7" s="331">
        <v>0</v>
      </c>
      <c r="E7" s="331">
        <v>0</v>
      </c>
      <c r="F7" s="331">
        <v>0</v>
      </c>
      <c r="G7" s="331">
        <v>0</v>
      </c>
      <c r="H7" s="340">
        <v>216</v>
      </c>
      <c r="I7" s="340">
        <v>272</v>
      </c>
      <c r="J7" s="340">
        <v>85</v>
      </c>
      <c r="K7" s="340">
        <v>450</v>
      </c>
      <c r="L7" s="340">
        <v>130</v>
      </c>
      <c r="M7" s="340">
        <v>57</v>
      </c>
      <c r="N7" s="340">
        <v>175</v>
      </c>
      <c r="O7" s="340">
        <v>23</v>
      </c>
      <c r="P7" s="331">
        <v>110</v>
      </c>
      <c r="Q7" s="331">
        <v>111</v>
      </c>
      <c r="R7" s="331">
        <v>168</v>
      </c>
      <c r="S7" s="331">
        <v>0</v>
      </c>
      <c r="T7" s="331">
        <v>-3</v>
      </c>
      <c r="U7" s="331">
        <v>1</v>
      </c>
      <c r="V7" s="331">
        <v>40</v>
      </c>
      <c r="W7" s="331">
        <v>0</v>
      </c>
      <c r="X7" s="331">
        <v>0</v>
      </c>
    </row>
    <row r="8" spans="1:24" x14ac:dyDescent="0.25">
      <c r="A8" t="s">
        <v>30</v>
      </c>
      <c r="B8" s="331">
        <v>12</v>
      </c>
      <c r="C8" s="331">
        <v>0</v>
      </c>
      <c r="D8" s="331">
        <v>0</v>
      </c>
      <c r="E8" s="331">
        <v>0</v>
      </c>
      <c r="F8" s="331">
        <v>3</v>
      </c>
      <c r="G8" s="331">
        <v>4</v>
      </c>
      <c r="H8" s="340">
        <v>359</v>
      </c>
      <c r="I8" s="340">
        <v>272</v>
      </c>
      <c r="J8" s="340">
        <v>66</v>
      </c>
      <c r="K8" s="340">
        <v>146</v>
      </c>
      <c r="L8" s="340">
        <v>118</v>
      </c>
      <c r="M8" s="340">
        <v>170</v>
      </c>
      <c r="N8" s="340">
        <v>91</v>
      </c>
      <c r="O8" s="340">
        <v>133</v>
      </c>
      <c r="P8" s="331">
        <v>39</v>
      </c>
      <c r="Q8" s="331">
        <v>0</v>
      </c>
      <c r="R8" s="331">
        <v>80</v>
      </c>
      <c r="S8" s="331">
        <v>188</v>
      </c>
      <c r="T8" s="331">
        <v>347</v>
      </c>
      <c r="U8" s="331">
        <v>18</v>
      </c>
      <c r="V8" s="331">
        <v>102</v>
      </c>
      <c r="W8" s="331">
        <v>124</v>
      </c>
      <c r="X8" s="331">
        <v>15</v>
      </c>
    </row>
    <row r="9" spans="1:24" x14ac:dyDescent="0.25">
      <c r="A9" t="s">
        <v>31</v>
      </c>
      <c r="B9" s="331">
        <v>97</v>
      </c>
      <c r="C9" s="331">
        <v>12</v>
      </c>
      <c r="D9" s="331">
        <v>68</v>
      </c>
      <c r="E9" s="331">
        <v>0</v>
      </c>
      <c r="F9" s="331">
        <v>0</v>
      </c>
      <c r="G9" s="331">
        <v>0</v>
      </c>
      <c r="H9" s="331">
        <v>0</v>
      </c>
      <c r="I9" s="331">
        <v>0</v>
      </c>
      <c r="J9" s="331">
        <v>0</v>
      </c>
      <c r="K9" s="331">
        <v>0</v>
      </c>
      <c r="L9" s="331">
        <v>3</v>
      </c>
      <c r="M9" s="331">
        <v>8</v>
      </c>
      <c r="N9" s="331">
        <v>2</v>
      </c>
      <c r="O9" s="331">
        <v>8</v>
      </c>
      <c r="P9" s="331">
        <v>0</v>
      </c>
      <c r="Q9" s="331">
        <v>0</v>
      </c>
      <c r="R9" s="331">
        <v>0</v>
      </c>
      <c r="S9" s="331">
        <v>0</v>
      </c>
      <c r="T9" s="331">
        <v>0</v>
      </c>
      <c r="U9" s="331">
        <v>0</v>
      </c>
      <c r="V9" s="331">
        <v>0</v>
      </c>
      <c r="W9" s="331">
        <v>0</v>
      </c>
      <c r="X9" s="331">
        <v>0</v>
      </c>
    </row>
    <row r="10" spans="1:24" x14ac:dyDescent="0.25">
      <c r="A10" t="s">
        <v>32</v>
      </c>
      <c r="B10" s="331">
        <v>2</v>
      </c>
      <c r="C10" s="331">
        <v>5</v>
      </c>
      <c r="D10" s="331">
        <v>7</v>
      </c>
      <c r="E10" s="331">
        <v>0</v>
      </c>
      <c r="F10" s="331">
        <v>0</v>
      </c>
      <c r="G10" s="331">
        <v>0</v>
      </c>
      <c r="H10" s="331">
        <v>0</v>
      </c>
      <c r="I10" s="331">
        <v>0</v>
      </c>
      <c r="J10" s="331">
        <v>0</v>
      </c>
      <c r="K10" s="331">
        <v>0</v>
      </c>
      <c r="L10" s="331">
        <v>6</v>
      </c>
      <c r="M10" s="331">
        <v>6</v>
      </c>
      <c r="N10" s="331">
        <v>1</v>
      </c>
      <c r="O10" s="331">
        <v>0</v>
      </c>
      <c r="P10" s="331">
        <v>0</v>
      </c>
      <c r="Q10" s="331">
        <v>0</v>
      </c>
      <c r="R10" s="331">
        <v>0</v>
      </c>
      <c r="S10" s="331">
        <v>0</v>
      </c>
      <c r="T10" s="331">
        <v>0</v>
      </c>
      <c r="U10" s="331">
        <v>0</v>
      </c>
      <c r="V10" s="331">
        <v>0</v>
      </c>
      <c r="W10" s="331">
        <v>2</v>
      </c>
      <c r="X10" s="331">
        <v>0</v>
      </c>
    </row>
    <row r="11" spans="1:24" x14ac:dyDescent="0.25">
      <c r="A11" t="s">
        <v>33</v>
      </c>
      <c r="B11" s="331">
        <v>0</v>
      </c>
      <c r="C11" s="331">
        <v>0</v>
      </c>
      <c r="D11" s="331">
        <v>0</v>
      </c>
      <c r="E11" s="331">
        <v>0</v>
      </c>
      <c r="F11" s="331">
        <v>0</v>
      </c>
      <c r="G11" s="331">
        <v>0</v>
      </c>
      <c r="H11" s="331">
        <v>0</v>
      </c>
      <c r="I11" s="331">
        <v>0</v>
      </c>
      <c r="J11" s="331">
        <v>0</v>
      </c>
      <c r="K11" s="331">
        <v>0</v>
      </c>
      <c r="L11" s="331">
        <v>0</v>
      </c>
      <c r="M11" s="331">
        <v>0</v>
      </c>
      <c r="N11" s="331">
        <v>0</v>
      </c>
      <c r="O11" s="331">
        <v>0</v>
      </c>
      <c r="P11" s="331">
        <v>15</v>
      </c>
      <c r="Q11" s="331">
        <v>0</v>
      </c>
      <c r="R11" s="331">
        <v>0</v>
      </c>
      <c r="S11" s="331">
        <v>0</v>
      </c>
      <c r="T11" s="331">
        <v>0</v>
      </c>
      <c r="U11" s="331">
        <v>0</v>
      </c>
      <c r="V11" s="331">
        <v>0</v>
      </c>
      <c r="W11" s="331">
        <v>0</v>
      </c>
      <c r="X11" s="331">
        <v>0</v>
      </c>
    </row>
    <row r="12" spans="1:24" x14ac:dyDescent="0.25">
      <c r="A12" t="s">
        <v>34</v>
      </c>
      <c r="B12" s="331">
        <v>0</v>
      </c>
      <c r="C12" s="331">
        <v>0</v>
      </c>
      <c r="D12" s="331">
        <v>0</v>
      </c>
      <c r="E12" s="331">
        <v>0</v>
      </c>
      <c r="F12" s="331">
        <v>0</v>
      </c>
      <c r="G12" s="331">
        <v>0</v>
      </c>
      <c r="H12" s="331">
        <v>0</v>
      </c>
      <c r="I12" s="331">
        <v>0</v>
      </c>
      <c r="J12" s="331">
        <v>0</v>
      </c>
      <c r="K12" s="331">
        <v>0</v>
      </c>
      <c r="L12" s="331">
        <v>0</v>
      </c>
      <c r="M12" s="331">
        <v>0</v>
      </c>
      <c r="N12" s="331">
        <v>0</v>
      </c>
      <c r="O12" s="331">
        <v>0</v>
      </c>
      <c r="P12" s="331">
        <v>10</v>
      </c>
      <c r="Q12" s="331">
        <v>0</v>
      </c>
      <c r="R12" s="331">
        <v>0</v>
      </c>
      <c r="S12" s="331">
        <v>0</v>
      </c>
      <c r="T12" s="331">
        <v>0</v>
      </c>
      <c r="U12" s="331">
        <v>0</v>
      </c>
      <c r="V12" s="331">
        <v>0</v>
      </c>
      <c r="W12" s="331">
        <v>0</v>
      </c>
      <c r="X12" s="331">
        <v>0</v>
      </c>
    </row>
    <row r="13" spans="1:24" x14ac:dyDescent="0.25">
      <c r="A13" t="s">
        <v>35</v>
      </c>
      <c r="B13" s="331">
        <v>0</v>
      </c>
      <c r="C13" s="331">
        <v>0</v>
      </c>
      <c r="D13" s="331">
        <v>0</v>
      </c>
      <c r="E13" s="331">
        <v>0</v>
      </c>
      <c r="F13" s="331">
        <v>0</v>
      </c>
      <c r="G13" s="331">
        <v>0</v>
      </c>
      <c r="H13" s="331">
        <v>0</v>
      </c>
      <c r="I13" s="331">
        <v>0</v>
      </c>
      <c r="J13" s="331">
        <v>0</v>
      </c>
      <c r="K13" s="331">
        <v>0</v>
      </c>
      <c r="L13" s="331">
        <v>0</v>
      </c>
      <c r="M13" s="331">
        <v>0</v>
      </c>
      <c r="N13" s="331">
        <v>0</v>
      </c>
      <c r="O13" s="331">
        <v>0</v>
      </c>
      <c r="P13" s="331">
        <v>13</v>
      </c>
      <c r="Q13" s="331">
        <v>0</v>
      </c>
      <c r="R13" s="331">
        <v>0</v>
      </c>
      <c r="S13" s="331">
        <v>0</v>
      </c>
      <c r="T13" s="331">
        <v>0</v>
      </c>
      <c r="U13" s="331">
        <v>0</v>
      </c>
      <c r="V13" s="331">
        <v>0</v>
      </c>
      <c r="W13" s="331">
        <v>0</v>
      </c>
      <c r="X13" s="331">
        <v>0</v>
      </c>
    </row>
    <row r="14" spans="1:24" x14ac:dyDescent="0.25">
      <c r="A14" t="s">
        <v>36</v>
      </c>
      <c r="B14" s="331">
        <v>0</v>
      </c>
      <c r="C14" s="331">
        <v>0</v>
      </c>
      <c r="D14" s="331">
        <v>0</v>
      </c>
      <c r="E14" s="331">
        <v>800</v>
      </c>
      <c r="F14" s="331">
        <v>0</v>
      </c>
      <c r="G14" s="331">
        <v>0</v>
      </c>
      <c r="H14" s="331">
        <v>0</v>
      </c>
      <c r="I14" s="331">
        <v>0</v>
      </c>
      <c r="J14" s="331">
        <v>0</v>
      </c>
      <c r="K14" s="331">
        <v>0</v>
      </c>
      <c r="L14" s="331">
        <v>0</v>
      </c>
      <c r="M14" s="331">
        <v>0</v>
      </c>
      <c r="N14" s="331">
        <v>0</v>
      </c>
      <c r="O14" s="331">
        <v>0</v>
      </c>
      <c r="P14" s="331">
        <v>0</v>
      </c>
      <c r="Q14" s="331">
        <v>0</v>
      </c>
      <c r="R14" s="331">
        <v>0</v>
      </c>
      <c r="S14" s="331">
        <v>0</v>
      </c>
      <c r="T14" s="331">
        <v>0</v>
      </c>
      <c r="U14" s="331">
        <v>0</v>
      </c>
      <c r="V14" s="331">
        <v>0</v>
      </c>
      <c r="W14" s="331">
        <v>0</v>
      </c>
      <c r="X14" s="331">
        <v>0</v>
      </c>
    </row>
    <row r="15" spans="1:24" x14ac:dyDescent="0.25">
      <c r="A15" t="s">
        <v>37</v>
      </c>
      <c r="B15" s="331">
        <v>0</v>
      </c>
      <c r="C15" s="331">
        <v>0</v>
      </c>
      <c r="D15" s="331">
        <v>0</v>
      </c>
      <c r="E15" s="331">
        <v>400</v>
      </c>
      <c r="F15" s="331">
        <v>0</v>
      </c>
      <c r="G15" s="331">
        <v>0</v>
      </c>
      <c r="H15" s="331">
        <v>0</v>
      </c>
      <c r="I15" s="331">
        <v>0</v>
      </c>
      <c r="J15" s="331">
        <v>0</v>
      </c>
      <c r="K15" s="331">
        <v>0</v>
      </c>
      <c r="L15" s="331">
        <v>0</v>
      </c>
      <c r="M15" s="331">
        <v>0</v>
      </c>
      <c r="N15" s="331">
        <v>0</v>
      </c>
      <c r="O15" s="331">
        <v>0</v>
      </c>
      <c r="P15" s="331">
        <v>0</v>
      </c>
      <c r="Q15" s="331">
        <v>0</v>
      </c>
      <c r="R15" s="331">
        <v>0</v>
      </c>
      <c r="S15" s="331">
        <v>0</v>
      </c>
      <c r="T15" s="331">
        <v>0</v>
      </c>
      <c r="U15" s="331">
        <v>0</v>
      </c>
      <c r="V15" s="331">
        <v>0</v>
      </c>
      <c r="W15" s="331">
        <v>0</v>
      </c>
      <c r="X15" s="331">
        <v>0</v>
      </c>
    </row>
    <row r="16" spans="1:24" x14ac:dyDescent="0.25">
      <c r="A16" t="s">
        <v>38</v>
      </c>
      <c r="B16" s="331">
        <v>0</v>
      </c>
      <c r="C16" s="331">
        <v>0</v>
      </c>
      <c r="D16" s="331">
        <v>0</v>
      </c>
      <c r="E16" s="331">
        <v>800</v>
      </c>
      <c r="F16" s="331">
        <v>0</v>
      </c>
      <c r="G16" s="331">
        <v>0</v>
      </c>
      <c r="H16" s="331">
        <v>0</v>
      </c>
      <c r="I16" s="331">
        <v>0</v>
      </c>
      <c r="J16" s="331">
        <v>0</v>
      </c>
      <c r="K16" s="331">
        <v>0</v>
      </c>
      <c r="L16" s="331">
        <v>0</v>
      </c>
      <c r="M16" s="331">
        <v>0</v>
      </c>
      <c r="N16" s="331">
        <v>0</v>
      </c>
      <c r="O16" s="331">
        <v>0</v>
      </c>
      <c r="P16" s="331">
        <v>0</v>
      </c>
      <c r="Q16" s="331">
        <v>0</v>
      </c>
      <c r="R16" s="331">
        <v>0</v>
      </c>
      <c r="S16" s="331">
        <v>0</v>
      </c>
      <c r="T16" s="331">
        <v>0</v>
      </c>
      <c r="U16" s="331">
        <v>0</v>
      </c>
      <c r="V16" s="331">
        <v>0</v>
      </c>
      <c r="W16" s="331">
        <v>0</v>
      </c>
      <c r="X16" s="331">
        <v>0</v>
      </c>
    </row>
    <row r="17" spans="1:24" x14ac:dyDescent="0.25">
      <c r="A17" t="s">
        <v>39</v>
      </c>
      <c r="B17" s="331">
        <v>0</v>
      </c>
      <c r="C17" s="331">
        <v>0</v>
      </c>
      <c r="D17" s="331">
        <v>0</v>
      </c>
      <c r="E17" s="331">
        <v>0</v>
      </c>
      <c r="F17" s="331">
        <v>0</v>
      </c>
      <c r="G17" s="331">
        <v>0</v>
      </c>
      <c r="H17" s="331">
        <v>0</v>
      </c>
      <c r="I17" s="331">
        <v>0</v>
      </c>
      <c r="J17" s="331">
        <v>0</v>
      </c>
      <c r="K17" s="331">
        <v>0</v>
      </c>
      <c r="L17" s="331">
        <v>0</v>
      </c>
      <c r="M17" s="331">
        <v>0</v>
      </c>
      <c r="N17" s="331">
        <v>0</v>
      </c>
      <c r="O17" s="331">
        <v>0</v>
      </c>
      <c r="P17" s="331">
        <v>0</v>
      </c>
      <c r="Q17" s="331">
        <v>0</v>
      </c>
      <c r="R17" s="331">
        <v>0</v>
      </c>
      <c r="S17" s="331">
        <v>0</v>
      </c>
      <c r="T17" s="331">
        <v>8</v>
      </c>
      <c r="U17" s="331">
        <v>0</v>
      </c>
      <c r="V17" s="331">
        <v>0</v>
      </c>
      <c r="W17" s="331">
        <v>8</v>
      </c>
      <c r="X17" s="331">
        <v>0</v>
      </c>
    </row>
    <row r="18" spans="1:24" x14ac:dyDescent="0.25">
      <c r="A18" t="s">
        <v>40</v>
      </c>
      <c r="B18" s="331">
        <v>11</v>
      </c>
      <c r="C18" s="331">
        <v>0</v>
      </c>
      <c r="D18" s="331">
        <v>0</v>
      </c>
      <c r="E18" s="331">
        <v>0</v>
      </c>
      <c r="F18" s="331">
        <v>0</v>
      </c>
      <c r="G18" s="331">
        <v>4</v>
      </c>
      <c r="H18" s="331">
        <v>0</v>
      </c>
      <c r="I18" s="331">
        <v>7</v>
      </c>
      <c r="J18" s="331">
        <v>2</v>
      </c>
      <c r="K18" s="331">
        <v>0</v>
      </c>
      <c r="L18" s="331">
        <v>1</v>
      </c>
      <c r="M18" s="331">
        <v>1</v>
      </c>
      <c r="N18" s="331">
        <v>7</v>
      </c>
      <c r="O18" s="331">
        <v>0</v>
      </c>
      <c r="P18" s="331">
        <v>0</v>
      </c>
      <c r="Q18" s="331">
        <v>0</v>
      </c>
      <c r="R18" s="331">
        <v>4</v>
      </c>
      <c r="S18" s="331">
        <v>0</v>
      </c>
      <c r="T18" s="331">
        <v>11</v>
      </c>
      <c r="U18" s="331">
        <v>5</v>
      </c>
      <c r="V18" s="331">
        <v>0</v>
      </c>
      <c r="W18" s="331">
        <v>4</v>
      </c>
      <c r="X18" s="331">
        <v>0</v>
      </c>
    </row>
    <row r="19" spans="1:24" x14ac:dyDescent="0.25">
      <c r="A19" t="s">
        <v>41</v>
      </c>
      <c r="B19" s="331">
        <v>0</v>
      </c>
      <c r="C19" s="331">
        <v>0</v>
      </c>
      <c r="D19" s="331">
        <v>0</v>
      </c>
      <c r="E19" s="331">
        <v>0</v>
      </c>
      <c r="F19" s="331">
        <v>0</v>
      </c>
      <c r="G19" s="331">
        <v>19</v>
      </c>
      <c r="H19" s="331">
        <v>0</v>
      </c>
      <c r="I19" s="331">
        <v>0</v>
      </c>
      <c r="J19" s="331">
        <v>4</v>
      </c>
      <c r="K19" s="331">
        <v>0</v>
      </c>
      <c r="L19" s="331">
        <v>0</v>
      </c>
      <c r="M19" s="340">
        <v>4</v>
      </c>
      <c r="N19" s="331">
        <v>0</v>
      </c>
      <c r="O19" s="331">
        <v>0</v>
      </c>
      <c r="P19" s="331">
        <v>90</v>
      </c>
      <c r="Q19" s="331">
        <v>0</v>
      </c>
      <c r="R19" s="331">
        <v>40</v>
      </c>
      <c r="S19" s="331">
        <v>0</v>
      </c>
      <c r="T19" s="331">
        <v>3</v>
      </c>
      <c r="U19" s="331">
        <v>0</v>
      </c>
      <c r="V19" s="331">
        <v>0</v>
      </c>
      <c r="W19" s="331">
        <v>15</v>
      </c>
      <c r="X19" s="331">
        <v>0</v>
      </c>
    </row>
    <row r="20" spans="1:24" x14ac:dyDescent="0.25">
      <c r="A20" t="s">
        <v>42</v>
      </c>
      <c r="B20" s="331">
        <v>0</v>
      </c>
      <c r="C20" s="331">
        <v>0</v>
      </c>
      <c r="D20" s="331">
        <v>1</v>
      </c>
      <c r="E20" s="331">
        <v>0</v>
      </c>
      <c r="F20" s="331">
        <v>0</v>
      </c>
      <c r="G20" s="331">
        <v>5</v>
      </c>
      <c r="H20" s="331">
        <v>0</v>
      </c>
      <c r="I20" s="331">
        <v>3</v>
      </c>
      <c r="J20" s="331">
        <v>7</v>
      </c>
      <c r="K20" s="331">
        <v>0</v>
      </c>
      <c r="L20" s="331">
        <v>0</v>
      </c>
      <c r="M20" s="331">
        <v>0</v>
      </c>
      <c r="N20" s="331">
        <v>0</v>
      </c>
      <c r="O20" s="340">
        <v>1</v>
      </c>
      <c r="P20" s="331">
        <v>162</v>
      </c>
      <c r="Q20" s="331">
        <v>0</v>
      </c>
      <c r="R20" s="331">
        <v>0</v>
      </c>
      <c r="S20" s="331">
        <v>0</v>
      </c>
      <c r="T20" s="331">
        <v>31</v>
      </c>
      <c r="U20" s="331">
        <v>0</v>
      </c>
      <c r="V20" s="331">
        <v>0</v>
      </c>
      <c r="W20" s="331">
        <v>41</v>
      </c>
      <c r="X20" s="331">
        <v>0</v>
      </c>
    </row>
    <row r="21" spans="1:24" x14ac:dyDescent="0.25">
      <c r="A21" t="s">
        <v>43</v>
      </c>
      <c r="B21" s="331">
        <v>4</v>
      </c>
      <c r="C21" s="331">
        <v>3</v>
      </c>
      <c r="D21" s="331">
        <v>0</v>
      </c>
      <c r="E21" s="331">
        <v>0</v>
      </c>
      <c r="F21" s="331">
        <v>0</v>
      </c>
      <c r="G21" s="331">
        <v>9</v>
      </c>
      <c r="H21" s="331">
        <v>0</v>
      </c>
      <c r="I21" s="331">
        <v>0</v>
      </c>
      <c r="J21" s="331">
        <v>0</v>
      </c>
      <c r="K21" s="331">
        <v>0</v>
      </c>
      <c r="L21" s="331">
        <v>0</v>
      </c>
      <c r="M21" s="331">
        <v>0</v>
      </c>
      <c r="N21" s="331">
        <v>0</v>
      </c>
      <c r="O21" s="331">
        <v>0</v>
      </c>
      <c r="P21" s="331">
        <v>0</v>
      </c>
      <c r="Q21" s="331">
        <v>0</v>
      </c>
      <c r="R21" s="331">
        <v>0</v>
      </c>
      <c r="S21" s="331">
        <v>0</v>
      </c>
      <c r="T21" s="331">
        <v>0</v>
      </c>
      <c r="U21" s="331">
        <v>0</v>
      </c>
      <c r="V21" s="331">
        <v>0</v>
      </c>
      <c r="W21" s="331">
        <v>0</v>
      </c>
      <c r="X21" s="331">
        <v>0</v>
      </c>
    </row>
    <row r="22" spans="1:24" x14ac:dyDescent="0.25">
      <c r="A22" t="s">
        <v>44</v>
      </c>
      <c r="B22" s="331">
        <v>0</v>
      </c>
      <c r="C22" s="331">
        <v>0</v>
      </c>
      <c r="D22" s="331">
        <v>0</v>
      </c>
      <c r="E22" s="331">
        <v>0</v>
      </c>
      <c r="F22" s="331">
        <v>0</v>
      </c>
      <c r="G22" s="331">
        <v>0</v>
      </c>
      <c r="H22" s="331">
        <v>0</v>
      </c>
      <c r="I22" s="331">
        <v>0</v>
      </c>
      <c r="J22" s="331">
        <v>0</v>
      </c>
      <c r="K22" s="331">
        <v>0</v>
      </c>
      <c r="L22" s="340">
        <v>35</v>
      </c>
      <c r="M22" s="331">
        <v>0</v>
      </c>
      <c r="N22" s="331">
        <v>0</v>
      </c>
      <c r="O22" s="331">
        <v>0</v>
      </c>
      <c r="P22" s="331">
        <v>0</v>
      </c>
      <c r="Q22" s="331">
        <v>0</v>
      </c>
      <c r="R22" s="331">
        <v>0</v>
      </c>
      <c r="S22" s="331">
        <v>0</v>
      </c>
      <c r="T22" s="331">
        <v>0</v>
      </c>
      <c r="U22" s="331">
        <v>0</v>
      </c>
      <c r="V22" s="331">
        <v>0</v>
      </c>
      <c r="W22" s="331">
        <v>0</v>
      </c>
      <c r="X22" s="331">
        <v>0</v>
      </c>
    </row>
    <row r="23" spans="1:24" x14ac:dyDescent="0.25">
      <c r="A23" t="s">
        <v>45</v>
      </c>
      <c r="B23" s="331">
        <v>0</v>
      </c>
      <c r="C23" s="331">
        <v>0</v>
      </c>
      <c r="D23" s="331">
        <v>0</v>
      </c>
      <c r="E23" s="331">
        <v>0</v>
      </c>
      <c r="F23" s="331">
        <v>0</v>
      </c>
      <c r="G23" s="331">
        <v>1</v>
      </c>
      <c r="H23" s="331">
        <v>0</v>
      </c>
      <c r="I23" s="331">
        <v>0</v>
      </c>
      <c r="J23" s="331">
        <v>0</v>
      </c>
      <c r="K23" s="331">
        <v>0</v>
      </c>
      <c r="L23" s="340">
        <v>1</v>
      </c>
      <c r="M23" s="331">
        <v>0</v>
      </c>
      <c r="N23" s="331">
        <v>1</v>
      </c>
      <c r="O23" s="331">
        <v>0</v>
      </c>
      <c r="P23" s="331">
        <v>0</v>
      </c>
      <c r="Q23" s="331">
        <v>0</v>
      </c>
      <c r="R23" s="331">
        <v>0</v>
      </c>
      <c r="S23" s="331">
        <v>0</v>
      </c>
      <c r="T23" s="331">
        <v>0</v>
      </c>
      <c r="U23" s="331">
        <v>0</v>
      </c>
      <c r="V23" s="331">
        <v>0</v>
      </c>
      <c r="W23" s="331">
        <v>0</v>
      </c>
      <c r="X23" s="331">
        <v>0</v>
      </c>
    </row>
    <row r="24" spans="1:24" x14ac:dyDescent="0.25">
      <c r="A24" t="s">
        <v>46</v>
      </c>
      <c r="B24" s="331">
        <v>0</v>
      </c>
      <c r="C24" s="331">
        <v>0</v>
      </c>
      <c r="D24" s="331">
        <v>0</v>
      </c>
      <c r="E24" s="331">
        <v>0</v>
      </c>
      <c r="F24" s="331">
        <v>0</v>
      </c>
      <c r="G24" s="331">
        <v>0</v>
      </c>
      <c r="H24" s="331">
        <v>0</v>
      </c>
      <c r="I24" s="331">
        <v>0</v>
      </c>
      <c r="J24" s="331">
        <v>0</v>
      </c>
      <c r="K24" s="331">
        <v>0</v>
      </c>
      <c r="L24" s="331">
        <v>0</v>
      </c>
      <c r="M24" s="340">
        <v>14</v>
      </c>
      <c r="N24" s="340">
        <v>6</v>
      </c>
      <c r="O24" s="331">
        <v>0</v>
      </c>
      <c r="P24" s="331">
        <v>1</v>
      </c>
      <c r="Q24" s="331">
        <v>3</v>
      </c>
      <c r="R24" s="331">
        <v>5</v>
      </c>
      <c r="S24" s="331">
        <v>4</v>
      </c>
      <c r="T24" s="331">
        <v>5</v>
      </c>
      <c r="U24" s="331">
        <v>0</v>
      </c>
      <c r="V24" s="331">
        <v>0</v>
      </c>
      <c r="W24" s="331">
        <v>0</v>
      </c>
      <c r="X24" s="331">
        <v>0</v>
      </c>
    </row>
    <row r="25" spans="1:24" x14ac:dyDescent="0.25">
      <c r="A25" t="s">
        <v>47</v>
      </c>
      <c r="B25" s="331">
        <v>17</v>
      </c>
      <c r="C25" s="331">
        <v>0</v>
      </c>
      <c r="D25" s="331">
        <v>-33</v>
      </c>
      <c r="E25" s="331">
        <v>101</v>
      </c>
      <c r="F25" s="331">
        <v>-3</v>
      </c>
      <c r="G25" s="331">
        <v>0</v>
      </c>
      <c r="H25" s="340">
        <v>82</v>
      </c>
      <c r="I25" s="340">
        <v>49</v>
      </c>
      <c r="J25" s="340">
        <v>50</v>
      </c>
      <c r="K25" s="340">
        <v>89</v>
      </c>
      <c r="L25" s="340">
        <v>-1</v>
      </c>
      <c r="M25" s="340">
        <v>69</v>
      </c>
      <c r="N25" s="340">
        <v>1</v>
      </c>
      <c r="O25" s="340">
        <v>20</v>
      </c>
      <c r="P25" s="331">
        <v>0</v>
      </c>
      <c r="Q25" s="331">
        <v>0</v>
      </c>
      <c r="R25" s="331">
        <v>0</v>
      </c>
      <c r="S25" s="331">
        <v>3</v>
      </c>
      <c r="T25" s="331">
        <v>3</v>
      </c>
      <c r="U25" s="331">
        <v>0</v>
      </c>
      <c r="V25" s="331">
        <v>0</v>
      </c>
      <c r="W25" s="331">
        <v>1</v>
      </c>
      <c r="X25" s="331">
        <v>-1</v>
      </c>
    </row>
    <row r="26" spans="1:24" x14ac:dyDescent="0.25">
      <c r="A26" t="s">
        <v>48</v>
      </c>
      <c r="B26" s="331">
        <v>2</v>
      </c>
      <c r="C26" s="331">
        <v>18</v>
      </c>
      <c r="D26" s="331">
        <v>-10</v>
      </c>
      <c r="E26" s="331">
        <v>15</v>
      </c>
      <c r="F26" s="331">
        <v>-1</v>
      </c>
      <c r="G26" s="331">
        <v>-1</v>
      </c>
      <c r="H26" s="340">
        <v>160</v>
      </c>
      <c r="I26" s="340">
        <v>177</v>
      </c>
      <c r="J26" s="340">
        <v>53</v>
      </c>
      <c r="K26" s="340">
        <v>40</v>
      </c>
      <c r="L26" s="340">
        <v>3</v>
      </c>
      <c r="M26" s="340">
        <v>49</v>
      </c>
      <c r="N26" s="340">
        <v>3</v>
      </c>
      <c r="O26" s="340">
        <v>9</v>
      </c>
      <c r="P26" s="331">
        <v>6</v>
      </c>
      <c r="Q26" s="331">
        <v>8</v>
      </c>
      <c r="R26" s="331">
        <v>5</v>
      </c>
      <c r="S26" s="331">
        <v>3</v>
      </c>
      <c r="T26" s="331">
        <v>-1</v>
      </c>
      <c r="U26" s="331">
        <v>2</v>
      </c>
      <c r="V26" s="331">
        <v>-2</v>
      </c>
      <c r="W26" s="331">
        <v>1</v>
      </c>
      <c r="X26" s="331">
        <v>1</v>
      </c>
    </row>
    <row r="27" spans="1:24" x14ac:dyDescent="0.25">
      <c r="A27" t="s">
        <v>49</v>
      </c>
      <c r="B27" s="331">
        <v>0</v>
      </c>
      <c r="C27" s="331">
        <v>0</v>
      </c>
      <c r="D27" s="331">
        <v>0</v>
      </c>
      <c r="E27" s="331">
        <v>0</v>
      </c>
      <c r="F27" s="331">
        <v>0</v>
      </c>
      <c r="G27" s="331">
        <v>0</v>
      </c>
      <c r="H27" s="340">
        <v>46</v>
      </c>
      <c r="I27" s="340">
        <v>22</v>
      </c>
      <c r="J27" s="340">
        <v>49</v>
      </c>
      <c r="K27" s="340">
        <v>55</v>
      </c>
      <c r="L27" s="340">
        <v>69</v>
      </c>
      <c r="M27" s="340">
        <v>14</v>
      </c>
      <c r="N27" s="340">
        <v>0</v>
      </c>
      <c r="O27" s="340">
        <v>22</v>
      </c>
      <c r="P27" s="331">
        <v>0</v>
      </c>
      <c r="Q27" s="331">
        <v>0</v>
      </c>
      <c r="R27" s="331">
        <v>1</v>
      </c>
      <c r="S27" s="331">
        <v>4</v>
      </c>
      <c r="T27" s="331">
        <v>-5</v>
      </c>
      <c r="U27" s="331">
        <v>2</v>
      </c>
      <c r="V27" s="331">
        <v>-1</v>
      </c>
      <c r="W27" s="331">
        <v>0</v>
      </c>
      <c r="X27" s="331">
        <v>0</v>
      </c>
    </row>
    <row r="28" spans="1:24" x14ac:dyDescent="0.25">
      <c r="A28" t="s">
        <v>50</v>
      </c>
      <c r="B28" s="331">
        <v>0</v>
      </c>
      <c r="C28" s="331">
        <v>1</v>
      </c>
      <c r="D28" s="331">
        <v>3</v>
      </c>
      <c r="E28" s="331">
        <v>-1</v>
      </c>
      <c r="F28" s="331">
        <v>-2</v>
      </c>
      <c r="G28" s="331">
        <v>7</v>
      </c>
      <c r="H28" s="340">
        <v>7</v>
      </c>
      <c r="I28" s="340">
        <v>20</v>
      </c>
      <c r="J28" s="340">
        <v>54</v>
      </c>
      <c r="K28" s="340">
        <v>1</v>
      </c>
      <c r="L28" s="340">
        <v>6</v>
      </c>
      <c r="M28" s="340">
        <v>12</v>
      </c>
      <c r="N28" s="340">
        <v>5</v>
      </c>
      <c r="O28" s="340">
        <v>94</v>
      </c>
      <c r="P28" s="331">
        <v>4</v>
      </c>
      <c r="Q28" s="331">
        <v>0</v>
      </c>
      <c r="R28" s="331">
        <v>0</v>
      </c>
      <c r="S28" s="331">
        <v>-2</v>
      </c>
      <c r="T28" s="331">
        <v>-4</v>
      </c>
      <c r="U28" s="331">
        <v>1</v>
      </c>
      <c r="V28" s="331">
        <v>0</v>
      </c>
      <c r="W28" s="331">
        <v>3</v>
      </c>
      <c r="X28" s="331">
        <v>1</v>
      </c>
    </row>
    <row r="29" spans="1:24" x14ac:dyDescent="0.25">
      <c r="A29" t="s">
        <v>51</v>
      </c>
      <c r="B29" s="331">
        <v>0</v>
      </c>
      <c r="C29" s="331">
        <v>0</v>
      </c>
      <c r="D29" s="331">
        <v>0</v>
      </c>
      <c r="E29" s="331">
        <v>0</v>
      </c>
      <c r="F29" s="331">
        <v>0</v>
      </c>
      <c r="G29" s="331">
        <v>0</v>
      </c>
      <c r="H29" s="331">
        <v>0</v>
      </c>
      <c r="I29" s="331">
        <v>0</v>
      </c>
      <c r="J29" s="331">
        <v>0</v>
      </c>
      <c r="K29" s="331">
        <v>0</v>
      </c>
      <c r="L29" s="331">
        <v>0</v>
      </c>
      <c r="M29" s="331">
        <v>1</v>
      </c>
      <c r="N29" s="331">
        <v>1</v>
      </c>
      <c r="O29" s="331">
        <v>0</v>
      </c>
      <c r="P29" s="331">
        <v>0</v>
      </c>
      <c r="Q29" s="331">
        <v>0</v>
      </c>
      <c r="R29" s="331">
        <v>1</v>
      </c>
      <c r="S29" s="331">
        <v>0</v>
      </c>
      <c r="T29" s="331">
        <v>0</v>
      </c>
      <c r="U29" s="331">
        <v>0</v>
      </c>
      <c r="V29" s="331">
        <v>0</v>
      </c>
      <c r="W29" s="331">
        <v>0</v>
      </c>
      <c r="X29" s="331">
        <v>0</v>
      </c>
    </row>
    <row r="30" spans="1:24" x14ac:dyDescent="0.25">
      <c r="A30" t="s">
        <v>52</v>
      </c>
      <c r="B30" s="331">
        <v>1</v>
      </c>
      <c r="C30" s="331">
        <v>0</v>
      </c>
      <c r="D30" s="331">
        <v>0</v>
      </c>
      <c r="E30" s="331">
        <v>0</v>
      </c>
      <c r="F30" s="331">
        <v>0</v>
      </c>
      <c r="G30" s="331">
        <v>0</v>
      </c>
      <c r="H30" s="331">
        <v>0</v>
      </c>
      <c r="I30" s="331">
        <v>0</v>
      </c>
      <c r="J30" s="331">
        <v>0</v>
      </c>
      <c r="K30" s="331">
        <v>0</v>
      </c>
      <c r="L30" s="331">
        <v>0</v>
      </c>
      <c r="M30" s="331">
        <v>0</v>
      </c>
      <c r="N30" s="331">
        <v>0</v>
      </c>
      <c r="O30" s="331">
        <v>0</v>
      </c>
      <c r="P30" s="331">
        <v>0</v>
      </c>
      <c r="Q30" s="331">
        <v>0</v>
      </c>
      <c r="R30" s="331">
        <v>0</v>
      </c>
      <c r="S30" s="331">
        <v>0</v>
      </c>
      <c r="T30" s="331">
        <v>0</v>
      </c>
      <c r="U30" s="331">
        <v>0</v>
      </c>
      <c r="V30" s="331">
        <v>0</v>
      </c>
      <c r="W30" s="331">
        <v>0</v>
      </c>
      <c r="X30" s="331">
        <v>0</v>
      </c>
    </row>
    <row r="31" spans="1:24" x14ac:dyDescent="0.25">
      <c r="A31" t="s">
        <v>53</v>
      </c>
      <c r="B31" s="331">
        <v>300</v>
      </c>
      <c r="C31" s="331">
        <v>50</v>
      </c>
      <c r="D31" s="331">
        <v>0</v>
      </c>
      <c r="E31" s="331">
        <v>100</v>
      </c>
      <c r="F31" s="331">
        <v>50</v>
      </c>
      <c r="G31" s="331">
        <v>0</v>
      </c>
      <c r="H31" s="331">
        <v>100</v>
      </c>
      <c r="I31" s="331">
        <v>100</v>
      </c>
      <c r="J31" s="331">
        <v>0</v>
      </c>
      <c r="K31" s="331">
        <v>50</v>
      </c>
      <c r="L31" s="331">
        <v>0</v>
      </c>
      <c r="M31" s="331">
        <v>0</v>
      </c>
      <c r="N31" s="331">
        <v>0</v>
      </c>
      <c r="O31" s="331">
        <v>0</v>
      </c>
      <c r="P31" s="331">
        <v>0</v>
      </c>
      <c r="Q31" s="331">
        <v>50</v>
      </c>
      <c r="R31" s="331">
        <v>50</v>
      </c>
      <c r="S31" s="331">
        <v>50</v>
      </c>
      <c r="T31" s="331">
        <v>100</v>
      </c>
      <c r="U31" s="331">
        <v>50</v>
      </c>
      <c r="V31" s="331">
        <v>50</v>
      </c>
      <c r="W31" s="331">
        <v>0</v>
      </c>
      <c r="X31" s="331">
        <v>100</v>
      </c>
    </row>
    <row r="32" spans="1:24" x14ac:dyDescent="0.25">
      <c r="A32" s="332" t="s">
        <v>54</v>
      </c>
      <c r="B32" s="333">
        <v>1276</v>
      </c>
      <c r="C32" s="333">
        <v>766</v>
      </c>
      <c r="D32" s="333">
        <v>246</v>
      </c>
      <c r="E32" s="333">
        <v>2542</v>
      </c>
      <c r="F32" s="333">
        <v>285</v>
      </c>
      <c r="G32" s="333">
        <v>347</v>
      </c>
      <c r="H32" s="333">
        <v>1712</v>
      </c>
      <c r="I32" s="333">
        <v>1545</v>
      </c>
      <c r="J32" s="333">
        <v>792</v>
      </c>
      <c r="K32" s="333">
        <v>1275</v>
      </c>
      <c r="L32" s="333">
        <v>672</v>
      </c>
      <c r="M32" s="333">
        <v>788</v>
      </c>
      <c r="N32" s="333">
        <v>664</v>
      </c>
      <c r="O32" s="333">
        <v>555</v>
      </c>
      <c r="P32" s="333">
        <v>580</v>
      </c>
      <c r="Q32" s="333">
        <v>696</v>
      </c>
      <c r="R32" s="333">
        <v>901</v>
      </c>
      <c r="S32" s="333">
        <v>629</v>
      </c>
      <c r="T32" s="333">
        <v>954</v>
      </c>
      <c r="U32" s="333">
        <v>264</v>
      </c>
      <c r="V32" s="333">
        <v>400</v>
      </c>
      <c r="W32" s="333">
        <v>369</v>
      </c>
      <c r="X32" s="333">
        <v>280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0"/>
  <dimension ref="A1:K82"/>
  <sheetViews>
    <sheetView workbookViewId="0">
      <selection activeCell="S21" sqref="S21"/>
    </sheetView>
  </sheetViews>
  <sheetFormatPr defaultRowHeight="15" x14ac:dyDescent="0.25"/>
  <cols>
    <col min="1" max="1" width="60.85546875" style="325" customWidth="1"/>
    <col min="2" max="8" width="7.28515625" style="325" hidden="1" customWidth="1"/>
    <col min="9" max="11" width="7.28515625" style="325" customWidth="1"/>
  </cols>
  <sheetData>
    <row r="1" spans="1:11" x14ac:dyDescent="0.25">
      <c r="A1" s="297" t="s">
        <v>0</v>
      </c>
      <c r="B1" s="298">
        <v>14356</v>
      </c>
      <c r="C1" s="298">
        <v>24790</v>
      </c>
      <c r="D1" s="298">
        <v>23614</v>
      </c>
      <c r="E1" s="298">
        <v>23343</v>
      </c>
      <c r="F1" s="298">
        <v>24119</v>
      </c>
      <c r="G1" s="299">
        <v>23280</v>
      </c>
      <c r="H1" s="299">
        <v>22851</v>
      </c>
      <c r="I1" s="300">
        <v>23091</v>
      </c>
      <c r="J1" s="300">
        <v>22838</v>
      </c>
      <c r="K1" s="300">
        <v>24137</v>
      </c>
    </row>
    <row r="2" spans="1:11" x14ac:dyDescent="0.25">
      <c r="A2" s="301" t="s">
        <v>55</v>
      </c>
      <c r="B2" s="302">
        <v>0</v>
      </c>
      <c r="C2" s="302">
        <v>79</v>
      </c>
      <c r="D2" s="302">
        <v>106</v>
      </c>
      <c r="E2" s="302">
        <v>190</v>
      </c>
      <c r="F2" s="302">
        <v>0</v>
      </c>
      <c r="G2" s="418">
        <v>12</v>
      </c>
      <c r="H2" s="302">
        <v>0</v>
      </c>
      <c r="I2" s="418">
        <v>147</v>
      </c>
      <c r="J2" s="418">
        <v>153</v>
      </c>
      <c r="K2" s="418">
        <v>40</v>
      </c>
    </row>
    <row r="3" spans="1:11" x14ac:dyDescent="0.25">
      <c r="A3" s="303" t="s">
        <v>36</v>
      </c>
      <c r="B3" s="304">
        <v>0</v>
      </c>
      <c r="C3" s="304">
        <v>126</v>
      </c>
      <c r="D3" s="304">
        <v>561</v>
      </c>
      <c r="E3" s="304">
        <v>200</v>
      </c>
      <c r="F3" s="304">
        <v>200</v>
      </c>
      <c r="G3" s="418">
        <v>354</v>
      </c>
      <c r="H3" s="304">
        <v>0</v>
      </c>
      <c r="I3" s="304">
        <v>0</v>
      </c>
      <c r="J3" s="418">
        <v>252</v>
      </c>
      <c r="K3" s="304">
        <v>0</v>
      </c>
    </row>
    <row r="4" spans="1:11" x14ac:dyDescent="0.25">
      <c r="A4" s="301" t="s">
        <v>37</v>
      </c>
      <c r="B4" s="302">
        <v>0</v>
      </c>
      <c r="C4" s="302">
        <v>132</v>
      </c>
      <c r="D4" s="302">
        <v>370</v>
      </c>
      <c r="E4" s="302">
        <v>200</v>
      </c>
      <c r="F4" s="302">
        <v>200</v>
      </c>
      <c r="G4" s="418">
        <v>0</v>
      </c>
      <c r="H4" s="302">
        <v>0</v>
      </c>
      <c r="I4" s="302">
        <v>0</v>
      </c>
      <c r="J4" s="418">
        <v>395</v>
      </c>
      <c r="K4" s="302">
        <v>0</v>
      </c>
    </row>
    <row r="5" spans="1:11" x14ac:dyDescent="0.25">
      <c r="A5" s="303" t="s">
        <v>56</v>
      </c>
      <c r="B5" s="304">
        <v>0</v>
      </c>
      <c r="C5" s="304">
        <v>0</v>
      </c>
      <c r="D5" s="304">
        <v>4</v>
      </c>
      <c r="E5" s="304">
        <v>23</v>
      </c>
      <c r="F5" s="304">
        <v>0</v>
      </c>
      <c r="G5" s="304">
        <v>0</v>
      </c>
      <c r="H5" s="304">
        <v>0</v>
      </c>
      <c r="I5" s="304">
        <v>0</v>
      </c>
      <c r="J5" s="304">
        <v>0</v>
      </c>
      <c r="K5" s="304">
        <v>0</v>
      </c>
    </row>
    <row r="6" spans="1:11" x14ac:dyDescent="0.25">
      <c r="A6" s="301" t="s">
        <v>57</v>
      </c>
      <c r="B6" s="302">
        <v>0</v>
      </c>
      <c r="C6" s="302">
        <v>3</v>
      </c>
      <c r="D6" s="302">
        <v>6</v>
      </c>
      <c r="E6" s="302">
        <v>11</v>
      </c>
      <c r="F6" s="302">
        <v>0</v>
      </c>
      <c r="G6" s="302">
        <v>0</v>
      </c>
      <c r="H6" s="302">
        <v>0</v>
      </c>
      <c r="I6" s="302">
        <v>0</v>
      </c>
      <c r="J6" s="302">
        <v>0</v>
      </c>
      <c r="K6" s="302">
        <v>0</v>
      </c>
    </row>
    <row r="7" spans="1:11" x14ac:dyDescent="0.25">
      <c r="A7" s="303" t="s">
        <v>58</v>
      </c>
      <c r="B7" s="304">
        <v>0</v>
      </c>
      <c r="C7" s="304">
        <v>0</v>
      </c>
      <c r="D7" s="304">
        <v>10</v>
      </c>
      <c r="E7" s="304">
        <v>28</v>
      </c>
      <c r="F7" s="304">
        <v>0</v>
      </c>
      <c r="G7" s="304">
        <v>0</v>
      </c>
      <c r="H7" s="304">
        <v>0</v>
      </c>
      <c r="I7" s="304">
        <v>0</v>
      </c>
      <c r="J7" s="418">
        <v>9</v>
      </c>
      <c r="K7" s="304">
        <v>0</v>
      </c>
    </row>
    <row r="8" spans="1:11" x14ac:dyDescent="0.25">
      <c r="A8" s="301" t="s">
        <v>38</v>
      </c>
      <c r="B8" s="302">
        <v>0</v>
      </c>
      <c r="C8" s="302">
        <v>0</v>
      </c>
      <c r="D8" s="302">
        <v>0</v>
      </c>
      <c r="E8" s="302">
        <v>0</v>
      </c>
      <c r="F8" s="302">
        <v>0</v>
      </c>
      <c r="G8" s="418">
        <v>9</v>
      </c>
      <c r="H8" s="418">
        <v>140</v>
      </c>
      <c r="I8" s="302">
        <v>0</v>
      </c>
      <c r="J8" s="302">
        <v>0</v>
      </c>
      <c r="K8" s="418">
        <v>38</v>
      </c>
    </row>
    <row r="9" spans="1:11" x14ac:dyDescent="0.25">
      <c r="A9" s="303" t="s">
        <v>59</v>
      </c>
      <c r="B9" s="304">
        <v>0</v>
      </c>
      <c r="C9" s="304">
        <v>42</v>
      </c>
      <c r="D9" s="304">
        <v>24</v>
      </c>
      <c r="E9" s="304">
        <v>8</v>
      </c>
      <c r="F9" s="304">
        <v>12</v>
      </c>
      <c r="G9" s="304">
        <v>0</v>
      </c>
      <c r="H9" s="304">
        <v>0</v>
      </c>
      <c r="I9" s="304">
        <v>0</v>
      </c>
      <c r="J9" s="304">
        <v>0</v>
      </c>
      <c r="K9" s="304">
        <v>0</v>
      </c>
    </row>
    <row r="10" spans="1:11" x14ac:dyDescent="0.25">
      <c r="A10" s="301" t="s">
        <v>60</v>
      </c>
      <c r="B10" s="302">
        <v>0</v>
      </c>
      <c r="C10" s="302">
        <v>38</v>
      </c>
      <c r="D10" s="302">
        <v>58</v>
      </c>
      <c r="E10" s="302">
        <v>1</v>
      </c>
      <c r="F10" s="302">
        <v>33</v>
      </c>
      <c r="G10" s="418">
        <v>0</v>
      </c>
      <c r="H10" s="302">
        <v>0</v>
      </c>
      <c r="I10" s="302">
        <v>0</v>
      </c>
      <c r="J10" s="302">
        <v>0</v>
      </c>
      <c r="K10" s="302">
        <v>0</v>
      </c>
    </row>
    <row r="11" spans="1:11" x14ac:dyDescent="0.25">
      <c r="A11" s="303" t="s">
        <v>61</v>
      </c>
      <c r="B11" s="304">
        <v>0</v>
      </c>
      <c r="C11" s="304">
        <v>0</v>
      </c>
      <c r="D11" s="304">
        <v>0</v>
      </c>
      <c r="E11" s="304">
        <v>23</v>
      </c>
      <c r="F11" s="304">
        <v>0</v>
      </c>
      <c r="G11" s="304">
        <v>0</v>
      </c>
      <c r="H11" s="304">
        <v>0</v>
      </c>
      <c r="I11" s="304">
        <v>0</v>
      </c>
      <c r="J11" s="304">
        <v>0</v>
      </c>
      <c r="K11" s="304">
        <v>0</v>
      </c>
    </row>
    <row r="12" spans="1:11" x14ac:dyDescent="0.25">
      <c r="A12" s="301" t="s">
        <v>62</v>
      </c>
      <c r="B12" s="302">
        <v>0</v>
      </c>
      <c r="C12" s="302">
        <v>0</v>
      </c>
      <c r="D12" s="302">
        <v>0</v>
      </c>
      <c r="E12" s="302">
        <v>15</v>
      </c>
      <c r="F12" s="302">
        <v>0</v>
      </c>
      <c r="G12" s="418">
        <v>9</v>
      </c>
      <c r="H12" s="302">
        <v>0</v>
      </c>
      <c r="I12" s="302">
        <v>0</v>
      </c>
      <c r="J12" s="418">
        <v>1</v>
      </c>
      <c r="K12" s="302">
        <v>0</v>
      </c>
    </row>
    <row r="13" spans="1:11" x14ac:dyDescent="0.25">
      <c r="A13" s="303" t="s">
        <v>63</v>
      </c>
      <c r="B13" s="304">
        <v>0</v>
      </c>
      <c r="C13" s="304">
        <v>63</v>
      </c>
      <c r="D13" s="304">
        <v>42</v>
      </c>
      <c r="E13" s="304">
        <v>0</v>
      </c>
      <c r="F13" s="304">
        <v>0</v>
      </c>
      <c r="G13" s="304">
        <v>0</v>
      </c>
      <c r="H13" s="304">
        <v>0</v>
      </c>
      <c r="I13" s="304">
        <v>0</v>
      </c>
      <c r="J13" s="304">
        <v>0</v>
      </c>
      <c r="K13" s="304">
        <v>0</v>
      </c>
    </row>
    <row r="14" spans="1:11" x14ac:dyDescent="0.25">
      <c r="A14" s="301" t="s">
        <v>24</v>
      </c>
      <c r="B14" s="302">
        <v>0</v>
      </c>
      <c r="C14" s="302">
        <v>0</v>
      </c>
      <c r="D14" s="302">
        <v>0</v>
      </c>
      <c r="E14" s="302">
        <v>0</v>
      </c>
      <c r="F14" s="302">
        <v>0</v>
      </c>
      <c r="G14" s="418">
        <v>125</v>
      </c>
      <c r="H14" s="418">
        <v>104</v>
      </c>
      <c r="I14" s="418">
        <v>100</v>
      </c>
      <c r="J14" s="302">
        <v>0</v>
      </c>
      <c r="K14" s="302">
        <v>0</v>
      </c>
    </row>
    <row r="15" spans="1:11" x14ac:dyDescent="0.25">
      <c r="A15" s="303" t="s">
        <v>64</v>
      </c>
      <c r="B15" s="304">
        <v>0</v>
      </c>
      <c r="C15" s="304">
        <v>0</v>
      </c>
      <c r="D15" s="304">
        <v>4</v>
      </c>
      <c r="E15" s="304">
        <v>0</v>
      </c>
      <c r="F15" s="304">
        <v>0</v>
      </c>
      <c r="G15" s="304">
        <v>0</v>
      </c>
      <c r="H15" s="304">
        <v>0</v>
      </c>
      <c r="I15" s="304">
        <v>0</v>
      </c>
      <c r="J15" s="304">
        <v>0</v>
      </c>
      <c r="K15" s="418">
        <v>5</v>
      </c>
    </row>
    <row r="16" spans="1:11" x14ac:dyDescent="0.25">
      <c r="A16" s="301" t="s">
        <v>26</v>
      </c>
      <c r="B16" s="302">
        <v>0</v>
      </c>
      <c r="C16" s="302">
        <v>0</v>
      </c>
      <c r="D16" s="302">
        <v>0</v>
      </c>
      <c r="E16" s="302">
        <v>0</v>
      </c>
      <c r="F16" s="302">
        <v>0</v>
      </c>
      <c r="G16" s="418">
        <v>45</v>
      </c>
      <c r="H16" s="302">
        <v>0</v>
      </c>
      <c r="I16" s="418">
        <v>48</v>
      </c>
      <c r="J16" s="418">
        <v>73</v>
      </c>
      <c r="K16" s="302">
        <v>0</v>
      </c>
    </row>
    <row r="17" spans="1:11" x14ac:dyDescent="0.25">
      <c r="A17" s="303" t="s">
        <v>65</v>
      </c>
      <c r="B17" s="304">
        <v>0</v>
      </c>
      <c r="C17" s="304">
        <v>0</v>
      </c>
      <c r="D17" s="304">
        <v>0</v>
      </c>
      <c r="E17" s="304">
        <v>0</v>
      </c>
      <c r="F17" s="304">
        <v>0</v>
      </c>
      <c r="G17" s="418">
        <v>0</v>
      </c>
      <c r="H17" s="304">
        <v>0</v>
      </c>
      <c r="I17" s="304">
        <v>0</v>
      </c>
      <c r="J17" s="304">
        <v>0</v>
      </c>
      <c r="K17" s="418">
        <v>2</v>
      </c>
    </row>
    <row r="18" spans="1:11" x14ac:dyDescent="0.25">
      <c r="A18" s="301" t="s">
        <v>66</v>
      </c>
      <c r="B18" s="302">
        <v>0</v>
      </c>
      <c r="C18" s="302">
        <v>0</v>
      </c>
      <c r="D18" s="302">
        <v>0</v>
      </c>
      <c r="E18" s="302">
        <v>0</v>
      </c>
      <c r="F18" s="302">
        <v>0</v>
      </c>
      <c r="G18" s="418">
        <v>23</v>
      </c>
      <c r="H18" s="302">
        <v>0</v>
      </c>
      <c r="I18" s="302">
        <v>0</v>
      </c>
      <c r="J18" s="418">
        <v>8</v>
      </c>
      <c r="K18" s="302">
        <v>0</v>
      </c>
    </row>
    <row r="19" spans="1:11" x14ac:dyDescent="0.25">
      <c r="A19" s="303" t="s">
        <v>67</v>
      </c>
      <c r="B19" s="304">
        <v>0</v>
      </c>
      <c r="C19" s="304">
        <v>4</v>
      </c>
      <c r="D19" s="304">
        <v>12</v>
      </c>
      <c r="E19" s="304">
        <v>23</v>
      </c>
      <c r="F19" s="304">
        <v>0</v>
      </c>
      <c r="G19" s="418">
        <v>38</v>
      </c>
      <c r="H19" s="418">
        <v>3</v>
      </c>
      <c r="I19" s="418">
        <v>116</v>
      </c>
      <c r="J19" s="418">
        <v>0</v>
      </c>
      <c r="K19" s="418">
        <v>2</v>
      </c>
    </row>
    <row r="20" spans="1:11" x14ac:dyDescent="0.25">
      <c r="A20" s="301" t="s">
        <v>68</v>
      </c>
      <c r="B20" s="302">
        <v>0</v>
      </c>
      <c r="C20" s="302">
        <v>9</v>
      </c>
      <c r="D20" s="302">
        <v>19</v>
      </c>
      <c r="E20" s="302">
        <v>11</v>
      </c>
      <c r="F20" s="302">
        <v>0</v>
      </c>
      <c r="G20" s="418">
        <v>18</v>
      </c>
      <c r="H20" s="418">
        <v>12</v>
      </c>
      <c r="I20" s="418">
        <v>79</v>
      </c>
      <c r="J20" s="418">
        <v>0</v>
      </c>
      <c r="K20" s="418">
        <v>0</v>
      </c>
    </row>
    <row r="21" spans="1:11" x14ac:dyDescent="0.25">
      <c r="A21" s="303" t="s">
        <v>69</v>
      </c>
      <c r="B21" s="304">
        <v>0</v>
      </c>
      <c r="C21" s="304">
        <v>7</v>
      </c>
      <c r="D21" s="304">
        <v>13</v>
      </c>
      <c r="E21" s="304">
        <v>18</v>
      </c>
      <c r="F21" s="304">
        <v>0</v>
      </c>
      <c r="G21" s="418">
        <v>0</v>
      </c>
      <c r="H21" s="418">
        <v>0</v>
      </c>
      <c r="I21" s="418">
        <v>7</v>
      </c>
      <c r="J21" s="418">
        <v>0</v>
      </c>
      <c r="K21" s="418">
        <v>3</v>
      </c>
    </row>
    <row r="22" spans="1:11" x14ac:dyDescent="0.25">
      <c r="A22" s="301" t="s">
        <v>70</v>
      </c>
      <c r="B22" s="302">
        <v>0</v>
      </c>
      <c r="C22" s="302">
        <v>19</v>
      </c>
      <c r="D22" s="302">
        <v>57</v>
      </c>
      <c r="E22" s="302">
        <v>16</v>
      </c>
      <c r="F22" s="302">
        <v>5</v>
      </c>
      <c r="G22" s="418">
        <v>46</v>
      </c>
      <c r="H22" s="418">
        <v>81</v>
      </c>
      <c r="I22" s="418">
        <v>39</v>
      </c>
      <c r="J22" s="418">
        <v>21</v>
      </c>
      <c r="K22" s="418">
        <v>6</v>
      </c>
    </row>
    <row r="23" spans="1:11" x14ac:dyDescent="0.25">
      <c r="A23" s="303" t="s">
        <v>71</v>
      </c>
      <c r="B23" s="304">
        <v>0</v>
      </c>
      <c r="C23" s="304">
        <v>9</v>
      </c>
      <c r="D23" s="304">
        <v>32</v>
      </c>
      <c r="E23" s="304">
        <v>23</v>
      </c>
      <c r="F23" s="304">
        <v>2</v>
      </c>
      <c r="G23" s="418">
        <v>3</v>
      </c>
      <c r="H23" s="418">
        <v>86</v>
      </c>
      <c r="I23" s="418">
        <v>46</v>
      </c>
      <c r="J23" s="418">
        <v>1</v>
      </c>
      <c r="K23" s="418">
        <v>6</v>
      </c>
    </row>
    <row r="24" spans="1:11" x14ac:dyDescent="0.25">
      <c r="A24" s="301" t="s">
        <v>72</v>
      </c>
      <c r="B24" s="302">
        <v>0</v>
      </c>
      <c r="C24" s="302">
        <v>15</v>
      </c>
      <c r="D24" s="302">
        <v>48</v>
      </c>
      <c r="E24" s="302">
        <v>6</v>
      </c>
      <c r="F24" s="302">
        <v>3</v>
      </c>
      <c r="G24" s="418">
        <v>44</v>
      </c>
      <c r="H24" s="418">
        <v>40</v>
      </c>
      <c r="I24" s="418">
        <v>19</v>
      </c>
      <c r="J24" s="418">
        <v>28</v>
      </c>
      <c r="K24" s="418">
        <v>9</v>
      </c>
    </row>
    <row r="25" spans="1:11" x14ac:dyDescent="0.25">
      <c r="A25" s="303" t="s">
        <v>73</v>
      </c>
      <c r="B25" s="304">
        <v>0</v>
      </c>
      <c r="C25" s="304">
        <v>0</v>
      </c>
      <c r="D25" s="304">
        <v>0</v>
      </c>
      <c r="E25" s="304">
        <v>0</v>
      </c>
      <c r="F25" s="304">
        <v>0</v>
      </c>
      <c r="G25" s="304">
        <v>0</v>
      </c>
      <c r="H25" s="304">
        <v>0</v>
      </c>
      <c r="I25" s="304">
        <v>0</v>
      </c>
      <c r="J25" s="304">
        <v>2</v>
      </c>
      <c r="K25" s="304">
        <v>0</v>
      </c>
    </row>
    <row r="26" spans="1:11" x14ac:dyDescent="0.25">
      <c r="A26" s="301" t="s">
        <v>74</v>
      </c>
      <c r="B26" s="302">
        <v>0</v>
      </c>
      <c r="C26" s="302">
        <v>0</v>
      </c>
      <c r="D26" s="302">
        <v>0</v>
      </c>
      <c r="E26" s="302">
        <v>0</v>
      </c>
      <c r="F26" s="302">
        <v>0</v>
      </c>
      <c r="G26" s="418">
        <v>9</v>
      </c>
      <c r="H26" s="302">
        <v>0</v>
      </c>
      <c r="I26" s="302">
        <v>0</v>
      </c>
      <c r="J26" s="418">
        <v>1</v>
      </c>
      <c r="K26" s="302">
        <v>0</v>
      </c>
    </row>
    <row r="27" spans="1:11" x14ac:dyDescent="0.25">
      <c r="A27" s="303" t="s">
        <v>75</v>
      </c>
      <c r="B27" s="304">
        <v>0</v>
      </c>
      <c r="C27" s="304">
        <v>0</v>
      </c>
      <c r="D27" s="304">
        <v>0</v>
      </c>
      <c r="E27" s="304">
        <v>4</v>
      </c>
      <c r="F27" s="304">
        <v>5</v>
      </c>
      <c r="G27" s="418">
        <v>73</v>
      </c>
      <c r="H27" s="418">
        <v>18</v>
      </c>
      <c r="I27" s="304">
        <v>0</v>
      </c>
      <c r="J27" s="418">
        <v>10</v>
      </c>
      <c r="K27" s="418">
        <v>17</v>
      </c>
    </row>
    <row r="28" spans="1:11" x14ac:dyDescent="0.25">
      <c r="A28" s="301" t="s">
        <v>76</v>
      </c>
      <c r="B28" s="302">
        <v>0</v>
      </c>
      <c r="C28" s="302">
        <v>0</v>
      </c>
      <c r="D28" s="302">
        <v>0</v>
      </c>
      <c r="E28" s="302">
        <v>0</v>
      </c>
      <c r="F28" s="302">
        <v>0</v>
      </c>
      <c r="G28" s="418">
        <v>20</v>
      </c>
      <c r="H28" s="302">
        <v>0</v>
      </c>
      <c r="I28" s="418">
        <v>0</v>
      </c>
      <c r="J28" s="418">
        <v>0</v>
      </c>
      <c r="K28" s="302">
        <v>0</v>
      </c>
    </row>
    <row r="29" spans="1:11" x14ac:dyDescent="0.25">
      <c r="A29" s="303" t="s">
        <v>77</v>
      </c>
      <c r="B29" s="304">
        <v>0</v>
      </c>
      <c r="C29" s="304">
        <v>0</v>
      </c>
      <c r="D29" s="304">
        <v>0</v>
      </c>
      <c r="E29" s="304">
        <v>20</v>
      </c>
      <c r="F29" s="304">
        <v>0</v>
      </c>
      <c r="G29" s="418">
        <v>94</v>
      </c>
      <c r="H29" s="418">
        <v>15</v>
      </c>
      <c r="I29" s="418">
        <v>2</v>
      </c>
      <c r="J29" s="418">
        <v>20</v>
      </c>
      <c r="K29" s="304">
        <v>0</v>
      </c>
    </row>
    <row r="30" spans="1:11" x14ac:dyDescent="0.25">
      <c r="A30" s="301" t="s">
        <v>78</v>
      </c>
      <c r="B30" s="302">
        <v>0</v>
      </c>
      <c r="C30" s="302">
        <v>0</v>
      </c>
      <c r="D30" s="302">
        <v>0</v>
      </c>
      <c r="E30" s="302">
        <v>10</v>
      </c>
      <c r="F30" s="302">
        <v>0</v>
      </c>
      <c r="G30" s="418">
        <v>40</v>
      </c>
      <c r="H30" s="418">
        <v>12</v>
      </c>
      <c r="I30" s="418">
        <v>22</v>
      </c>
      <c r="J30" s="302">
        <v>0</v>
      </c>
      <c r="K30" s="418">
        <v>9</v>
      </c>
    </row>
    <row r="31" spans="1:11" x14ac:dyDescent="0.25">
      <c r="A31" s="419" t="s">
        <v>79</v>
      </c>
      <c r="B31" s="420">
        <v>0</v>
      </c>
      <c r="C31" s="420">
        <v>0</v>
      </c>
      <c r="D31" s="420">
        <v>0</v>
      </c>
      <c r="E31" s="420">
        <v>127</v>
      </c>
      <c r="F31" s="420">
        <v>0</v>
      </c>
      <c r="G31" s="420">
        <v>0</v>
      </c>
      <c r="H31" s="420">
        <v>0</v>
      </c>
      <c r="I31" s="304">
        <v>0</v>
      </c>
      <c r="J31" s="304">
        <v>0</v>
      </c>
      <c r="K31" s="304">
        <v>0</v>
      </c>
    </row>
    <row r="32" spans="1:11" x14ac:dyDescent="0.25">
      <c r="A32" s="419" t="s">
        <v>80</v>
      </c>
      <c r="B32" s="420">
        <v>0</v>
      </c>
      <c r="C32" s="420">
        <v>0</v>
      </c>
      <c r="D32" s="420">
        <v>-37</v>
      </c>
      <c r="E32" s="420">
        <v>0</v>
      </c>
      <c r="F32" s="420">
        <v>0</v>
      </c>
      <c r="G32" s="420">
        <v>0</v>
      </c>
      <c r="H32" s="420">
        <v>0</v>
      </c>
      <c r="I32" s="302">
        <v>0</v>
      </c>
      <c r="J32" s="302">
        <v>0</v>
      </c>
      <c r="K32" s="302">
        <v>0</v>
      </c>
    </row>
    <row r="33" spans="1:11" x14ac:dyDescent="0.25">
      <c r="A33" s="303" t="s">
        <v>81</v>
      </c>
      <c r="B33" s="304">
        <v>0</v>
      </c>
      <c r="C33" s="304">
        <v>54</v>
      </c>
      <c r="D33" s="304">
        <v>16</v>
      </c>
      <c r="E33" s="304">
        <v>24</v>
      </c>
      <c r="F33" s="304">
        <v>0</v>
      </c>
      <c r="G33" s="418">
        <v>19</v>
      </c>
      <c r="H33" s="418">
        <v>36</v>
      </c>
      <c r="I33" s="418">
        <v>17</v>
      </c>
      <c r="J33" s="418">
        <v>30</v>
      </c>
      <c r="K33" s="418">
        <v>0</v>
      </c>
    </row>
    <row r="34" spans="1:11" x14ac:dyDescent="0.25">
      <c r="A34" s="301" t="s">
        <v>82</v>
      </c>
      <c r="B34" s="302">
        <v>0</v>
      </c>
      <c r="C34" s="302">
        <v>35</v>
      </c>
      <c r="D34" s="302">
        <v>60</v>
      </c>
      <c r="E34" s="302">
        <v>40</v>
      </c>
      <c r="F34" s="302">
        <v>0</v>
      </c>
      <c r="G34" s="418">
        <v>0</v>
      </c>
      <c r="H34" s="418">
        <v>17</v>
      </c>
      <c r="I34" s="418">
        <v>34</v>
      </c>
      <c r="J34" s="418">
        <v>15</v>
      </c>
      <c r="K34" s="418">
        <v>2</v>
      </c>
    </row>
    <row r="35" spans="1:11" x14ac:dyDescent="0.25">
      <c r="A35" s="303" t="s">
        <v>83</v>
      </c>
      <c r="B35" s="304">
        <v>0</v>
      </c>
      <c r="C35" s="304">
        <v>44</v>
      </c>
      <c r="D35" s="304">
        <v>9</v>
      </c>
      <c r="E35" s="304">
        <v>0</v>
      </c>
      <c r="F35" s="304">
        <v>0</v>
      </c>
      <c r="G35" s="418">
        <v>0</v>
      </c>
      <c r="H35" s="418">
        <v>0</v>
      </c>
      <c r="I35" s="418">
        <v>0</v>
      </c>
      <c r="J35" s="418">
        <v>0</v>
      </c>
      <c r="K35" s="418">
        <v>0</v>
      </c>
    </row>
    <row r="36" spans="1:11" x14ac:dyDescent="0.25">
      <c r="A36" s="301" t="s">
        <v>84</v>
      </c>
      <c r="B36" s="302">
        <v>0</v>
      </c>
      <c r="C36" s="302">
        <v>135</v>
      </c>
      <c r="D36" s="302">
        <v>118</v>
      </c>
      <c r="E36" s="302">
        <v>0</v>
      </c>
      <c r="F36" s="302">
        <v>1</v>
      </c>
      <c r="G36" s="418">
        <v>77</v>
      </c>
      <c r="H36" s="418">
        <v>29</v>
      </c>
      <c r="I36" s="418">
        <v>142</v>
      </c>
      <c r="J36" s="418">
        <v>8</v>
      </c>
      <c r="K36" s="418">
        <v>6</v>
      </c>
    </row>
    <row r="37" spans="1:11" x14ac:dyDescent="0.25">
      <c r="A37" s="303" t="s">
        <v>85</v>
      </c>
      <c r="B37" s="304">
        <v>0</v>
      </c>
      <c r="C37" s="304">
        <v>66</v>
      </c>
      <c r="D37" s="304">
        <v>25</v>
      </c>
      <c r="E37" s="304">
        <v>3</v>
      </c>
      <c r="F37" s="304">
        <v>0</v>
      </c>
      <c r="G37" s="418">
        <v>27</v>
      </c>
      <c r="H37" s="418">
        <v>88</v>
      </c>
      <c r="I37" s="418">
        <v>0</v>
      </c>
      <c r="J37" s="418">
        <v>16</v>
      </c>
      <c r="K37" s="418">
        <v>0</v>
      </c>
    </row>
    <row r="38" spans="1:11" x14ac:dyDescent="0.25">
      <c r="A38" s="301" t="s">
        <v>86</v>
      </c>
      <c r="B38" s="302">
        <v>0</v>
      </c>
      <c r="C38" s="302">
        <v>38</v>
      </c>
      <c r="D38" s="302">
        <v>0</v>
      </c>
      <c r="E38" s="302">
        <v>9</v>
      </c>
      <c r="F38" s="302">
        <v>15</v>
      </c>
      <c r="G38" s="418">
        <v>28</v>
      </c>
      <c r="H38" s="418">
        <v>23</v>
      </c>
      <c r="I38" s="418">
        <v>30</v>
      </c>
      <c r="J38" s="418">
        <v>17</v>
      </c>
      <c r="K38" s="418">
        <v>10</v>
      </c>
    </row>
    <row r="39" spans="1:11" ht="15.75" customHeight="1" thickBot="1" x14ac:dyDescent="0.3">
      <c r="A39" s="305"/>
      <c r="B39" s="306"/>
      <c r="C39" s="306"/>
      <c r="D39" s="306"/>
      <c r="E39" s="306"/>
      <c r="F39" s="306"/>
      <c r="G39" s="306"/>
      <c r="H39" s="306"/>
      <c r="I39" s="306"/>
      <c r="J39" s="306"/>
      <c r="K39" s="306"/>
    </row>
    <row r="40" spans="1:11" x14ac:dyDescent="0.25">
      <c r="A40" s="320" t="s">
        <v>87</v>
      </c>
      <c r="B40" s="321">
        <v>0</v>
      </c>
      <c r="C40" s="321">
        <v>9</v>
      </c>
      <c r="D40" s="321">
        <v>-45</v>
      </c>
      <c r="E40" s="321">
        <v>0</v>
      </c>
      <c r="F40" s="321">
        <v>0</v>
      </c>
      <c r="G40" s="421">
        <v>0</v>
      </c>
      <c r="H40" s="421">
        <v>0</v>
      </c>
      <c r="I40" s="421">
        <v>0</v>
      </c>
      <c r="J40" s="421">
        <v>0</v>
      </c>
      <c r="K40" s="438">
        <v>32</v>
      </c>
    </row>
    <row r="41" spans="1:11" x14ac:dyDescent="0.25">
      <c r="A41" s="312" t="s">
        <v>88</v>
      </c>
      <c r="B41" s="304">
        <v>0</v>
      </c>
      <c r="C41" s="304">
        <v>0</v>
      </c>
      <c r="D41" s="304">
        <v>0</v>
      </c>
      <c r="E41" s="304">
        <v>0</v>
      </c>
      <c r="F41" s="304">
        <v>0</v>
      </c>
      <c r="G41" s="418">
        <v>0</v>
      </c>
      <c r="H41" s="418">
        <v>0</v>
      </c>
      <c r="I41" s="418">
        <v>5</v>
      </c>
      <c r="J41" s="418">
        <v>8</v>
      </c>
      <c r="K41" s="439">
        <v>3</v>
      </c>
    </row>
    <row r="42" spans="1:11" x14ac:dyDescent="0.25">
      <c r="A42" s="310" t="s">
        <v>89</v>
      </c>
      <c r="B42" s="302">
        <v>0</v>
      </c>
      <c r="C42" s="302">
        <v>44</v>
      </c>
      <c r="D42" s="302">
        <v>29</v>
      </c>
      <c r="E42" s="302">
        <v>14</v>
      </c>
      <c r="F42" s="302">
        <v>0</v>
      </c>
      <c r="G42" s="418">
        <v>49</v>
      </c>
      <c r="H42" s="418">
        <v>50</v>
      </c>
      <c r="I42" s="418">
        <v>96</v>
      </c>
      <c r="J42" s="418">
        <v>40</v>
      </c>
      <c r="K42" s="439">
        <v>49</v>
      </c>
    </row>
    <row r="43" spans="1:11" ht="15.75" customHeight="1" thickBot="1" x14ac:dyDescent="0.3">
      <c r="A43" s="317" t="s">
        <v>90</v>
      </c>
      <c r="B43" s="318">
        <v>0</v>
      </c>
      <c r="C43" s="318">
        <v>114</v>
      </c>
      <c r="D43" s="318">
        <v>0</v>
      </c>
      <c r="E43" s="318">
        <v>0</v>
      </c>
      <c r="F43" s="318">
        <v>0</v>
      </c>
      <c r="G43" s="422">
        <v>142</v>
      </c>
      <c r="H43" s="422">
        <v>31</v>
      </c>
      <c r="I43" s="422">
        <v>21</v>
      </c>
      <c r="J43" s="422">
        <v>65</v>
      </c>
      <c r="K43" s="440">
        <v>49</v>
      </c>
    </row>
    <row r="44" spans="1:11" x14ac:dyDescent="0.25">
      <c r="A44" s="320" t="s">
        <v>91</v>
      </c>
      <c r="B44" s="321">
        <v>0</v>
      </c>
      <c r="C44" s="321">
        <v>211</v>
      </c>
      <c r="D44" s="321">
        <v>414</v>
      </c>
      <c r="E44" s="321">
        <v>80</v>
      </c>
      <c r="F44" s="321">
        <v>0</v>
      </c>
      <c r="G44" s="421">
        <v>82</v>
      </c>
      <c r="H44" s="421">
        <v>10</v>
      </c>
      <c r="I44" s="421">
        <v>0</v>
      </c>
      <c r="J44" s="421">
        <v>119</v>
      </c>
      <c r="K44" s="438">
        <v>0</v>
      </c>
    </row>
    <row r="45" spans="1:11" x14ac:dyDescent="0.25">
      <c r="A45" s="312" t="s">
        <v>92</v>
      </c>
      <c r="B45" s="304">
        <v>0</v>
      </c>
      <c r="C45" s="304">
        <v>424</v>
      </c>
      <c r="D45" s="304">
        <v>743</v>
      </c>
      <c r="E45" s="304">
        <v>189</v>
      </c>
      <c r="F45" s="304">
        <v>0</v>
      </c>
      <c r="G45" s="418">
        <v>10</v>
      </c>
      <c r="H45" s="418">
        <v>15</v>
      </c>
      <c r="I45" s="418">
        <v>0</v>
      </c>
      <c r="J45" s="418">
        <v>0</v>
      </c>
      <c r="K45" s="439">
        <v>0</v>
      </c>
    </row>
    <row r="46" spans="1:11" x14ac:dyDescent="0.25">
      <c r="A46" s="310" t="s">
        <v>93</v>
      </c>
      <c r="B46" s="302">
        <v>0</v>
      </c>
      <c r="C46" s="302">
        <v>0</v>
      </c>
      <c r="D46" s="302">
        <v>64</v>
      </c>
      <c r="E46" s="302">
        <v>0</v>
      </c>
      <c r="F46" s="302">
        <v>0</v>
      </c>
      <c r="G46" s="418">
        <v>0</v>
      </c>
      <c r="H46" s="418">
        <v>0</v>
      </c>
      <c r="I46" s="418">
        <v>0</v>
      </c>
      <c r="J46" s="418">
        <v>0</v>
      </c>
      <c r="K46" s="439">
        <v>0</v>
      </c>
    </row>
    <row r="47" spans="1:11" x14ac:dyDescent="0.25">
      <c r="A47" s="312" t="s">
        <v>94</v>
      </c>
      <c r="B47" s="304">
        <v>0</v>
      </c>
      <c r="C47" s="304">
        <v>0</v>
      </c>
      <c r="D47" s="304">
        <v>4</v>
      </c>
      <c r="E47" s="304">
        <v>0</v>
      </c>
      <c r="F47" s="304">
        <v>1</v>
      </c>
      <c r="G47" s="418">
        <v>0</v>
      </c>
      <c r="H47" s="418">
        <v>0</v>
      </c>
      <c r="I47" s="418">
        <v>0</v>
      </c>
      <c r="J47" s="418">
        <v>0</v>
      </c>
      <c r="K47" s="439">
        <v>1</v>
      </c>
    </row>
    <row r="48" spans="1:11" x14ac:dyDescent="0.25">
      <c r="A48" s="310" t="s">
        <v>47</v>
      </c>
      <c r="B48" s="302">
        <v>0</v>
      </c>
      <c r="C48" s="302">
        <v>0</v>
      </c>
      <c r="D48" s="302">
        <v>0</v>
      </c>
      <c r="E48" s="302">
        <v>1</v>
      </c>
      <c r="F48" s="302">
        <v>3</v>
      </c>
      <c r="G48" s="418">
        <v>31</v>
      </c>
      <c r="H48" s="418">
        <v>63</v>
      </c>
      <c r="I48" s="418">
        <v>0</v>
      </c>
      <c r="J48" s="418">
        <v>77</v>
      </c>
      <c r="K48" s="439">
        <v>0</v>
      </c>
    </row>
    <row r="49" spans="1:11" x14ac:dyDescent="0.25">
      <c r="A49" s="312" t="s">
        <v>48</v>
      </c>
      <c r="B49" s="304">
        <v>0</v>
      </c>
      <c r="C49" s="304">
        <v>0</v>
      </c>
      <c r="D49" s="304">
        <v>0</v>
      </c>
      <c r="E49" s="304">
        <v>10</v>
      </c>
      <c r="F49" s="304">
        <v>3</v>
      </c>
      <c r="G49" s="418">
        <v>0</v>
      </c>
      <c r="H49" s="418">
        <v>0</v>
      </c>
      <c r="I49" s="418">
        <v>0</v>
      </c>
      <c r="J49" s="418">
        <v>82</v>
      </c>
      <c r="K49" s="439">
        <v>13</v>
      </c>
    </row>
    <row r="50" spans="1:11" ht="15.75" customHeight="1" thickBot="1" x14ac:dyDescent="0.3">
      <c r="A50" s="314" t="s">
        <v>50</v>
      </c>
      <c r="B50" s="315">
        <v>0</v>
      </c>
      <c r="C50" s="315">
        <v>0</v>
      </c>
      <c r="D50" s="315">
        <v>0</v>
      </c>
      <c r="E50" s="315">
        <v>0</v>
      </c>
      <c r="F50" s="315">
        <v>0</v>
      </c>
      <c r="G50" s="422">
        <v>0</v>
      </c>
      <c r="H50" s="422">
        <v>0</v>
      </c>
      <c r="I50" s="422">
        <v>0</v>
      </c>
      <c r="J50" s="422">
        <v>34</v>
      </c>
      <c r="K50" s="440">
        <v>30</v>
      </c>
    </row>
    <row r="51" spans="1:11" x14ac:dyDescent="0.25">
      <c r="A51" s="307" t="s">
        <v>95</v>
      </c>
      <c r="B51" s="308">
        <v>0</v>
      </c>
      <c r="C51" s="308">
        <v>0</v>
      </c>
      <c r="D51" s="308">
        <v>0</v>
      </c>
      <c r="E51" s="308">
        <v>0</v>
      </c>
      <c r="F51" s="308">
        <v>0</v>
      </c>
      <c r="G51" s="421">
        <v>0</v>
      </c>
      <c r="H51" s="421">
        <v>0</v>
      </c>
      <c r="I51" s="421">
        <v>0</v>
      </c>
      <c r="J51" s="421">
        <v>0</v>
      </c>
      <c r="K51" s="438">
        <v>13</v>
      </c>
    </row>
    <row r="52" spans="1:11" x14ac:dyDescent="0.25">
      <c r="A52" s="310" t="s">
        <v>96</v>
      </c>
      <c r="B52" s="302">
        <v>0</v>
      </c>
      <c r="C52" s="302">
        <v>0</v>
      </c>
      <c r="D52" s="302">
        <v>0</v>
      </c>
      <c r="E52" s="302">
        <v>0</v>
      </c>
      <c r="F52" s="302">
        <v>0</v>
      </c>
      <c r="G52" s="418">
        <v>99</v>
      </c>
      <c r="H52" s="418">
        <v>0</v>
      </c>
      <c r="I52" s="418">
        <v>0</v>
      </c>
      <c r="J52" s="418">
        <v>136</v>
      </c>
      <c r="K52" s="439">
        <v>130</v>
      </c>
    </row>
    <row r="53" spans="1:11" x14ac:dyDescent="0.25">
      <c r="A53" s="312" t="s">
        <v>97</v>
      </c>
      <c r="B53" s="304">
        <v>0</v>
      </c>
      <c r="C53" s="304">
        <v>0</v>
      </c>
      <c r="D53" s="304">
        <v>0</v>
      </c>
      <c r="E53" s="304">
        <v>0</v>
      </c>
      <c r="F53" s="304">
        <v>0</v>
      </c>
      <c r="G53" s="418">
        <v>5</v>
      </c>
      <c r="H53" s="418">
        <v>5</v>
      </c>
      <c r="I53" s="418">
        <v>0</v>
      </c>
      <c r="J53" s="418">
        <v>0</v>
      </c>
      <c r="K53" s="439">
        <v>0</v>
      </c>
    </row>
    <row r="54" spans="1:11" x14ac:dyDescent="0.25">
      <c r="A54" s="310" t="s">
        <v>98</v>
      </c>
      <c r="B54" s="302">
        <v>0</v>
      </c>
      <c r="C54" s="302">
        <v>60</v>
      </c>
      <c r="D54" s="302">
        <v>27</v>
      </c>
      <c r="E54" s="302">
        <v>27</v>
      </c>
      <c r="F54" s="302">
        <v>10</v>
      </c>
      <c r="G54" s="418">
        <v>43</v>
      </c>
      <c r="H54" s="418">
        <v>29</v>
      </c>
      <c r="I54" s="418">
        <v>39</v>
      </c>
      <c r="J54" s="418">
        <v>105</v>
      </c>
      <c r="K54" s="439">
        <v>23</v>
      </c>
    </row>
    <row r="55" spans="1:11" ht="15.75" customHeight="1" thickBot="1" x14ac:dyDescent="0.3">
      <c r="A55" s="317" t="s">
        <v>99</v>
      </c>
      <c r="B55" s="318">
        <v>0</v>
      </c>
      <c r="C55" s="318">
        <v>0</v>
      </c>
      <c r="D55" s="318">
        <v>7</v>
      </c>
      <c r="E55" s="318">
        <v>0</v>
      </c>
      <c r="F55" s="318">
        <v>6</v>
      </c>
      <c r="G55" s="422">
        <v>163</v>
      </c>
      <c r="H55" s="422">
        <v>82</v>
      </c>
      <c r="I55" s="422">
        <v>75</v>
      </c>
      <c r="J55" s="422">
        <v>180</v>
      </c>
      <c r="K55" s="440">
        <v>21</v>
      </c>
    </row>
    <row r="56" spans="1:11" x14ac:dyDescent="0.25">
      <c r="A56" s="320" t="s">
        <v>100</v>
      </c>
      <c r="B56" s="321">
        <v>0</v>
      </c>
      <c r="C56" s="321">
        <v>0</v>
      </c>
      <c r="D56" s="321">
        <v>0</v>
      </c>
      <c r="E56" s="321">
        <v>0</v>
      </c>
      <c r="F56" s="321">
        <v>0</v>
      </c>
      <c r="G56" s="421">
        <v>2</v>
      </c>
      <c r="H56" s="421">
        <v>0</v>
      </c>
      <c r="I56" s="421">
        <v>0</v>
      </c>
      <c r="J56" s="421">
        <v>0</v>
      </c>
      <c r="K56" s="438">
        <v>0</v>
      </c>
    </row>
    <row r="57" spans="1:11" x14ac:dyDescent="0.25">
      <c r="A57" s="312" t="s">
        <v>101</v>
      </c>
      <c r="B57" s="304">
        <v>0</v>
      </c>
      <c r="C57" s="304">
        <v>0</v>
      </c>
      <c r="D57" s="304">
        <v>0</v>
      </c>
      <c r="E57" s="304">
        <v>0</v>
      </c>
      <c r="F57" s="304">
        <v>0</v>
      </c>
      <c r="G57" s="418">
        <v>33</v>
      </c>
      <c r="H57" s="418">
        <v>0</v>
      </c>
      <c r="I57" s="418">
        <v>0</v>
      </c>
      <c r="J57" s="418">
        <v>0</v>
      </c>
      <c r="K57" s="439">
        <v>0</v>
      </c>
    </row>
    <row r="58" spans="1:11" x14ac:dyDescent="0.25">
      <c r="A58" s="310" t="s">
        <v>41</v>
      </c>
      <c r="B58" s="302">
        <v>0</v>
      </c>
      <c r="C58" s="302">
        <v>0</v>
      </c>
      <c r="D58" s="302">
        <v>0</v>
      </c>
      <c r="E58" s="302">
        <v>0</v>
      </c>
      <c r="F58" s="302">
        <v>0</v>
      </c>
      <c r="G58" s="418">
        <v>5</v>
      </c>
      <c r="H58" s="418">
        <v>26</v>
      </c>
      <c r="I58" s="418">
        <v>49</v>
      </c>
      <c r="J58" s="418">
        <v>99</v>
      </c>
      <c r="K58" s="439">
        <v>15</v>
      </c>
    </row>
    <row r="59" spans="1:11" x14ac:dyDescent="0.25">
      <c r="A59" s="312" t="s">
        <v>42</v>
      </c>
      <c r="B59" s="304">
        <v>0</v>
      </c>
      <c r="C59" s="304">
        <v>0</v>
      </c>
      <c r="D59" s="304">
        <v>0</v>
      </c>
      <c r="E59" s="304">
        <v>0</v>
      </c>
      <c r="F59" s="304">
        <v>0</v>
      </c>
      <c r="G59" s="418">
        <v>0</v>
      </c>
      <c r="H59" s="418">
        <v>0</v>
      </c>
      <c r="I59" s="418">
        <v>0</v>
      </c>
      <c r="J59" s="418">
        <v>40</v>
      </c>
      <c r="K59" s="439">
        <v>22</v>
      </c>
    </row>
    <row r="60" spans="1:11" x14ac:dyDescent="0.25">
      <c r="A60" s="310" t="s">
        <v>44</v>
      </c>
      <c r="B60" s="302">
        <v>0</v>
      </c>
      <c r="C60" s="302">
        <v>0</v>
      </c>
      <c r="D60" s="302">
        <v>0</v>
      </c>
      <c r="E60" s="302">
        <v>0</v>
      </c>
      <c r="F60" s="302">
        <v>0</v>
      </c>
      <c r="G60" s="418">
        <v>0</v>
      </c>
      <c r="H60" s="418">
        <v>0</v>
      </c>
      <c r="I60" s="418">
        <v>3</v>
      </c>
      <c r="J60" s="418">
        <v>13</v>
      </c>
      <c r="K60" s="439">
        <v>1</v>
      </c>
    </row>
    <row r="61" spans="1:11" ht="15.75" customHeight="1" thickBot="1" x14ac:dyDescent="0.3">
      <c r="A61" s="425" t="s">
        <v>45</v>
      </c>
      <c r="B61" s="423">
        <v>0</v>
      </c>
      <c r="C61" s="423">
        <v>0</v>
      </c>
      <c r="D61" s="423">
        <v>0</v>
      </c>
      <c r="E61" s="423">
        <v>0</v>
      </c>
      <c r="F61" s="423">
        <v>0</v>
      </c>
      <c r="G61" s="424">
        <v>0</v>
      </c>
      <c r="H61" s="424">
        <v>0</v>
      </c>
      <c r="I61" s="424">
        <v>11</v>
      </c>
      <c r="J61" s="424">
        <v>51</v>
      </c>
      <c r="K61" s="441">
        <v>30</v>
      </c>
    </row>
    <row r="62" spans="1:11" x14ac:dyDescent="0.25">
      <c r="A62" s="428" t="s">
        <v>102</v>
      </c>
      <c r="B62" s="429">
        <v>0</v>
      </c>
      <c r="C62" s="429">
        <v>0</v>
      </c>
      <c r="D62" s="429">
        <v>0</v>
      </c>
      <c r="E62" s="429">
        <v>0</v>
      </c>
      <c r="F62" s="429">
        <v>0</v>
      </c>
      <c r="G62" s="429">
        <v>0</v>
      </c>
      <c r="H62" s="429">
        <v>0</v>
      </c>
      <c r="I62" s="429">
        <v>200</v>
      </c>
      <c r="J62" s="429">
        <v>0</v>
      </c>
      <c r="K62" s="430">
        <v>0</v>
      </c>
    </row>
    <row r="63" spans="1:11" x14ac:dyDescent="0.25">
      <c r="A63" s="431" t="s">
        <v>103</v>
      </c>
      <c r="B63" s="304">
        <v>0</v>
      </c>
      <c r="C63" s="304">
        <v>0</v>
      </c>
      <c r="D63" s="304">
        <v>0</v>
      </c>
      <c r="E63" s="304">
        <v>0</v>
      </c>
      <c r="F63" s="304">
        <v>0</v>
      </c>
      <c r="G63" s="304">
        <v>0</v>
      </c>
      <c r="H63" s="304">
        <v>0</v>
      </c>
      <c r="I63" s="304">
        <v>10</v>
      </c>
      <c r="J63" s="304">
        <v>0</v>
      </c>
      <c r="K63" s="432">
        <v>0</v>
      </c>
    </row>
    <row r="64" spans="1:11" x14ac:dyDescent="0.25">
      <c r="A64" s="433" t="s">
        <v>104</v>
      </c>
      <c r="B64" s="302">
        <v>0</v>
      </c>
      <c r="C64" s="302">
        <v>0</v>
      </c>
      <c r="D64" s="302">
        <v>0</v>
      </c>
      <c r="E64" s="302">
        <v>0</v>
      </c>
      <c r="F64" s="302">
        <v>0</v>
      </c>
      <c r="G64" s="302">
        <v>0</v>
      </c>
      <c r="H64" s="302">
        <v>0</v>
      </c>
      <c r="I64" s="302">
        <v>10</v>
      </c>
      <c r="J64" s="302">
        <v>0</v>
      </c>
      <c r="K64" s="434">
        <v>0</v>
      </c>
    </row>
    <row r="65" spans="1:11" ht="15.75" customHeight="1" thickBot="1" x14ac:dyDescent="0.3">
      <c r="A65" s="435" t="s">
        <v>53</v>
      </c>
      <c r="B65" s="436">
        <v>0</v>
      </c>
      <c r="C65" s="436">
        <v>0</v>
      </c>
      <c r="D65" s="436">
        <v>0</v>
      </c>
      <c r="E65" s="436">
        <v>0</v>
      </c>
      <c r="F65" s="436">
        <v>0</v>
      </c>
      <c r="G65" s="436">
        <v>0</v>
      </c>
      <c r="H65" s="436">
        <v>0</v>
      </c>
      <c r="I65" s="436">
        <v>50</v>
      </c>
      <c r="J65" s="436">
        <v>0</v>
      </c>
      <c r="K65" s="437">
        <v>0</v>
      </c>
    </row>
    <row r="66" spans="1:11" x14ac:dyDescent="0.25">
      <c r="A66" s="426" t="s">
        <v>105</v>
      </c>
      <c r="B66" s="427">
        <v>0</v>
      </c>
      <c r="C66" s="427">
        <v>0</v>
      </c>
      <c r="D66" s="427">
        <v>0</v>
      </c>
      <c r="E66" s="427">
        <v>0</v>
      </c>
      <c r="F66" s="427">
        <v>0</v>
      </c>
      <c r="G66" s="427">
        <v>0</v>
      </c>
      <c r="H66" s="427">
        <v>1</v>
      </c>
      <c r="I66" s="427">
        <v>0</v>
      </c>
      <c r="J66" s="427">
        <v>0</v>
      </c>
      <c r="K66" s="427">
        <v>0</v>
      </c>
    </row>
    <row r="67" spans="1:11" x14ac:dyDescent="0.25">
      <c r="A67" s="303" t="s">
        <v>30</v>
      </c>
      <c r="B67" s="304">
        <v>0</v>
      </c>
      <c r="C67" s="304">
        <v>0</v>
      </c>
      <c r="D67" s="304">
        <v>22</v>
      </c>
      <c r="E67" s="304">
        <v>0</v>
      </c>
      <c r="F67" s="304">
        <v>0</v>
      </c>
      <c r="G67" s="304">
        <v>0</v>
      </c>
      <c r="H67" s="304">
        <v>0</v>
      </c>
      <c r="I67" s="304">
        <v>0</v>
      </c>
      <c r="J67" s="304">
        <v>0</v>
      </c>
      <c r="K67" s="304">
        <v>0</v>
      </c>
    </row>
    <row r="68" spans="1:11" x14ac:dyDescent="0.25">
      <c r="A68" s="301" t="s">
        <v>31</v>
      </c>
      <c r="B68" s="302">
        <v>0</v>
      </c>
      <c r="C68" s="302">
        <v>0</v>
      </c>
      <c r="D68" s="302">
        <v>3</v>
      </c>
      <c r="E68" s="302">
        <v>8</v>
      </c>
      <c r="F68" s="302">
        <v>0</v>
      </c>
      <c r="G68" s="302">
        <v>0</v>
      </c>
      <c r="H68" s="302">
        <v>161</v>
      </c>
      <c r="I68" s="302">
        <v>0</v>
      </c>
      <c r="J68" s="302">
        <v>208</v>
      </c>
      <c r="K68" s="302">
        <v>6</v>
      </c>
    </row>
    <row r="69" spans="1:11" x14ac:dyDescent="0.25">
      <c r="A69" s="303" t="s">
        <v>106</v>
      </c>
      <c r="B69" s="304">
        <v>0</v>
      </c>
      <c r="C69" s="304">
        <v>0</v>
      </c>
      <c r="D69" s="304">
        <v>5</v>
      </c>
      <c r="E69" s="304">
        <v>0</v>
      </c>
      <c r="F69" s="304">
        <v>0</v>
      </c>
      <c r="G69" s="304">
        <v>0</v>
      </c>
      <c r="H69" s="304">
        <v>0</v>
      </c>
      <c r="I69" s="304">
        <v>0</v>
      </c>
      <c r="J69" s="304">
        <v>0</v>
      </c>
      <c r="K69" s="304">
        <v>0</v>
      </c>
    </row>
    <row r="70" spans="1:11" x14ac:dyDescent="0.25">
      <c r="A70" s="303" t="s">
        <v>32</v>
      </c>
      <c r="B70" s="304">
        <v>0</v>
      </c>
      <c r="C70" s="304">
        <v>0</v>
      </c>
      <c r="D70" s="304">
        <v>0</v>
      </c>
      <c r="E70" s="304">
        <v>1</v>
      </c>
      <c r="F70" s="304">
        <v>0</v>
      </c>
      <c r="G70" s="304">
        <v>0</v>
      </c>
      <c r="H70" s="304">
        <v>9</v>
      </c>
      <c r="I70" s="304">
        <v>0</v>
      </c>
      <c r="J70" s="304">
        <v>36</v>
      </c>
      <c r="K70" s="304">
        <v>14</v>
      </c>
    </row>
    <row r="71" spans="1:11" x14ac:dyDescent="0.25">
      <c r="A71" s="301" t="s">
        <v>107</v>
      </c>
      <c r="B71" s="302">
        <v>0</v>
      </c>
      <c r="C71" s="302">
        <v>0</v>
      </c>
      <c r="D71" s="302">
        <v>0</v>
      </c>
      <c r="E71" s="302">
        <v>0</v>
      </c>
      <c r="F71" s="302">
        <v>0</v>
      </c>
      <c r="G71" s="302">
        <v>0</v>
      </c>
      <c r="H71" s="302">
        <v>146</v>
      </c>
      <c r="I71" s="302">
        <v>0</v>
      </c>
      <c r="J71" s="302">
        <v>146</v>
      </c>
      <c r="K71" s="302">
        <v>0</v>
      </c>
    </row>
    <row r="72" spans="1:11" x14ac:dyDescent="0.25">
      <c r="A72" s="303" t="s">
        <v>108</v>
      </c>
      <c r="B72" s="304">
        <v>0</v>
      </c>
      <c r="C72" s="304">
        <v>0</v>
      </c>
      <c r="D72" s="304">
        <v>0</v>
      </c>
      <c r="E72" s="304">
        <v>0</v>
      </c>
      <c r="F72" s="304">
        <v>0</v>
      </c>
      <c r="G72" s="304">
        <v>0</v>
      </c>
      <c r="H72" s="304">
        <v>73</v>
      </c>
      <c r="I72" s="304">
        <v>0</v>
      </c>
      <c r="J72" s="304">
        <v>1</v>
      </c>
      <c r="K72" s="304">
        <v>0</v>
      </c>
    </row>
    <row r="73" spans="1:11" x14ac:dyDescent="0.25">
      <c r="A73" s="301" t="s">
        <v>109</v>
      </c>
      <c r="B73" s="302">
        <v>0</v>
      </c>
      <c r="C73" s="302">
        <v>0</v>
      </c>
      <c r="D73" s="302">
        <v>0</v>
      </c>
      <c r="E73" s="302">
        <v>10</v>
      </c>
      <c r="F73" s="302">
        <v>13</v>
      </c>
      <c r="G73" s="302">
        <v>0</v>
      </c>
      <c r="H73" s="302">
        <v>0</v>
      </c>
      <c r="I73" s="302">
        <v>0</v>
      </c>
      <c r="J73" s="302">
        <v>0</v>
      </c>
      <c r="K73" s="302">
        <v>0</v>
      </c>
    </row>
    <row r="74" spans="1:11" x14ac:dyDescent="0.25">
      <c r="A74" s="303" t="s">
        <v>110</v>
      </c>
      <c r="B74" s="304">
        <v>0</v>
      </c>
      <c r="C74" s="304">
        <v>0</v>
      </c>
      <c r="D74" s="304">
        <v>0</v>
      </c>
      <c r="E74" s="304">
        <v>0</v>
      </c>
      <c r="F74" s="304">
        <v>0</v>
      </c>
      <c r="G74" s="418">
        <v>69</v>
      </c>
      <c r="H74" s="304">
        <v>0</v>
      </c>
      <c r="I74" s="304">
        <v>0</v>
      </c>
      <c r="J74" s="304">
        <v>0</v>
      </c>
      <c r="K74" s="304">
        <v>0</v>
      </c>
    </row>
    <row r="75" spans="1:11" x14ac:dyDescent="0.25">
      <c r="A75" s="301" t="s">
        <v>40</v>
      </c>
      <c r="B75" s="302">
        <v>0</v>
      </c>
      <c r="C75" s="302">
        <v>0</v>
      </c>
      <c r="D75" s="302">
        <v>16</v>
      </c>
      <c r="E75" s="302">
        <v>0</v>
      </c>
      <c r="F75" s="302">
        <v>0</v>
      </c>
      <c r="G75" s="418">
        <v>50</v>
      </c>
      <c r="H75" s="418">
        <v>15</v>
      </c>
      <c r="I75" s="302">
        <v>0</v>
      </c>
      <c r="J75" s="418">
        <v>29</v>
      </c>
      <c r="K75" s="418">
        <v>30</v>
      </c>
    </row>
    <row r="76" spans="1:11" x14ac:dyDescent="0.25">
      <c r="A76" s="303" t="s">
        <v>111</v>
      </c>
      <c r="B76" s="304">
        <v>0</v>
      </c>
      <c r="C76" s="304">
        <v>0</v>
      </c>
      <c r="D76" s="304">
        <v>22</v>
      </c>
      <c r="E76" s="304">
        <v>10</v>
      </c>
      <c r="F76" s="304">
        <v>0</v>
      </c>
      <c r="G76" s="418">
        <v>65</v>
      </c>
      <c r="H76" s="418">
        <v>32</v>
      </c>
      <c r="I76" s="304">
        <v>0</v>
      </c>
      <c r="J76" s="418">
        <v>49</v>
      </c>
      <c r="K76" s="418">
        <v>10</v>
      </c>
    </row>
    <row r="77" spans="1:11" x14ac:dyDescent="0.25">
      <c r="A77" s="301" t="s">
        <v>112</v>
      </c>
      <c r="B77" s="302">
        <v>0</v>
      </c>
      <c r="C77" s="302">
        <v>0</v>
      </c>
      <c r="D77" s="302">
        <v>0</v>
      </c>
      <c r="E77" s="302">
        <v>0</v>
      </c>
      <c r="F77" s="302">
        <v>3</v>
      </c>
      <c r="G77" s="302">
        <v>0</v>
      </c>
      <c r="H77" s="302">
        <v>0</v>
      </c>
      <c r="I77" s="302">
        <v>0</v>
      </c>
      <c r="J77" s="302">
        <v>0</v>
      </c>
      <c r="K77" s="302">
        <v>0</v>
      </c>
    </row>
    <row r="78" spans="1:11" x14ac:dyDescent="0.25">
      <c r="A78" s="303" t="s">
        <v>51</v>
      </c>
      <c r="B78" s="304">
        <v>0</v>
      </c>
      <c r="C78" s="304">
        <v>0</v>
      </c>
      <c r="D78" s="304">
        <v>0</v>
      </c>
      <c r="E78" s="304">
        <v>0</v>
      </c>
      <c r="F78" s="304">
        <v>0</v>
      </c>
      <c r="G78" s="304">
        <v>1</v>
      </c>
      <c r="H78" s="304">
        <v>1</v>
      </c>
      <c r="I78" s="304">
        <v>1</v>
      </c>
      <c r="J78" s="304">
        <v>0</v>
      </c>
      <c r="K78" s="304">
        <v>0</v>
      </c>
    </row>
    <row r="79" spans="1:11" x14ac:dyDescent="0.25">
      <c r="A79" s="301" t="s">
        <v>113</v>
      </c>
      <c r="B79" s="302">
        <v>0</v>
      </c>
      <c r="C79" s="302">
        <v>0</v>
      </c>
      <c r="D79" s="302">
        <v>0</v>
      </c>
      <c r="E79" s="302">
        <v>0</v>
      </c>
      <c r="F79" s="302">
        <v>0</v>
      </c>
      <c r="G79" s="302">
        <v>0</v>
      </c>
      <c r="H79" s="302">
        <v>0</v>
      </c>
      <c r="I79" s="302">
        <v>24</v>
      </c>
      <c r="J79" s="302">
        <v>0</v>
      </c>
      <c r="K79" s="302">
        <v>0</v>
      </c>
    </row>
    <row r="80" spans="1:11" x14ac:dyDescent="0.25">
      <c r="A80" s="303" t="s">
        <v>114</v>
      </c>
      <c r="B80" s="304">
        <v>0</v>
      </c>
      <c r="C80" s="304">
        <v>50</v>
      </c>
      <c r="D80" s="304">
        <v>0</v>
      </c>
      <c r="E80" s="304">
        <v>0</v>
      </c>
      <c r="F80" s="304">
        <v>0</v>
      </c>
      <c r="G80" s="304">
        <v>0</v>
      </c>
      <c r="H80" s="304">
        <v>0</v>
      </c>
      <c r="I80" s="304">
        <v>0</v>
      </c>
      <c r="J80" s="304">
        <v>0</v>
      </c>
      <c r="K80" s="304">
        <v>0</v>
      </c>
    </row>
    <row r="81" spans="1:11" x14ac:dyDescent="0.25">
      <c r="A81" s="301" t="s">
        <v>115</v>
      </c>
      <c r="B81" s="302">
        <v>0</v>
      </c>
      <c r="C81" s="302">
        <v>0</v>
      </c>
      <c r="D81" s="302">
        <v>0</v>
      </c>
      <c r="E81" s="302">
        <v>0</v>
      </c>
      <c r="F81" s="302">
        <v>0</v>
      </c>
      <c r="G81" s="302">
        <v>9</v>
      </c>
      <c r="H81" s="302">
        <v>0</v>
      </c>
      <c r="I81" s="302">
        <v>0</v>
      </c>
      <c r="J81" s="302">
        <v>0</v>
      </c>
      <c r="K81" s="302">
        <v>0</v>
      </c>
    </row>
    <row r="82" spans="1:11" x14ac:dyDescent="0.25">
      <c r="A82" s="323" t="s">
        <v>54</v>
      </c>
      <c r="B82" s="324">
        <v>0</v>
      </c>
      <c r="C82" s="324">
        <v>1830</v>
      </c>
      <c r="D82" s="324">
        <v>2868</v>
      </c>
      <c r="E82" s="324">
        <v>1384</v>
      </c>
      <c r="F82" s="324">
        <v>515</v>
      </c>
      <c r="G82" s="324">
        <v>1971</v>
      </c>
      <c r="H82" s="324">
        <v>1453</v>
      </c>
      <c r="I82" s="324">
        <v>1442</v>
      </c>
      <c r="J82" s="324">
        <v>2578</v>
      </c>
      <c r="K82" s="324">
        <v>647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4"/>
  <dimension ref="A1:K83"/>
  <sheetViews>
    <sheetView workbookViewId="0">
      <selection activeCell="R17" sqref="R17"/>
    </sheetView>
  </sheetViews>
  <sheetFormatPr defaultRowHeight="15" x14ac:dyDescent="0.25"/>
  <cols>
    <col min="1" max="1" width="60.85546875" style="325" customWidth="1"/>
    <col min="2" max="8" width="7.28515625" style="325" hidden="1" customWidth="1"/>
    <col min="9" max="11" width="7.28515625" style="325" customWidth="1"/>
  </cols>
  <sheetData>
    <row r="1" spans="1:11" x14ac:dyDescent="0.25">
      <c r="A1" s="297" t="s">
        <v>0</v>
      </c>
      <c r="B1" s="298">
        <v>14356</v>
      </c>
      <c r="C1" s="298">
        <v>24790</v>
      </c>
      <c r="D1" s="298">
        <v>23614</v>
      </c>
      <c r="E1" s="298">
        <v>23343</v>
      </c>
      <c r="F1" s="298">
        <v>24119</v>
      </c>
      <c r="G1" s="299">
        <v>23280</v>
      </c>
      <c r="H1" s="299">
        <v>22851</v>
      </c>
      <c r="I1" s="300">
        <v>23091</v>
      </c>
      <c r="J1" s="300">
        <v>22838</v>
      </c>
      <c r="K1" s="300">
        <v>24137</v>
      </c>
    </row>
    <row r="2" spans="1:11" x14ac:dyDescent="0.25">
      <c r="A2" s="301" t="s">
        <v>55</v>
      </c>
      <c r="B2" s="302">
        <v>0</v>
      </c>
      <c r="C2" s="302">
        <v>79</v>
      </c>
      <c r="D2" s="302">
        <v>106</v>
      </c>
      <c r="E2" s="302">
        <v>190</v>
      </c>
      <c r="F2" s="302">
        <v>0</v>
      </c>
      <c r="G2" s="418">
        <v>12</v>
      </c>
      <c r="H2" s="302">
        <v>0</v>
      </c>
      <c r="I2" s="302">
        <v>147</v>
      </c>
      <c r="J2" s="302">
        <v>153</v>
      </c>
      <c r="K2" s="302">
        <v>40</v>
      </c>
    </row>
    <row r="3" spans="1:11" x14ac:dyDescent="0.25">
      <c r="A3" s="303" t="s">
        <v>36</v>
      </c>
      <c r="B3" s="304">
        <v>0</v>
      </c>
      <c r="C3" s="304">
        <v>126</v>
      </c>
      <c r="D3" s="304">
        <v>561</v>
      </c>
      <c r="E3" s="304">
        <v>200</v>
      </c>
      <c r="F3" s="304">
        <v>200</v>
      </c>
      <c r="G3" s="418">
        <v>354</v>
      </c>
      <c r="H3" s="304">
        <v>0</v>
      </c>
      <c r="I3" s="304">
        <v>0</v>
      </c>
      <c r="J3" s="304">
        <v>252</v>
      </c>
      <c r="K3" s="304">
        <v>0</v>
      </c>
    </row>
    <row r="4" spans="1:11" x14ac:dyDescent="0.25">
      <c r="A4" s="301" t="s">
        <v>37</v>
      </c>
      <c r="B4" s="302">
        <v>0</v>
      </c>
      <c r="C4" s="302">
        <v>132</v>
      </c>
      <c r="D4" s="302">
        <v>370</v>
      </c>
      <c r="E4" s="302">
        <v>200</v>
      </c>
      <c r="F4" s="302">
        <v>200</v>
      </c>
      <c r="G4" s="418">
        <v>0</v>
      </c>
      <c r="H4" s="302">
        <v>0</v>
      </c>
      <c r="I4" s="302">
        <v>0</v>
      </c>
      <c r="J4" s="302">
        <v>395</v>
      </c>
      <c r="K4" s="302">
        <v>0</v>
      </c>
    </row>
    <row r="5" spans="1:11" x14ac:dyDescent="0.25">
      <c r="A5" s="303" t="s">
        <v>56</v>
      </c>
      <c r="B5" s="304">
        <v>0</v>
      </c>
      <c r="C5" s="304">
        <v>0</v>
      </c>
      <c r="D5" s="304">
        <v>4</v>
      </c>
      <c r="E5" s="304">
        <v>23</v>
      </c>
      <c r="F5" s="304">
        <v>0</v>
      </c>
      <c r="G5" s="304">
        <v>0</v>
      </c>
      <c r="H5" s="304">
        <v>0</v>
      </c>
      <c r="I5" s="304">
        <v>0</v>
      </c>
      <c r="J5" s="304">
        <v>0</v>
      </c>
      <c r="K5" s="304">
        <v>0</v>
      </c>
    </row>
    <row r="6" spans="1:11" x14ac:dyDescent="0.25">
      <c r="A6" s="301" t="s">
        <v>57</v>
      </c>
      <c r="B6" s="302">
        <v>0</v>
      </c>
      <c r="C6" s="302">
        <v>3</v>
      </c>
      <c r="D6" s="302">
        <v>6</v>
      </c>
      <c r="E6" s="302">
        <v>11</v>
      </c>
      <c r="F6" s="302">
        <v>0</v>
      </c>
      <c r="G6" s="302">
        <v>0</v>
      </c>
      <c r="H6" s="302">
        <v>0</v>
      </c>
      <c r="I6" s="302">
        <v>0</v>
      </c>
      <c r="J6" s="302">
        <v>0</v>
      </c>
      <c r="K6" s="302">
        <v>0</v>
      </c>
    </row>
    <row r="7" spans="1:11" x14ac:dyDescent="0.25">
      <c r="A7" s="303" t="s">
        <v>58</v>
      </c>
      <c r="B7" s="304">
        <v>0</v>
      </c>
      <c r="C7" s="304">
        <v>0</v>
      </c>
      <c r="D7" s="304">
        <v>10</v>
      </c>
      <c r="E7" s="304">
        <v>28</v>
      </c>
      <c r="F7" s="304">
        <v>0</v>
      </c>
      <c r="G7" s="304">
        <v>0</v>
      </c>
      <c r="H7" s="304">
        <v>0</v>
      </c>
      <c r="I7" s="304">
        <v>0</v>
      </c>
      <c r="J7" s="304">
        <v>9</v>
      </c>
      <c r="K7" s="304">
        <v>0</v>
      </c>
    </row>
    <row r="8" spans="1:11" x14ac:dyDescent="0.25">
      <c r="A8" s="301" t="s">
        <v>38</v>
      </c>
      <c r="B8" s="302">
        <v>0</v>
      </c>
      <c r="C8" s="302">
        <v>0</v>
      </c>
      <c r="D8" s="302">
        <v>0</v>
      </c>
      <c r="E8" s="302">
        <v>0</v>
      </c>
      <c r="F8" s="302">
        <v>0</v>
      </c>
      <c r="G8" s="418">
        <v>9</v>
      </c>
      <c r="H8" s="418">
        <v>140</v>
      </c>
      <c r="I8" s="302">
        <v>0</v>
      </c>
      <c r="J8" s="302">
        <v>0</v>
      </c>
      <c r="K8" s="302">
        <v>38</v>
      </c>
    </row>
    <row r="9" spans="1:11" x14ac:dyDescent="0.25">
      <c r="A9" s="303" t="s">
        <v>59</v>
      </c>
      <c r="B9" s="304">
        <v>0</v>
      </c>
      <c r="C9" s="304">
        <v>42</v>
      </c>
      <c r="D9" s="304">
        <v>24</v>
      </c>
      <c r="E9" s="304">
        <v>8</v>
      </c>
      <c r="F9" s="304">
        <v>12</v>
      </c>
      <c r="G9" s="304">
        <v>0</v>
      </c>
      <c r="H9" s="304">
        <v>0</v>
      </c>
      <c r="I9" s="304">
        <v>0</v>
      </c>
      <c r="J9" s="304">
        <v>0</v>
      </c>
      <c r="K9" s="304">
        <v>0</v>
      </c>
    </row>
    <row r="10" spans="1:11" x14ac:dyDescent="0.25">
      <c r="A10" s="301" t="s">
        <v>60</v>
      </c>
      <c r="B10" s="302">
        <v>0</v>
      </c>
      <c r="C10" s="302">
        <v>38</v>
      </c>
      <c r="D10" s="302">
        <v>58</v>
      </c>
      <c r="E10" s="302">
        <v>1</v>
      </c>
      <c r="F10" s="302">
        <v>33</v>
      </c>
      <c r="G10" s="418">
        <v>0</v>
      </c>
      <c r="H10" s="302">
        <v>0</v>
      </c>
      <c r="I10" s="302">
        <v>0</v>
      </c>
      <c r="J10" s="302">
        <v>0</v>
      </c>
      <c r="K10" s="302">
        <v>0</v>
      </c>
    </row>
    <row r="11" spans="1:11" x14ac:dyDescent="0.25">
      <c r="A11" s="303" t="s">
        <v>61</v>
      </c>
      <c r="B11" s="304">
        <v>0</v>
      </c>
      <c r="C11" s="304">
        <v>0</v>
      </c>
      <c r="D11" s="304">
        <v>0</v>
      </c>
      <c r="E11" s="304">
        <v>23</v>
      </c>
      <c r="F11" s="304">
        <v>0</v>
      </c>
      <c r="G11" s="304">
        <v>0</v>
      </c>
      <c r="H11" s="304">
        <v>0</v>
      </c>
      <c r="I11" s="304">
        <v>0</v>
      </c>
      <c r="J11" s="304">
        <v>0</v>
      </c>
      <c r="K11" s="304">
        <v>0</v>
      </c>
    </row>
    <row r="12" spans="1:11" x14ac:dyDescent="0.25">
      <c r="A12" s="301" t="s">
        <v>62</v>
      </c>
      <c r="B12" s="302">
        <v>0</v>
      </c>
      <c r="C12" s="302">
        <v>0</v>
      </c>
      <c r="D12" s="302">
        <v>0</v>
      </c>
      <c r="E12" s="302">
        <v>15</v>
      </c>
      <c r="F12" s="302">
        <v>0</v>
      </c>
      <c r="G12" s="418">
        <v>9</v>
      </c>
      <c r="H12" s="302">
        <v>0</v>
      </c>
      <c r="I12" s="302">
        <v>0</v>
      </c>
      <c r="J12" s="302">
        <v>1</v>
      </c>
      <c r="K12" s="302">
        <v>0</v>
      </c>
    </row>
    <row r="13" spans="1:11" x14ac:dyDescent="0.25">
      <c r="A13" s="303" t="s">
        <v>63</v>
      </c>
      <c r="B13" s="304">
        <v>0</v>
      </c>
      <c r="C13" s="304">
        <v>63</v>
      </c>
      <c r="D13" s="304">
        <v>42</v>
      </c>
      <c r="E13" s="304">
        <v>0</v>
      </c>
      <c r="F13" s="304">
        <v>0</v>
      </c>
      <c r="G13" s="304">
        <v>0</v>
      </c>
      <c r="H13" s="304">
        <v>0</v>
      </c>
      <c r="I13" s="304">
        <v>0</v>
      </c>
      <c r="J13" s="304">
        <v>0</v>
      </c>
      <c r="K13" s="304">
        <v>0</v>
      </c>
    </row>
    <row r="14" spans="1:11" x14ac:dyDescent="0.25">
      <c r="A14" s="301" t="s">
        <v>24</v>
      </c>
      <c r="B14" s="302">
        <v>0</v>
      </c>
      <c r="C14" s="302">
        <v>0</v>
      </c>
      <c r="D14" s="302">
        <v>0</v>
      </c>
      <c r="E14" s="302">
        <v>0</v>
      </c>
      <c r="F14" s="302">
        <v>0</v>
      </c>
      <c r="G14" s="418">
        <v>125</v>
      </c>
      <c r="H14" s="418">
        <v>104</v>
      </c>
      <c r="I14" s="302">
        <v>100</v>
      </c>
      <c r="J14" s="302">
        <v>0</v>
      </c>
      <c r="K14" s="302">
        <v>0</v>
      </c>
    </row>
    <row r="15" spans="1:11" x14ac:dyDescent="0.25">
      <c r="A15" s="303" t="s">
        <v>64</v>
      </c>
      <c r="B15" s="304">
        <v>0</v>
      </c>
      <c r="C15" s="304">
        <v>0</v>
      </c>
      <c r="D15" s="304">
        <v>4</v>
      </c>
      <c r="E15" s="304">
        <v>0</v>
      </c>
      <c r="F15" s="304">
        <v>0</v>
      </c>
      <c r="G15" s="304">
        <v>0</v>
      </c>
      <c r="H15" s="304">
        <v>0</v>
      </c>
      <c r="I15" s="304">
        <v>0</v>
      </c>
      <c r="J15" s="304">
        <v>0</v>
      </c>
      <c r="K15" s="304">
        <v>5</v>
      </c>
    </row>
    <row r="16" spans="1:11" x14ac:dyDescent="0.25">
      <c r="A16" s="301" t="s">
        <v>26</v>
      </c>
      <c r="B16" s="302">
        <v>0</v>
      </c>
      <c r="C16" s="302">
        <v>0</v>
      </c>
      <c r="D16" s="302">
        <v>0</v>
      </c>
      <c r="E16" s="302">
        <v>0</v>
      </c>
      <c r="F16" s="302">
        <v>0</v>
      </c>
      <c r="G16" s="418">
        <v>45</v>
      </c>
      <c r="H16" s="302">
        <v>0</v>
      </c>
      <c r="I16" s="302">
        <v>48</v>
      </c>
      <c r="J16" s="302">
        <v>73</v>
      </c>
      <c r="K16" s="302">
        <v>0</v>
      </c>
    </row>
    <row r="17" spans="1:11" x14ac:dyDescent="0.25">
      <c r="A17" s="303" t="s">
        <v>65</v>
      </c>
      <c r="B17" s="304">
        <v>0</v>
      </c>
      <c r="C17" s="304">
        <v>0</v>
      </c>
      <c r="D17" s="304">
        <v>0</v>
      </c>
      <c r="E17" s="304">
        <v>0</v>
      </c>
      <c r="F17" s="304">
        <v>0</v>
      </c>
      <c r="G17" s="418">
        <v>0</v>
      </c>
      <c r="H17" s="304">
        <v>0</v>
      </c>
      <c r="I17" s="304">
        <v>0</v>
      </c>
      <c r="J17" s="304">
        <v>0</v>
      </c>
      <c r="K17" s="304">
        <v>2</v>
      </c>
    </row>
    <row r="18" spans="1:11" x14ac:dyDescent="0.25">
      <c r="A18" s="301" t="s">
        <v>66</v>
      </c>
      <c r="B18" s="302">
        <v>0</v>
      </c>
      <c r="C18" s="302">
        <v>0</v>
      </c>
      <c r="D18" s="302">
        <v>0</v>
      </c>
      <c r="E18" s="302">
        <v>0</v>
      </c>
      <c r="F18" s="302">
        <v>0</v>
      </c>
      <c r="G18" s="418">
        <v>23</v>
      </c>
      <c r="H18" s="302">
        <v>0</v>
      </c>
      <c r="I18" s="302">
        <v>0</v>
      </c>
      <c r="J18" s="302">
        <v>8</v>
      </c>
      <c r="K18" s="302">
        <v>0</v>
      </c>
    </row>
    <row r="19" spans="1:11" x14ac:dyDescent="0.25">
      <c r="A19" s="303" t="s">
        <v>67</v>
      </c>
      <c r="B19" s="304">
        <v>0</v>
      </c>
      <c r="C19" s="304">
        <v>4</v>
      </c>
      <c r="D19" s="304">
        <v>12</v>
      </c>
      <c r="E19" s="304">
        <v>23</v>
      </c>
      <c r="F19" s="304">
        <v>0</v>
      </c>
      <c r="G19" s="418">
        <v>38</v>
      </c>
      <c r="H19" s="418">
        <v>3</v>
      </c>
      <c r="I19" s="304">
        <v>116</v>
      </c>
      <c r="J19" s="304">
        <v>0</v>
      </c>
      <c r="K19" s="304">
        <v>2</v>
      </c>
    </row>
    <row r="20" spans="1:11" x14ac:dyDescent="0.25">
      <c r="A20" s="301" t="s">
        <v>68</v>
      </c>
      <c r="B20" s="302">
        <v>0</v>
      </c>
      <c r="C20" s="302">
        <v>9</v>
      </c>
      <c r="D20" s="302">
        <v>19</v>
      </c>
      <c r="E20" s="302">
        <v>11</v>
      </c>
      <c r="F20" s="302">
        <v>0</v>
      </c>
      <c r="G20" s="418">
        <v>18</v>
      </c>
      <c r="H20" s="418">
        <v>12</v>
      </c>
      <c r="I20" s="302">
        <v>79</v>
      </c>
      <c r="J20" s="302">
        <v>0</v>
      </c>
      <c r="K20" s="302">
        <v>0</v>
      </c>
    </row>
    <row r="21" spans="1:11" x14ac:dyDescent="0.25">
      <c r="A21" s="303" t="s">
        <v>69</v>
      </c>
      <c r="B21" s="304">
        <v>0</v>
      </c>
      <c r="C21" s="304">
        <v>7</v>
      </c>
      <c r="D21" s="304">
        <v>13</v>
      </c>
      <c r="E21" s="304">
        <v>18</v>
      </c>
      <c r="F21" s="304">
        <v>0</v>
      </c>
      <c r="G21" s="418">
        <v>0</v>
      </c>
      <c r="H21" s="418">
        <v>0</v>
      </c>
      <c r="I21" s="304">
        <v>7</v>
      </c>
      <c r="J21" s="304">
        <v>0</v>
      </c>
      <c r="K21" s="304">
        <v>3</v>
      </c>
    </row>
    <row r="22" spans="1:11" x14ac:dyDescent="0.25">
      <c r="A22" s="301" t="s">
        <v>70</v>
      </c>
      <c r="B22" s="302">
        <v>0</v>
      </c>
      <c r="C22" s="302">
        <v>19</v>
      </c>
      <c r="D22" s="302">
        <v>57</v>
      </c>
      <c r="E22" s="302">
        <v>16</v>
      </c>
      <c r="F22" s="302">
        <v>5</v>
      </c>
      <c r="G22" s="418">
        <v>46</v>
      </c>
      <c r="H22" s="418">
        <v>81</v>
      </c>
      <c r="I22" s="302">
        <v>39</v>
      </c>
      <c r="J22" s="302">
        <v>21</v>
      </c>
      <c r="K22" s="302">
        <v>6</v>
      </c>
    </row>
    <row r="23" spans="1:11" x14ac:dyDescent="0.25">
      <c r="A23" s="303" t="s">
        <v>71</v>
      </c>
      <c r="B23" s="304">
        <v>0</v>
      </c>
      <c r="C23" s="304">
        <v>9</v>
      </c>
      <c r="D23" s="304">
        <v>32</v>
      </c>
      <c r="E23" s="304">
        <v>23</v>
      </c>
      <c r="F23" s="304">
        <v>2</v>
      </c>
      <c r="G23" s="418">
        <v>3</v>
      </c>
      <c r="H23" s="418">
        <v>86</v>
      </c>
      <c r="I23" s="304">
        <v>46</v>
      </c>
      <c r="J23" s="304">
        <v>1</v>
      </c>
      <c r="K23" s="304">
        <v>6</v>
      </c>
    </row>
    <row r="24" spans="1:11" x14ac:dyDescent="0.25">
      <c r="A24" s="301" t="s">
        <v>72</v>
      </c>
      <c r="B24" s="302">
        <v>0</v>
      </c>
      <c r="C24" s="302">
        <v>15</v>
      </c>
      <c r="D24" s="302">
        <v>48</v>
      </c>
      <c r="E24" s="302">
        <v>6</v>
      </c>
      <c r="F24" s="302">
        <v>3</v>
      </c>
      <c r="G24" s="418">
        <v>44</v>
      </c>
      <c r="H24" s="418">
        <v>40</v>
      </c>
      <c r="I24" s="302">
        <v>19</v>
      </c>
      <c r="J24" s="302">
        <v>28</v>
      </c>
      <c r="K24" s="302">
        <v>9</v>
      </c>
    </row>
    <row r="25" spans="1:11" x14ac:dyDescent="0.25">
      <c r="A25" s="303" t="s">
        <v>73</v>
      </c>
      <c r="B25" s="304">
        <v>0</v>
      </c>
      <c r="C25" s="304">
        <v>0</v>
      </c>
      <c r="D25" s="304">
        <v>0</v>
      </c>
      <c r="E25" s="304">
        <v>0</v>
      </c>
      <c r="F25" s="304">
        <v>0</v>
      </c>
      <c r="G25" s="304">
        <v>0</v>
      </c>
      <c r="H25" s="304">
        <v>0</v>
      </c>
      <c r="I25" s="304">
        <v>0</v>
      </c>
      <c r="J25" s="304">
        <v>2</v>
      </c>
      <c r="K25" s="304">
        <v>0</v>
      </c>
    </row>
    <row r="26" spans="1:11" x14ac:dyDescent="0.25">
      <c r="A26" s="301" t="s">
        <v>74</v>
      </c>
      <c r="B26" s="302">
        <v>0</v>
      </c>
      <c r="C26" s="302">
        <v>0</v>
      </c>
      <c r="D26" s="302">
        <v>0</v>
      </c>
      <c r="E26" s="302">
        <v>0</v>
      </c>
      <c r="F26" s="302">
        <v>0</v>
      </c>
      <c r="G26" s="418">
        <v>9</v>
      </c>
      <c r="H26" s="302">
        <v>0</v>
      </c>
      <c r="I26" s="302">
        <v>0</v>
      </c>
      <c r="J26" s="302">
        <v>1</v>
      </c>
      <c r="K26" s="302">
        <v>0</v>
      </c>
    </row>
    <row r="27" spans="1:11" x14ac:dyDescent="0.25">
      <c r="A27" s="303" t="s">
        <v>75</v>
      </c>
      <c r="B27" s="304">
        <v>0</v>
      </c>
      <c r="C27" s="304">
        <v>0</v>
      </c>
      <c r="D27" s="304">
        <v>0</v>
      </c>
      <c r="E27" s="304">
        <v>4</v>
      </c>
      <c r="F27" s="304">
        <v>5</v>
      </c>
      <c r="G27" s="418">
        <v>73</v>
      </c>
      <c r="H27" s="418">
        <v>18</v>
      </c>
      <c r="I27" s="304">
        <v>0</v>
      </c>
      <c r="J27" s="304">
        <v>10</v>
      </c>
      <c r="K27" s="304">
        <v>17</v>
      </c>
    </row>
    <row r="28" spans="1:11" x14ac:dyDescent="0.25">
      <c r="A28" s="301" t="s">
        <v>76</v>
      </c>
      <c r="B28" s="302">
        <v>0</v>
      </c>
      <c r="C28" s="302">
        <v>0</v>
      </c>
      <c r="D28" s="302">
        <v>0</v>
      </c>
      <c r="E28" s="302">
        <v>0</v>
      </c>
      <c r="F28" s="302">
        <v>0</v>
      </c>
      <c r="G28" s="418">
        <v>20</v>
      </c>
      <c r="H28" s="302">
        <v>0</v>
      </c>
      <c r="I28" s="302">
        <v>0</v>
      </c>
      <c r="J28" s="302">
        <v>0</v>
      </c>
      <c r="K28" s="302">
        <v>0</v>
      </c>
    </row>
    <row r="29" spans="1:11" x14ac:dyDescent="0.25">
      <c r="A29" s="303" t="s">
        <v>77</v>
      </c>
      <c r="B29" s="304">
        <v>0</v>
      </c>
      <c r="C29" s="304">
        <v>0</v>
      </c>
      <c r="D29" s="304">
        <v>0</v>
      </c>
      <c r="E29" s="304">
        <v>20</v>
      </c>
      <c r="F29" s="304">
        <v>0</v>
      </c>
      <c r="G29" s="418">
        <v>94</v>
      </c>
      <c r="H29" s="418">
        <v>15</v>
      </c>
      <c r="I29" s="304">
        <v>2</v>
      </c>
      <c r="J29" s="304">
        <v>20</v>
      </c>
      <c r="K29" s="304">
        <v>0</v>
      </c>
    </row>
    <row r="30" spans="1:11" x14ac:dyDescent="0.25">
      <c r="A30" s="301" t="s">
        <v>78</v>
      </c>
      <c r="B30" s="302">
        <v>0</v>
      </c>
      <c r="C30" s="302">
        <v>0</v>
      </c>
      <c r="D30" s="302">
        <v>0</v>
      </c>
      <c r="E30" s="302">
        <v>10</v>
      </c>
      <c r="F30" s="302">
        <v>0</v>
      </c>
      <c r="G30" s="418">
        <v>40</v>
      </c>
      <c r="H30" s="418">
        <v>12</v>
      </c>
      <c r="I30" s="302">
        <v>22</v>
      </c>
      <c r="J30" s="302">
        <v>0</v>
      </c>
      <c r="K30" s="302">
        <v>9</v>
      </c>
    </row>
    <row r="31" spans="1:11" x14ac:dyDescent="0.25">
      <c r="A31" s="419" t="s">
        <v>79</v>
      </c>
      <c r="B31" s="420">
        <v>0</v>
      </c>
      <c r="C31" s="420">
        <v>0</v>
      </c>
      <c r="D31" s="420">
        <v>0</v>
      </c>
      <c r="E31" s="420">
        <v>127</v>
      </c>
      <c r="F31" s="420">
        <v>0</v>
      </c>
      <c r="G31" s="420">
        <v>0</v>
      </c>
      <c r="H31" s="420">
        <v>0</v>
      </c>
      <c r="I31" s="304">
        <v>0</v>
      </c>
      <c r="J31" s="304">
        <v>0</v>
      </c>
      <c r="K31" s="304">
        <v>0</v>
      </c>
    </row>
    <row r="32" spans="1:11" x14ac:dyDescent="0.25">
      <c r="A32" s="419" t="s">
        <v>80</v>
      </c>
      <c r="B32" s="420">
        <v>0</v>
      </c>
      <c r="C32" s="420">
        <v>0</v>
      </c>
      <c r="D32" s="420">
        <v>-37</v>
      </c>
      <c r="E32" s="420">
        <v>0</v>
      </c>
      <c r="F32" s="420">
        <v>0</v>
      </c>
      <c r="G32" s="420">
        <v>0</v>
      </c>
      <c r="H32" s="420">
        <v>0</v>
      </c>
      <c r="I32" s="302">
        <v>0</v>
      </c>
      <c r="J32" s="302">
        <v>0</v>
      </c>
      <c r="K32" s="302">
        <v>0</v>
      </c>
    </row>
    <row r="33" spans="1:11" x14ac:dyDescent="0.25">
      <c r="A33" s="303" t="s">
        <v>81</v>
      </c>
      <c r="B33" s="304">
        <v>0</v>
      </c>
      <c r="C33" s="304">
        <v>54</v>
      </c>
      <c r="D33" s="304">
        <v>16</v>
      </c>
      <c r="E33" s="304">
        <v>24</v>
      </c>
      <c r="F33" s="304">
        <v>0</v>
      </c>
      <c r="G33" s="418">
        <v>19</v>
      </c>
      <c r="H33" s="418">
        <v>36</v>
      </c>
      <c r="I33" s="304">
        <v>17</v>
      </c>
      <c r="J33" s="304">
        <v>30</v>
      </c>
      <c r="K33" s="304">
        <v>0</v>
      </c>
    </row>
    <row r="34" spans="1:11" x14ac:dyDescent="0.25">
      <c r="A34" s="301" t="s">
        <v>82</v>
      </c>
      <c r="B34" s="302">
        <v>0</v>
      </c>
      <c r="C34" s="302">
        <v>35</v>
      </c>
      <c r="D34" s="302">
        <v>60</v>
      </c>
      <c r="E34" s="302">
        <v>40</v>
      </c>
      <c r="F34" s="302">
        <v>0</v>
      </c>
      <c r="G34" s="418">
        <v>0</v>
      </c>
      <c r="H34" s="418">
        <v>17</v>
      </c>
      <c r="I34" s="302">
        <v>34</v>
      </c>
      <c r="J34" s="302">
        <v>15</v>
      </c>
      <c r="K34" s="302">
        <v>2</v>
      </c>
    </row>
    <row r="35" spans="1:11" x14ac:dyDescent="0.25">
      <c r="A35" s="303" t="s">
        <v>83</v>
      </c>
      <c r="B35" s="304">
        <v>0</v>
      </c>
      <c r="C35" s="304">
        <v>44</v>
      </c>
      <c r="D35" s="304">
        <v>9</v>
      </c>
      <c r="E35" s="304">
        <v>0</v>
      </c>
      <c r="F35" s="304">
        <v>0</v>
      </c>
      <c r="G35" s="418">
        <v>0</v>
      </c>
      <c r="H35" s="418">
        <v>0</v>
      </c>
      <c r="I35" s="304">
        <v>0</v>
      </c>
      <c r="J35" s="304">
        <v>0</v>
      </c>
      <c r="K35" s="304">
        <v>0</v>
      </c>
    </row>
    <row r="36" spans="1:11" x14ac:dyDescent="0.25">
      <c r="A36" s="301" t="s">
        <v>84</v>
      </c>
      <c r="B36" s="302">
        <v>0</v>
      </c>
      <c r="C36" s="302">
        <v>135</v>
      </c>
      <c r="D36" s="302">
        <v>118</v>
      </c>
      <c r="E36" s="302">
        <v>0</v>
      </c>
      <c r="F36" s="302">
        <v>1</v>
      </c>
      <c r="G36" s="418">
        <v>77</v>
      </c>
      <c r="H36" s="418">
        <v>29</v>
      </c>
      <c r="I36" s="302">
        <v>142</v>
      </c>
      <c r="J36" s="302">
        <v>8</v>
      </c>
      <c r="K36" s="302">
        <v>6</v>
      </c>
    </row>
    <row r="37" spans="1:11" x14ac:dyDescent="0.25">
      <c r="A37" s="303" t="s">
        <v>85</v>
      </c>
      <c r="B37" s="304">
        <v>0</v>
      </c>
      <c r="C37" s="304">
        <v>66</v>
      </c>
      <c r="D37" s="304">
        <v>25</v>
      </c>
      <c r="E37" s="304">
        <v>3</v>
      </c>
      <c r="F37" s="304">
        <v>0</v>
      </c>
      <c r="G37" s="418">
        <v>27</v>
      </c>
      <c r="H37" s="418">
        <v>88</v>
      </c>
      <c r="I37" s="304">
        <v>0</v>
      </c>
      <c r="J37" s="304">
        <v>16</v>
      </c>
      <c r="K37" s="304">
        <v>0</v>
      </c>
    </row>
    <row r="38" spans="1:11" x14ac:dyDescent="0.25">
      <c r="A38" s="301" t="s">
        <v>86</v>
      </c>
      <c r="B38" s="302">
        <v>0</v>
      </c>
      <c r="C38" s="302">
        <v>38</v>
      </c>
      <c r="D38" s="302">
        <v>0</v>
      </c>
      <c r="E38" s="302">
        <v>9</v>
      </c>
      <c r="F38" s="302">
        <v>15</v>
      </c>
      <c r="G38" s="418">
        <v>28</v>
      </c>
      <c r="H38" s="418">
        <v>23</v>
      </c>
      <c r="I38" s="302">
        <v>30</v>
      </c>
      <c r="J38" s="302">
        <v>17</v>
      </c>
      <c r="K38" s="302">
        <v>10</v>
      </c>
    </row>
    <row r="39" spans="1:11" ht="15.75" customHeight="1" thickBot="1" x14ac:dyDescent="0.3">
      <c r="A39" s="305"/>
      <c r="B39" s="306"/>
      <c r="C39" s="306"/>
      <c r="D39" s="306"/>
      <c r="E39" s="306"/>
      <c r="F39" s="306"/>
      <c r="G39" s="306"/>
      <c r="H39" s="306"/>
      <c r="I39" s="306"/>
      <c r="J39" s="306"/>
      <c r="K39" s="306"/>
    </row>
    <row r="40" spans="1:11" x14ac:dyDescent="0.25">
      <c r="A40" s="320" t="s">
        <v>87</v>
      </c>
      <c r="B40" s="321">
        <v>0</v>
      </c>
      <c r="C40" s="321">
        <v>9</v>
      </c>
      <c r="D40" s="321">
        <v>-45</v>
      </c>
      <c r="E40" s="321">
        <v>0</v>
      </c>
      <c r="F40" s="321">
        <v>0</v>
      </c>
      <c r="G40" s="421">
        <v>0</v>
      </c>
      <c r="H40" s="421">
        <v>0</v>
      </c>
      <c r="I40" s="321">
        <v>0</v>
      </c>
      <c r="J40" s="321">
        <v>0</v>
      </c>
      <c r="K40" s="322">
        <v>32</v>
      </c>
    </row>
    <row r="41" spans="1:11" x14ac:dyDescent="0.25">
      <c r="A41" s="312" t="s">
        <v>88</v>
      </c>
      <c r="B41" s="304">
        <v>0</v>
      </c>
      <c r="C41" s="304">
        <v>0</v>
      </c>
      <c r="D41" s="304">
        <v>0</v>
      </c>
      <c r="E41" s="304">
        <v>0</v>
      </c>
      <c r="F41" s="304">
        <v>0</v>
      </c>
      <c r="G41" s="418">
        <v>0</v>
      </c>
      <c r="H41" s="418">
        <v>0</v>
      </c>
      <c r="I41" s="304">
        <v>5</v>
      </c>
      <c r="J41" s="304">
        <v>8</v>
      </c>
      <c r="K41" s="313">
        <v>3</v>
      </c>
    </row>
    <row r="42" spans="1:11" x14ac:dyDescent="0.25">
      <c r="A42" s="310" t="s">
        <v>89</v>
      </c>
      <c r="B42" s="302">
        <v>0</v>
      </c>
      <c r="C42" s="302">
        <v>44</v>
      </c>
      <c r="D42" s="302">
        <v>29</v>
      </c>
      <c r="E42" s="302">
        <v>14</v>
      </c>
      <c r="F42" s="302">
        <v>0</v>
      </c>
      <c r="G42" s="418">
        <v>49</v>
      </c>
      <c r="H42" s="418">
        <v>50</v>
      </c>
      <c r="I42" s="302">
        <v>96</v>
      </c>
      <c r="J42" s="302">
        <v>40</v>
      </c>
      <c r="K42" s="311">
        <v>49</v>
      </c>
    </row>
    <row r="43" spans="1:11" ht="15.75" customHeight="1" thickBot="1" x14ac:dyDescent="0.3">
      <c r="A43" s="317" t="s">
        <v>90</v>
      </c>
      <c r="B43" s="318">
        <v>0</v>
      </c>
      <c r="C43" s="318">
        <v>114</v>
      </c>
      <c r="D43" s="318">
        <v>0</v>
      </c>
      <c r="E43" s="318">
        <v>0</v>
      </c>
      <c r="F43" s="318">
        <v>0</v>
      </c>
      <c r="G43" s="422">
        <v>142</v>
      </c>
      <c r="H43" s="422">
        <v>31</v>
      </c>
      <c r="I43" s="318">
        <v>21</v>
      </c>
      <c r="J43" s="318">
        <v>65</v>
      </c>
      <c r="K43" s="319">
        <v>49</v>
      </c>
    </row>
    <row r="44" spans="1:11" x14ac:dyDescent="0.25">
      <c r="A44" s="320" t="s">
        <v>91</v>
      </c>
      <c r="B44" s="321">
        <v>0</v>
      </c>
      <c r="C44" s="321">
        <v>211</v>
      </c>
      <c r="D44" s="321">
        <v>414</v>
      </c>
      <c r="E44" s="321">
        <v>80</v>
      </c>
      <c r="F44" s="321">
        <v>0</v>
      </c>
      <c r="G44" s="421">
        <v>82</v>
      </c>
      <c r="H44" s="421">
        <v>10</v>
      </c>
      <c r="I44" s="321">
        <v>0</v>
      </c>
      <c r="J44" s="321">
        <v>119</v>
      </c>
      <c r="K44" s="322">
        <v>0</v>
      </c>
    </row>
    <row r="45" spans="1:11" x14ac:dyDescent="0.25">
      <c r="A45" s="312" t="s">
        <v>92</v>
      </c>
      <c r="B45" s="304">
        <v>0</v>
      </c>
      <c r="C45" s="304">
        <v>424</v>
      </c>
      <c r="D45" s="304">
        <v>743</v>
      </c>
      <c r="E45" s="304">
        <v>189</v>
      </c>
      <c r="F45" s="304">
        <v>0</v>
      </c>
      <c r="G45" s="418">
        <v>10</v>
      </c>
      <c r="H45" s="418">
        <v>15</v>
      </c>
      <c r="I45" s="304">
        <v>0</v>
      </c>
      <c r="J45" s="304">
        <v>0</v>
      </c>
      <c r="K45" s="313">
        <v>0</v>
      </c>
    </row>
    <row r="46" spans="1:11" x14ac:dyDescent="0.25">
      <c r="A46" s="310" t="s">
        <v>93</v>
      </c>
      <c r="B46" s="302">
        <v>0</v>
      </c>
      <c r="C46" s="302">
        <v>0</v>
      </c>
      <c r="D46" s="302">
        <v>64</v>
      </c>
      <c r="E46" s="302">
        <v>0</v>
      </c>
      <c r="F46" s="302">
        <v>0</v>
      </c>
      <c r="G46" s="418">
        <v>0</v>
      </c>
      <c r="H46" s="418">
        <v>0</v>
      </c>
      <c r="I46" s="302">
        <v>0</v>
      </c>
      <c r="J46" s="302">
        <v>0</v>
      </c>
      <c r="K46" s="311">
        <v>0</v>
      </c>
    </row>
    <row r="47" spans="1:11" x14ac:dyDescent="0.25">
      <c r="A47" s="312" t="s">
        <v>94</v>
      </c>
      <c r="B47" s="304">
        <v>0</v>
      </c>
      <c r="C47" s="304">
        <v>0</v>
      </c>
      <c r="D47" s="304">
        <v>4</v>
      </c>
      <c r="E47" s="304">
        <v>0</v>
      </c>
      <c r="F47" s="304">
        <v>1</v>
      </c>
      <c r="G47" s="418">
        <v>0</v>
      </c>
      <c r="H47" s="418">
        <v>0</v>
      </c>
      <c r="I47" s="304">
        <v>0</v>
      </c>
      <c r="J47" s="304">
        <v>0</v>
      </c>
      <c r="K47" s="313">
        <v>1</v>
      </c>
    </row>
    <row r="48" spans="1:11" x14ac:dyDescent="0.25">
      <c r="A48" s="310" t="s">
        <v>47</v>
      </c>
      <c r="B48" s="302">
        <v>0</v>
      </c>
      <c r="C48" s="302">
        <v>0</v>
      </c>
      <c r="D48" s="302">
        <v>0</v>
      </c>
      <c r="E48" s="302">
        <v>1</v>
      </c>
      <c r="F48" s="302">
        <v>3</v>
      </c>
      <c r="G48" s="418">
        <v>31</v>
      </c>
      <c r="H48" s="418">
        <v>63</v>
      </c>
      <c r="I48" s="302">
        <v>0</v>
      </c>
      <c r="J48" s="302">
        <v>77</v>
      </c>
      <c r="K48" s="311">
        <v>0</v>
      </c>
    </row>
    <row r="49" spans="1:11" x14ac:dyDescent="0.25">
      <c r="A49" s="312" t="s">
        <v>48</v>
      </c>
      <c r="B49" s="304">
        <v>0</v>
      </c>
      <c r="C49" s="304">
        <v>0</v>
      </c>
      <c r="D49" s="304">
        <v>0</v>
      </c>
      <c r="E49" s="304">
        <v>10</v>
      </c>
      <c r="F49" s="304">
        <v>3</v>
      </c>
      <c r="G49" s="418">
        <v>0</v>
      </c>
      <c r="H49" s="418">
        <v>0</v>
      </c>
      <c r="I49" s="304">
        <v>0</v>
      </c>
      <c r="J49" s="304">
        <v>82</v>
      </c>
      <c r="K49" s="313">
        <v>13</v>
      </c>
    </row>
    <row r="50" spans="1:11" ht="15.75" customHeight="1" thickBot="1" x14ac:dyDescent="0.3">
      <c r="A50" s="314" t="s">
        <v>50</v>
      </c>
      <c r="B50" s="315">
        <v>0</v>
      </c>
      <c r="C50" s="315">
        <v>0</v>
      </c>
      <c r="D50" s="315">
        <v>0</v>
      </c>
      <c r="E50" s="315">
        <v>0</v>
      </c>
      <c r="F50" s="315">
        <v>0</v>
      </c>
      <c r="G50" s="422">
        <v>0</v>
      </c>
      <c r="H50" s="422">
        <v>0</v>
      </c>
      <c r="I50" s="315">
        <v>0</v>
      </c>
      <c r="J50" s="315">
        <v>34</v>
      </c>
      <c r="K50" s="316">
        <v>30</v>
      </c>
    </row>
    <row r="51" spans="1:11" x14ac:dyDescent="0.25">
      <c r="A51" s="307" t="s">
        <v>95</v>
      </c>
      <c r="B51" s="308">
        <v>0</v>
      </c>
      <c r="C51" s="308">
        <v>0</v>
      </c>
      <c r="D51" s="308">
        <v>0</v>
      </c>
      <c r="E51" s="308">
        <v>0</v>
      </c>
      <c r="F51" s="308">
        <v>0</v>
      </c>
      <c r="G51" s="421">
        <v>0</v>
      </c>
      <c r="H51" s="421">
        <v>0</v>
      </c>
      <c r="I51" s="308">
        <v>0</v>
      </c>
      <c r="J51" s="308">
        <v>0</v>
      </c>
      <c r="K51" s="309">
        <v>13</v>
      </c>
    </row>
    <row r="52" spans="1:11" x14ac:dyDescent="0.25">
      <c r="A52" s="310" t="s">
        <v>96</v>
      </c>
      <c r="B52" s="302">
        <v>0</v>
      </c>
      <c r="C52" s="302">
        <v>0</v>
      </c>
      <c r="D52" s="302">
        <v>0</v>
      </c>
      <c r="E52" s="302">
        <v>0</v>
      </c>
      <c r="F52" s="302">
        <v>0</v>
      </c>
      <c r="G52" s="418">
        <v>99</v>
      </c>
      <c r="H52" s="418">
        <v>0</v>
      </c>
      <c r="I52" s="302">
        <v>0</v>
      </c>
      <c r="J52" s="302">
        <v>136</v>
      </c>
      <c r="K52" s="311">
        <v>130</v>
      </c>
    </row>
    <row r="53" spans="1:11" x14ac:dyDescent="0.25">
      <c r="A53" s="312" t="s">
        <v>97</v>
      </c>
      <c r="B53" s="304">
        <v>0</v>
      </c>
      <c r="C53" s="304">
        <v>0</v>
      </c>
      <c r="D53" s="304">
        <v>0</v>
      </c>
      <c r="E53" s="304">
        <v>0</v>
      </c>
      <c r="F53" s="304">
        <v>0</v>
      </c>
      <c r="G53" s="418">
        <v>5</v>
      </c>
      <c r="H53" s="418">
        <v>5</v>
      </c>
      <c r="I53" s="304">
        <v>0</v>
      </c>
      <c r="J53" s="304">
        <v>0</v>
      </c>
      <c r="K53" s="313">
        <v>0</v>
      </c>
    </row>
    <row r="54" spans="1:11" x14ac:dyDescent="0.25">
      <c r="A54" s="310" t="s">
        <v>98</v>
      </c>
      <c r="B54" s="302">
        <v>0</v>
      </c>
      <c r="C54" s="302">
        <v>60</v>
      </c>
      <c r="D54" s="302">
        <v>27</v>
      </c>
      <c r="E54" s="302">
        <v>27</v>
      </c>
      <c r="F54" s="302">
        <v>10</v>
      </c>
      <c r="G54" s="418">
        <v>43</v>
      </c>
      <c r="H54" s="418">
        <v>29</v>
      </c>
      <c r="I54" s="302">
        <v>39</v>
      </c>
      <c r="J54" s="302">
        <v>105</v>
      </c>
      <c r="K54" s="311">
        <v>23</v>
      </c>
    </row>
    <row r="55" spans="1:11" ht="15.75" customHeight="1" thickBot="1" x14ac:dyDescent="0.3">
      <c r="A55" s="317" t="s">
        <v>99</v>
      </c>
      <c r="B55" s="318">
        <v>0</v>
      </c>
      <c r="C55" s="318">
        <v>0</v>
      </c>
      <c r="D55" s="318">
        <v>7</v>
      </c>
      <c r="E55" s="318">
        <v>0</v>
      </c>
      <c r="F55" s="318">
        <v>6</v>
      </c>
      <c r="G55" s="422">
        <v>163</v>
      </c>
      <c r="H55" s="422">
        <v>82</v>
      </c>
      <c r="I55" s="318">
        <v>75</v>
      </c>
      <c r="J55" s="318">
        <v>180</v>
      </c>
      <c r="K55" s="319">
        <v>21</v>
      </c>
    </row>
    <row r="56" spans="1:11" x14ac:dyDescent="0.25">
      <c r="A56" s="320" t="s">
        <v>100</v>
      </c>
      <c r="B56" s="321">
        <v>0</v>
      </c>
      <c r="C56" s="321">
        <v>0</v>
      </c>
      <c r="D56" s="321">
        <v>0</v>
      </c>
      <c r="E56" s="321">
        <v>0</v>
      </c>
      <c r="F56" s="321">
        <v>0</v>
      </c>
      <c r="G56" s="421">
        <v>2</v>
      </c>
      <c r="H56" s="421">
        <v>0</v>
      </c>
      <c r="I56" s="321">
        <v>0</v>
      </c>
      <c r="J56" s="321">
        <v>0</v>
      </c>
      <c r="K56" s="322">
        <v>0</v>
      </c>
    </row>
    <row r="57" spans="1:11" x14ac:dyDescent="0.25">
      <c r="A57" s="312" t="s">
        <v>101</v>
      </c>
      <c r="B57" s="304">
        <v>0</v>
      </c>
      <c r="C57" s="304">
        <v>0</v>
      </c>
      <c r="D57" s="304">
        <v>0</v>
      </c>
      <c r="E57" s="304">
        <v>0</v>
      </c>
      <c r="F57" s="304">
        <v>0</v>
      </c>
      <c r="G57" s="418">
        <v>33</v>
      </c>
      <c r="H57" s="418">
        <v>0</v>
      </c>
      <c r="I57" s="304">
        <v>0</v>
      </c>
      <c r="J57" s="304">
        <v>0</v>
      </c>
      <c r="K57" s="313">
        <v>0</v>
      </c>
    </row>
    <row r="58" spans="1:11" x14ac:dyDescent="0.25">
      <c r="A58" s="310" t="s">
        <v>41</v>
      </c>
      <c r="B58" s="302">
        <v>0</v>
      </c>
      <c r="C58" s="302">
        <v>0</v>
      </c>
      <c r="D58" s="302">
        <v>0</v>
      </c>
      <c r="E58" s="302">
        <v>0</v>
      </c>
      <c r="F58" s="302">
        <v>0</v>
      </c>
      <c r="G58" s="418">
        <v>5</v>
      </c>
      <c r="H58" s="418">
        <v>26</v>
      </c>
      <c r="I58" s="302">
        <v>49</v>
      </c>
      <c r="J58" s="302">
        <v>99</v>
      </c>
      <c r="K58" s="311">
        <v>15</v>
      </c>
    </row>
    <row r="59" spans="1:11" x14ac:dyDescent="0.25">
      <c r="A59" s="312" t="s">
        <v>42</v>
      </c>
      <c r="B59" s="304">
        <v>0</v>
      </c>
      <c r="C59" s="304">
        <v>0</v>
      </c>
      <c r="D59" s="304">
        <v>0</v>
      </c>
      <c r="E59" s="304">
        <v>0</v>
      </c>
      <c r="F59" s="304">
        <v>0</v>
      </c>
      <c r="G59" s="418">
        <v>0</v>
      </c>
      <c r="H59" s="418">
        <v>0</v>
      </c>
      <c r="I59" s="304">
        <v>0</v>
      </c>
      <c r="J59" s="304">
        <v>40</v>
      </c>
      <c r="K59" s="313">
        <v>22</v>
      </c>
    </row>
    <row r="60" spans="1:11" x14ac:dyDescent="0.25">
      <c r="A60" s="310" t="s">
        <v>44</v>
      </c>
      <c r="B60" s="302">
        <v>0</v>
      </c>
      <c r="C60" s="302">
        <v>0</v>
      </c>
      <c r="D60" s="302">
        <v>0</v>
      </c>
      <c r="E60" s="302">
        <v>0</v>
      </c>
      <c r="F60" s="302">
        <v>0</v>
      </c>
      <c r="G60" s="418">
        <v>0</v>
      </c>
      <c r="H60" s="418">
        <v>0</v>
      </c>
      <c r="I60" s="302">
        <v>3</v>
      </c>
      <c r="J60" s="302">
        <v>13</v>
      </c>
      <c r="K60" s="311">
        <v>1</v>
      </c>
    </row>
    <row r="61" spans="1:11" ht="15.75" customHeight="1" thickBot="1" x14ac:dyDescent="0.3">
      <c r="A61" s="317" t="s">
        <v>45</v>
      </c>
      <c r="B61" s="318">
        <v>0</v>
      </c>
      <c r="C61" s="318">
        <v>0</v>
      </c>
      <c r="D61" s="318">
        <v>0</v>
      </c>
      <c r="E61" s="318">
        <v>0</v>
      </c>
      <c r="F61" s="318">
        <v>0</v>
      </c>
      <c r="G61" s="422">
        <v>0</v>
      </c>
      <c r="H61" s="422">
        <v>0</v>
      </c>
      <c r="I61" s="318">
        <v>11</v>
      </c>
      <c r="J61" s="318">
        <v>51</v>
      </c>
      <c r="K61" s="319">
        <v>30</v>
      </c>
    </row>
    <row r="62" spans="1:11" x14ac:dyDescent="0.25">
      <c r="A62" s="301" t="s">
        <v>105</v>
      </c>
      <c r="B62" s="302">
        <v>0</v>
      </c>
      <c r="C62" s="302">
        <v>0</v>
      </c>
      <c r="D62" s="302">
        <v>0</v>
      </c>
      <c r="E62" s="302">
        <v>0</v>
      </c>
      <c r="F62" s="302">
        <v>0</v>
      </c>
      <c r="G62" s="302">
        <v>0</v>
      </c>
      <c r="H62" s="302">
        <v>1</v>
      </c>
      <c r="I62" s="302">
        <v>0</v>
      </c>
      <c r="J62" s="302">
        <v>0</v>
      </c>
      <c r="K62" s="302">
        <v>0</v>
      </c>
    </row>
    <row r="63" spans="1:11" x14ac:dyDescent="0.25">
      <c r="A63" s="303" t="s">
        <v>30</v>
      </c>
      <c r="B63" s="304">
        <v>0</v>
      </c>
      <c r="C63" s="304">
        <v>0</v>
      </c>
      <c r="D63" s="304">
        <v>22</v>
      </c>
      <c r="E63" s="304">
        <v>0</v>
      </c>
      <c r="F63" s="304">
        <v>0</v>
      </c>
      <c r="G63" s="304">
        <v>0</v>
      </c>
      <c r="H63" s="304">
        <v>0</v>
      </c>
      <c r="I63" s="304">
        <v>0</v>
      </c>
      <c r="J63" s="304">
        <v>0</v>
      </c>
      <c r="K63" s="304">
        <v>0</v>
      </c>
    </row>
    <row r="64" spans="1:11" x14ac:dyDescent="0.25">
      <c r="A64" s="301" t="s">
        <v>31</v>
      </c>
      <c r="B64" s="302">
        <v>0</v>
      </c>
      <c r="C64" s="302">
        <v>0</v>
      </c>
      <c r="D64" s="302">
        <v>3</v>
      </c>
      <c r="E64" s="302">
        <v>8</v>
      </c>
      <c r="F64" s="302">
        <v>0</v>
      </c>
      <c r="G64" s="302">
        <v>0</v>
      </c>
      <c r="H64" s="302">
        <v>161</v>
      </c>
      <c r="I64" s="302">
        <v>0</v>
      </c>
      <c r="J64" s="302">
        <v>208</v>
      </c>
      <c r="K64" s="302">
        <v>6</v>
      </c>
    </row>
    <row r="65" spans="1:11" x14ac:dyDescent="0.25">
      <c r="A65" s="303" t="s">
        <v>32</v>
      </c>
      <c r="B65" s="304">
        <v>0</v>
      </c>
      <c r="C65" s="304">
        <v>0</v>
      </c>
      <c r="D65" s="304">
        <v>0</v>
      </c>
      <c r="E65" s="304">
        <v>1</v>
      </c>
      <c r="F65" s="304">
        <v>0</v>
      </c>
      <c r="G65" s="304">
        <v>0</v>
      </c>
      <c r="H65" s="304">
        <v>9</v>
      </c>
      <c r="I65" s="304">
        <v>0</v>
      </c>
      <c r="J65" s="304">
        <v>36</v>
      </c>
      <c r="K65" s="304">
        <v>14</v>
      </c>
    </row>
    <row r="66" spans="1:11" x14ac:dyDescent="0.25">
      <c r="A66" s="301" t="s">
        <v>107</v>
      </c>
      <c r="B66" s="302">
        <v>0</v>
      </c>
      <c r="C66" s="302">
        <v>0</v>
      </c>
      <c r="D66" s="302">
        <v>0</v>
      </c>
      <c r="E66" s="302">
        <v>0</v>
      </c>
      <c r="F66" s="302">
        <v>0</v>
      </c>
      <c r="G66" s="302">
        <v>0</v>
      </c>
      <c r="H66" s="302">
        <v>146</v>
      </c>
      <c r="I66" s="302">
        <v>0</v>
      </c>
      <c r="J66" s="302">
        <v>146</v>
      </c>
      <c r="K66" s="302">
        <v>0</v>
      </c>
    </row>
    <row r="67" spans="1:11" x14ac:dyDescent="0.25">
      <c r="A67" s="303" t="s">
        <v>108</v>
      </c>
      <c r="B67" s="304">
        <v>0</v>
      </c>
      <c r="C67" s="304">
        <v>0</v>
      </c>
      <c r="D67" s="304">
        <v>0</v>
      </c>
      <c r="E67" s="304">
        <v>0</v>
      </c>
      <c r="F67" s="304">
        <v>0</v>
      </c>
      <c r="G67" s="304">
        <v>0</v>
      </c>
      <c r="H67" s="304">
        <v>73</v>
      </c>
      <c r="I67" s="304">
        <v>0</v>
      </c>
      <c r="J67" s="304">
        <v>1</v>
      </c>
      <c r="K67" s="304">
        <v>0</v>
      </c>
    </row>
    <row r="68" spans="1:11" x14ac:dyDescent="0.25">
      <c r="A68" s="301" t="s">
        <v>109</v>
      </c>
      <c r="B68" s="302">
        <v>0</v>
      </c>
      <c r="C68" s="302">
        <v>0</v>
      </c>
      <c r="D68" s="302">
        <v>0</v>
      </c>
      <c r="E68" s="302">
        <v>10</v>
      </c>
      <c r="F68" s="302">
        <v>13</v>
      </c>
      <c r="G68" s="302">
        <v>0</v>
      </c>
      <c r="H68" s="302">
        <v>0</v>
      </c>
      <c r="I68" s="302">
        <v>0</v>
      </c>
      <c r="J68" s="302">
        <v>0</v>
      </c>
      <c r="K68" s="302">
        <v>0</v>
      </c>
    </row>
    <row r="69" spans="1:11" x14ac:dyDescent="0.25">
      <c r="A69" s="303" t="s">
        <v>110</v>
      </c>
      <c r="B69" s="304">
        <v>0</v>
      </c>
      <c r="C69" s="304">
        <v>0</v>
      </c>
      <c r="D69" s="304">
        <v>0</v>
      </c>
      <c r="E69" s="304">
        <v>0</v>
      </c>
      <c r="F69" s="304">
        <v>0</v>
      </c>
      <c r="G69" s="418">
        <v>69</v>
      </c>
      <c r="H69" s="304">
        <v>0</v>
      </c>
      <c r="I69" s="304">
        <v>0</v>
      </c>
      <c r="J69" s="304">
        <v>0</v>
      </c>
      <c r="K69" s="304">
        <v>0</v>
      </c>
    </row>
    <row r="70" spans="1:11" x14ac:dyDescent="0.25">
      <c r="A70" s="301" t="s">
        <v>40</v>
      </c>
      <c r="B70" s="302">
        <v>0</v>
      </c>
      <c r="C70" s="302">
        <v>0</v>
      </c>
      <c r="D70" s="302">
        <v>16</v>
      </c>
      <c r="E70" s="302">
        <v>0</v>
      </c>
      <c r="F70" s="302">
        <v>0</v>
      </c>
      <c r="G70" s="418">
        <v>50</v>
      </c>
      <c r="H70" s="418">
        <v>15</v>
      </c>
      <c r="I70" s="302">
        <v>0</v>
      </c>
      <c r="J70" s="302">
        <v>29</v>
      </c>
      <c r="K70" s="302">
        <v>30</v>
      </c>
    </row>
    <row r="71" spans="1:11" x14ac:dyDescent="0.25">
      <c r="A71" s="303" t="s">
        <v>111</v>
      </c>
      <c r="B71" s="304">
        <v>0</v>
      </c>
      <c r="C71" s="304">
        <v>0</v>
      </c>
      <c r="D71" s="304">
        <v>22</v>
      </c>
      <c r="E71" s="304">
        <v>10</v>
      </c>
      <c r="F71" s="304">
        <v>0</v>
      </c>
      <c r="G71" s="418">
        <v>65</v>
      </c>
      <c r="H71" s="418">
        <v>32</v>
      </c>
      <c r="I71" s="304">
        <v>0</v>
      </c>
      <c r="J71" s="304">
        <v>49</v>
      </c>
      <c r="K71" s="304">
        <v>10</v>
      </c>
    </row>
    <row r="72" spans="1:11" x14ac:dyDescent="0.25">
      <c r="A72" s="301" t="s">
        <v>112</v>
      </c>
      <c r="B72" s="302">
        <v>0</v>
      </c>
      <c r="C72" s="302">
        <v>0</v>
      </c>
      <c r="D72" s="302">
        <v>0</v>
      </c>
      <c r="E72" s="302">
        <v>0</v>
      </c>
      <c r="F72" s="302">
        <v>3</v>
      </c>
      <c r="G72" s="302">
        <v>0</v>
      </c>
      <c r="H72" s="302">
        <v>0</v>
      </c>
      <c r="I72" s="302">
        <v>0</v>
      </c>
      <c r="J72" s="302">
        <v>0</v>
      </c>
      <c r="K72" s="302">
        <v>0</v>
      </c>
    </row>
    <row r="73" spans="1:11" x14ac:dyDescent="0.25">
      <c r="A73" s="303" t="s">
        <v>51</v>
      </c>
      <c r="B73" s="304">
        <v>0</v>
      </c>
      <c r="C73" s="304">
        <v>0</v>
      </c>
      <c r="D73" s="304">
        <v>0</v>
      </c>
      <c r="E73" s="304">
        <v>0</v>
      </c>
      <c r="F73" s="304">
        <v>0</v>
      </c>
      <c r="G73" s="304">
        <v>1</v>
      </c>
      <c r="H73" s="304">
        <v>1</v>
      </c>
      <c r="I73" s="304">
        <v>1</v>
      </c>
      <c r="J73" s="304">
        <v>0</v>
      </c>
      <c r="K73" s="304">
        <v>0</v>
      </c>
    </row>
    <row r="74" spans="1:11" x14ac:dyDescent="0.25">
      <c r="A74" s="301" t="s">
        <v>113</v>
      </c>
      <c r="B74" s="302">
        <v>0</v>
      </c>
      <c r="C74" s="302">
        <v>0</v>
      </c>
      <c r="D74" s="302">
        <v>0</v>
      </c>
      <c r="E74" s="302">
        <v>0</v>
      </c>
      <c r="F74" s="302">
        <v>0</v>
      </c>
      <c r="G74" s="302">
        <v>0</v>
      </c>
      <c r="H74" s="302">
        <v>0</v>
      </c>
      <c r="I74" s="302">
        <v>24</v>
      </c>
      <c r="J74" s="302">
        <v>0</v>
      </c>
      <c r="K74" s="302">
        <v>0</v>
      </c>
    </row>
    <row r="75" spans="1:11" x14ac:dyDescent="0.25">
      <c r="A75" s="303" t="s">
        <v>114</v>
      </c>
      <c r="B75" s="304">
        <v>0</v>
      </c>
      <c r="C75" s="304">
        <v>50</v>
      </c>
      <c r="D75" s="304">
        <v>0</v>
      </c>
      <c r="E75" s="304">
        <v>0</v>
      </c>
      <c r="F75" s="304">
        <v>0</v>
      </c>
      <c r="G75" s="304">
        <v>0</v>
      </c>
      <c r="H75" s="304">
        <v>0</v>
      </c>
      <c r="I75" s="304">
        <v>0</v>
      </c>
      <c r="J75" s="304">
        <v>0</v>
      </c>
      <c r="K75" s="304">
        <v>0</v>
      </c>
    </row>
    <row r="76" spans="1:11" x14ac:dyDescent="0.25">
      <c r="A76" s="301" t="s">
        <v>116</v>
      </c>
      <c r="B76" s="302">
        <v>0</v>
      </c>
      <c r="C76" s="302">
        <v>0</v>
      </c>
      <c r="D76" s="302">
        <v>0</v>
      </c>
      <c r="E76" s="302">
        <v>1</v>
      </c>
      <c r="F76" s="302">
        <v>0</v>
      </c>
      <c r="G76" s="302">
        <v>0</v>
      </c>
      <c r="H76" s="302">
        <v>0</v>
      </c>
      <c r="I76" s="302">
        <v>0</v>
      </c>
      <c r="J76" s="302">
        <v>0</v>
      </c>
      <c r="K76" s="302">
        <v>0</v>
      </c>
    </row>
    <row r="77" spans="1:11" x14ac:dyDescent="0.25">
      <c r="A77" s="303" t="s">
        <v>106</v>
      </c>
      <c r="B77" s="304">
        <v>0</v>
      </c>
      <c r="C77" s="304">
        <v>0</v>
      </c>
      <c r="D77" s="304">
        <v>5</v>
      </c>
      <c r="E77" s="304">
        <v>0</v>
      </c>
      <c r="F77" s="304">
        <v>0</v>
      </c>
      <c r="G77" s="304">
        <v>0</v>
      </c>
      <c r="H77" s="304">
        <v>0</v>
      </c>
      <c r="I77" s="304">
        <v>0</v>
      </c>
      <c r="J77" s="304">
        <v>0</v>
      </c>
      <c r="K77" s="304">
        <v>0</v>
      </c>
    </row>
    <row r="78" spans="1:11" x14ac:dyDescent="0.25">
      <c r="A78" s="301" t="s">
        <v>115</v>
      </c>
      <c r="B78" s="302">
        <v>0</v>
      </c>
      <c r="C78" s="302">
        <v>0</v>
      </c>
      <c r="D78" s="302">
        <v>0</v>
      </c>
      <c r="E78" s="302">
        <v>0</v>
      </c>
      <c r="F78" s="302">
        <v>0</v>
      </c>
      <c r="G78" s="302">
        <v>9</v>
      </c>
      <c r="H78" s="302">
        <v>0</v>
      </c>
      <c r="I78" s="302">
        <v>0</v>
      </c>
      <c r="J78" s="302">
        <v>0</v>
      </c>
      <c r="K78" s="302">
        <v>0</v>
      </c>
    </row>
    <row r="79" spans="1:11" x14ac:dyDescent="0.25">
      <c r="A79" s="303" t="s">
        <v>53</v>
      </c>
      <c r="B79" s="304">
        <v>0</v>
      </c>
      <c r="C79" s="304">
        <v>0</v>
      </c>
      <c r="D79" s="304">
        <v>0</v>
      </c>
      <c r="E79" s="304">
        <v>0</v>
      </c>
      <c r="F79" s="304">
        <v>0</v>
      </c>
      <c r="G79" s="304">
        <v>0</v>
      </c>
      <c r="H79" s="304">
        <v>0</v>
      </c>
      <c r="I79" s="304">
        <v>50</v>
      </c>
      <c r="J79" s="304">
        <v>0</v>
      </c>
      <c r="K79" s="304">
        <v>0</v>
      </c>
    </row>
    <row r="80" spans="1:11" x14ac:dyDescent="0.25">
      <c r="A80" s="301" t="s">
        <v>102</v>
      </c>
      <c r="B80" s="302">
        <v>0</v>
      </c>
      <c r="C80" s="302">
        <v>0</v>
      </c>
      <c r="D80" s="302">
        <v>0</v>
      </c>
      <c r="E80" s="302">
        <v>0</v>
      </c>
      <c r="F80" s="302">
        <v>0</v>
      </c>
      <c r="G80" s="302">
        <v>0</v>
      </c>
      <c r="H80" s="302">
        <v>0</v>
      </c>
      <c r="I80" s="302">
        <v>200</v>
      </c>
      <c r="J80" s="302">
        <v>0</v>
      </c>
      <c r="K80" s="302">
        <v>0</v>
      </c>
    </row>
    <row r="81" spans="1:11" x14ac:dyDescent="0.25">
      <c r="A81" s="303" t="s">
        <v>103</v>
      </c>
      <c r="B81" s="304">
        <v>0</v>
      </c>
      <c r="C81" s="304">
        <v>0</v>
      </c>
      <c r="D81" s="304">
        <v>0</v>
      </c>
      <c r="E81" s="304">
        <v>0</v>
      </c>
      <c r="F81" s="304">
        <v>0</v>
      </c>
      <c r="G81" s="304">
        <v>0</v>
      </c>
      <c r="H81" s="304">
        <v>0</v>
      </c>
      <c r="I81" s="304">
        <v>10</v>
      </c>
      <c r="J81" s="304">
        <v>0</v>
      </c>
      <c r="K81" s="304">
        <v>0</v>
      </c>
    </row>
    <row r="82" spans="1:11" x14ac:dyDescent="0.25">
      <c r="A82" s="301" t="s">
        <v>104</v>
      </c>
      <c r="B82" s="302">
        <v>0</v>
      </c>
      <c r="C82" s="302">
        <v>0</v>
      </c>
      <c r="D82" s="302">
        <v>0</v>
      </c>
      <c r="E82" s="302">
        <v>0</v>
      </c>
      <c r="F82" s="302">
        <v>0</v>
      </c>
      <c r="G82" s="302">
        <v>0</v>
      </c>
      <c r="H82" s="302">
        <v>0</v>
      </c>
      <c r="I82" s="302">
        <v>10</v>
      </c>
      <c r="J82" s="302">
        <v>0</v>
      </c>
      <c r="K82" s="302">
        <v>0</v>
      </c>
    </row>
    <row r="83" spans="1:11" x14ac:dyDescent="0.25">
      <c r="A83" s="323" t="s">
        <v>54</v>
      </c>
      <c r="B83" s="324">
        <v>0</v>
      </c>
      <c r="C83" s="324">
        <v>1830</v>
      </c>
      <c r="D83" s="324">
        <v>2868</v>
      </c>
      <c r="E83" s="324">
        <v>1384</v>
      </c>
      <c r="F83" s="324">
        <v>515</v>
      </c>
      <c r="G83" s="324">
        <v>1971</v>
      </c>
      <c r="H83" s="324">
        <v>1453</v>
      </c>
      <c r="I83" s="324">
        <v>1442</v>
      </c>
      <c r="J83" s="324">
        <v>2578</v>
      </c>
      <c r="K83" s="324">
        <v>647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1">
    <tabColor theme="7"/>
  </sheetPr>
  <dimension ref="A1:IC49"/>
  <sheetViews>
    <sheetView showGridLines="0" tabSelected="1" topLeftCell="A4" zoomScale="80" zoomScaleNormal="80" zoomScaleSheetLayoutView="50" workbookViewId="0">
      <selection activeCell="AE37" sqref="AE37"/>
    </sheetView>
  </sheetViews>
  <sheetFormatPr defaultColWidth="9.140625" defaultRowHeight="15" x14ac:dyDescent="0.25"/>
  <cols>
    <col min="1" max="1" width="35.7109375" customWidth="1"/>
    <col min="2" max="2" width="9" customWidth="1"/>
    <col min="3" max="3" width="16.42578125" hidden="1" customWidth="1"/>
    <col min="4" max="4" width="12.28515625" customWidth="1"/>
    <col min="5" max="5" width="1.7109375" customWidth="1"/>
    <col min="6" max="6" width="8.28515625" hidden="1" customWidth="1"/>
    <col min="7" max="25" width="13" hidden="1" customWidth="1"/>
    <col min="26" max="26" width="8.28515625" hidden="1" customWidth="1"/>
    <col min="27" max="29" width="13" hidden="1" customWidth="1"/>
    <col min="30" max="31" width="13" customWidth="1"/>
    <col min="32" max="32" width="9.140625" customWidth="1"/>
    <col min="33" max="33" width="1.85546875" customWidth="1"/>
    <col min="34" max="34" width="28.28515625" customWidth="1"/>
    <col min="35" max="35" width="14.28515625" customWidth="1"/>
    <col min="36" max="36" width="1.140625" customWidth="1"/>
    <col min="37" max="37" width="15" customWidth="1"/>
    <col min="38" max="38" width="1.85546875" customWidth="1"/>
    <col min="39" max="39" width="8.7109375" customWidth="1"/>
    <col min="40" max="40" width="14.42578125" customWidth="1"/>
    <col min="41" max="41" width="8.7109375" hidden="1" customWidth="1"/>
    <col min="42" max="42" width="14.42578125" hidden="1" customWidth="1"/>
    <col min="43" max="44" width="8.7109375" hidden="1" customWidth="1"/>
    <col min="45" max="49" width="13" hidden="1" customWidth="1"/>
    <col min="50" max="50" width="13.42578125" hidden="1" customWidth="1"/>
    <col min="51" max="51" width="8.7109375" hidden="1" customWidth="1"/>
    <col min="52" max="53" width="13" hidden="1" customWidth="1"/>
    <col min="54" max="54" width="9.140625" customWidth="1"/>
    <col min="55" max="55" width="21.85546875" customWidth="1"/>
    <col min="56" max="56" width="9.140625" customWidth="1"/>
    <col min="57" max="61" width="13" hidden="1" customWidth="1"/>
    <col min="62" max="62" width="9.140625" hidden="1" customWidth="1"/>
    <col min="63" max="65" width="13" hidden="1" customWidth="1"/>
    <col min="66" max="67" width="13" customWidth="1"/>
  </cols>
  <sheetData>
    <row r="1" spans="1:68" ht="23.25" customHeight="1" x14ac:dyDescent="0.25">
      <c r="A1" s="354" t="s">
        <v>117</v>
      </c>
      <c r="B1" s="354"/>
      <c r="C1" s="354"/>
      <c r="D1" s="354"/>
      <c r="E1" s="354"/>
      <c r="F1" s="354"/>
      <c r="G1" s="354"/>
      <c r="H1" s="354"/>
      <c r="I1" s="354"/>
      <c r="J1" s="354"/>
      <c r="K1" s="354"/>
      <c r="L1" s="354"/>
      <c r="M1" s="354"/>
      <c r="N1" s="354"/>
      <c r="O1" s="354"/>
      <c r="P1" s="354"/>
      <c r="Q1" s="354"/>
      <c r="R1" s="354"/>
      <c r="S1" s="354"/>
      <c r="T1" s="354"/>
      <c r="U1" s="354"/>
      <c r="V1" s="354"/>
      <c r="W1" s="354"/>
      <c r="X1" s="354"/>
      <c r="Y1" s="354"/>
      <c r="Z1" s="354"/>
      <c r="AA1" s="354"/>
      <c r="AB1" s="354"/>
      <c r="AC1" s="354"/>
      <c r="AD1" s="354"/>
      <c r="AE1" s="354"/>
      <c r="AF1" s="354"/>
      <c r="AG1" s="354"/>
      <c r="AH1" s="353"/>
      <c r="AI1" s="353"/>
      <c r="AJ1" s="353"/>
      <c r="AK1" s="353"/>
      <c r="AL1" s="353"/>
      <c r="AM1" s="353"/>
      <c r="AN1" s="353"/>
      <c r="AO1" s="353"/>
      <c r="AP1" s="353"/>
      <c r="AQ1" s="353"/>
      <c r="AR1" s="353"/>
      <c r="AS1" s="353"/>
      <c r="AT1" s="353"/>
      <c r="AU1" s="353"/>
      <c r="AV1" s="353"/>
      <c r="AW1" s="353"/>
      <c r="AX1" s="353"/>
      <c r="AY1" s="353"/>
      <c r="AZ1" s="353"/>
      <c r="BA1" s="353"/>
    </row>
    <row r="2" spans="1:68" ht="18.75" x14ac:dyDescent="0.3">
      <c r="A2" s="63" t="s">
        <v>118</v>
      </c>
      <c r="B2" s="473" t="s">
        <v>119</v>
      </c>
      <c r="C2" s="463"/>
      <c r="D2" s="464"/>
      <c r="AH2" s="11"/>
      <c r="AI2" s="11"/>
    </row>
    <row r="3" spans="1:68" ht="18.75" x14ac:dyDescent="0.3">
      <c r="A3" s="63" t="s">
        <v>120</v>
      </c>
      <c r="B3" s="465" t="s">
        <v>121</v>
      </c>
      <c r="C3" s="463"/>
      <c r="D3" s="464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442"/>
      <c r="AC3" s="442"/>
      <c r="AD3" s="442"/>
      <c r="AE3" s="442"/>
      <c r="AF3" s="7"/>
      <c r="AG3" s="7"/>
      <c r="AH3" s="11"/>
      <c r="AI3" s="11"/>
      <c r="AJ3" s="7"/>
      <c r="AL3" s="7"/>
    </row>
    <row r="4" spans="1:68" ht="18.75" x14ac:dyDescent="0.3">
      <c r="AK4" s="11"/>
      <c r="AL4" s="154"/>
      <c r="AM4" s="387"/>
      <c r="AN4" s="387"/>
      <c r="AO4" s="387"/>
      <c r="AP4" s="387"/>
      <c r="AQ4" s="387"/>
      <c r="AR4" s="387"/>
      <c r="AS4" s="387"/>
      <c r="AT4" s="387"/>
      <c r="AU4" s="387"/>
      <c r="AV4" s="387"/>
      <c r="AW4" s="387"/>
      <c r="AX4" s="387"/>
      <c r="AY4" s="387"/>
      <c r="AZ4" s="387"/>
      <c r="BA4" s="387"/>
    </row>
    <row r="5" spans="1:68" ht="18.75" customHeight="1" x14ac:dyDescent="0.3">
      <c r="A5" s="460" t="s">
        <v>122</v>
      </c>
      <c r="B5" s="471" t="s">
        <v>123</v>
      </c>
      <c r="C5" s="471" t="s">
        <v>124</v>
      </c>
      <c r="D5" s="474" t="s">
        <v>125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H5" s="29" t="s">
        <v>126</v>
      </c>
      <c r="AI5" s="29" t="s">
        <v>126</v>
      </c>
      <c r="AK5" s="9" t="s">
        <v>127</v>
      </c>
      <c r="AL5" s="363">
        <v>46161.483283287293</v>
      </c>
      <c r="AM5" s="363">
        <v>46156</v>
      </c>
      <c r="AN5" s="339" t="s">
        <v>128</v>
      </c>
      <c r="AO5" s="363">
        <v>46142</v>
      </c>
      <c r="AP5" s="339" t="s">
        <v>128</v>
      </c>
      <c r="AQ5" s="409">
        <v>46065</v>
      </c>
      <c r="AR5" s="363">
        <v>46092</v>
      </c>
      <c r="AS5" s="363">
        <v>46077</v>
      </c>
      <c r="AT5" s="363">
        <v>46048</v>
      </c>
      <c r="AU5" s="363">
        <v>46043</v>
      </c>
      <c r="AV5" s="363">
        <v>46029</v>
      </c>
      <c r="AW5" s="363">
        <v>46024</v>
      </c>
      <c r="AX5" s="371" t="s">
        <v>128</v>
      </c>
      <c r="AY5" s="363">
        <v>46007</v>
      </c>
      <c r="AZ5" s="363">
        <v>46001</v>
      </c>
      <c r="BA5" s="363">
        <v>45994</v>
      </c>
    </row>
    <row r="6" spans="1:68" s="3" customFormat="1" ht="18.75" x14ac:dyDescent="0.3">
      <c r="A6" s="461"/>
      <c r="B6" s="461"/>
      <c r="C6" s="461"/>
      <c r="D6" s="461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13">
        <v>46160</v>
      </c>
      <c r="AB6" s="13">
        <v>46161.480124120368</v>
      </c>
      <c r="AC6" s="13">
        <v>46161.480797511576</v>
      </c>
      <c r="AD6" s="13">
        <v>46161.482955543979</v>
      </c>
      <c r="AE6" s="13">
        <v>46161.483284067297</v>
      </c>
      <c r="AF6" s="35" t="s">
        <v>129</v>
      </c>
      <c r="AG6" s="11"/>
      <c r="AH6" s="180"/>
      <c r="AI6" s="180">
        <v>46156</v>
      </c>
      <c r="AJ6" s="31"/>
      <c r="AK6" s="179"/>
      <c r="AL6" s="363"/>
      <c r="AM6" s="363"/>
      <c r="AN6" s="339">
        <v>46148</v>
      </c>
      <c r="AO6" s="363">
        <v>46153</v>
      </c>
      <c r="AP6" s="339">
        <v>46146</v>
      </c>
      <c r="AQ6" s="409">
        <v>46111</v>
      </c>
      <c r="AR6" s="363">
        <v>46099</v>
      </c>
      <c r="AS6" s="363">
        <v>46087</v>
      </c>
      <c r="AT6" s="363">
        <v>46056</v>
      </c>
      <c r="AU6" s="363">
        <v>46049</v>
      </c>
      <c r="AV6" s="363">
        <v>46037</v>
      </c>
      <c r="AW6" s="363">
        <v>46034</v>
      </c>
      <c r="AX6" s="371">
        <v>46386</v>
      </c>
      <c r="AY6" s="363">
        <v>46014</v>
      </c>
      <c r="AZ6" s="363">
        <v>46010</v>
      </c>
      <c r="BA6" s="363">
        <v>46003</v>
      </c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</row>
    <row r="7" spans="1:68" s="3" customFormat="1" ht="21.75" customHeight="1" x14ac:dyDescent="0.3">
      <c r="A7" s="20" t="s">
        <v>130</v>
      </c>
      <c r="B7" s="5"/>
      <c r="C7" s="5"/>
      <c r="D7" s="233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1"/>
      <c r="AH7" s="84"/>
      <c r="AI7" s="84"/>
      <c r="AJ7" s="11"/>
      <c r="AK7" s="12"/>
      <c r="AL7" s="12"/>
      <c r="AM7" s="12"/>
      <c r="AN7" s="12"/>
      <c r="AO7" s="12"/>
      <c r="AP7" s="12"/>
      <c r="AQ7" s="12" t="s">
        <v>131</v>
      </c>
      <c r="AR7" s="12"/>
      <c r="AS7" s="12"/>
      <c r="AT7" s="12"/>
      <c r="AU7" s="12"/>
      <c r="AV7" s="12"/>
      <c r="AW7" s="12"/>
      <c r="AX7" s="12"/>
      <c r="AY7" s="466"/>
      <c r="AZ7" s="466"/>
      <c r="BA7" s="467"/>
      <c r="BB7" s="467"/>
      <c r="BC7" s="467"/>
      <c r="BD7" s="467"/>
      <c r="BE7" s="467"/>
      <c r="BF7" s="467"/>
      <c r="BG7" s="467"/>
      <c r="BH7" s="447"/>
      <c r="BI7" s="447"/>
      <c r="BJ7" s="452"/>
      <c r="BK7" s="443"/>
      <c r="BL7" s="444"/>
      <c r="BM7" s="444"/>
      <c r="BN7" s="444"/>
      <c r="BO7" s="444"/>
      <c r="BP7" s="412"/>
    </row>
    <row r="8" spans="1:68" s="3" customFormat="1" ht="18" customHeight="1" x14ac:dyDescent="0.3">
      <c r="A8" s="21" t="s">
        <v>132</v>
      </c>
      <c r="B8" s="6">
        <v>300</v>
      </c>
      <c r="C8" s="82">
        <v>187.12</v>
      </c>
      <c r="D8" s="234">
        <v>300</v>
      </c>
      <c r="E8" s="11"/>
      <c r="F8" s="39">
        <v>1280</v>
      </c>
      <c r="G8" s="39">
        <v>1200</v>
      </c>
      <c r="H8" s="39">
        <v>1170</v>
      </c>
      <c r="I8" s="39">
        <v>1020</v>
      </c>
      <c r="J8" s="39">
        <v>1020</v>
      </c>
      <c r="K8" s="39">
        <v>960</v>
      </c>
      <c r="L8" s="39">
        <v>920</v>
      </c>
      <c r="M8" s="39">
        <v>920</v>
      </c>
      <c r="N8" s="39">
        <v>900</v>
      </c>
      <c r="O8" s="39">
        <v>840</v>
      </c>
      <c r="P8" s="39">
        <v>800</v>
      </c>
      <c r="Q8" s="39">
        <v>760</v>
      </c>
      <c r="R8" s="39">
        <v>760</v>
      </c>
      <c r="S8" s="39">
        <v>760</v>
      </c>
      <c r="T8" s="39">
        <v>700</v>
      </c>
      <c r="U8" s="39">
        <v>900</v>
      </c>
      <c r="V8" s="39">
        <v>600</v>
      </c>
      <c r="W8" s="39">
        <v>600</v>
      </c>
      <c r="X8" s="39">
        <v>600</v>
      </c>
      <c r="Y8" s="39">
        <f>600-300</f>
        <v>300</v>
      </c>
      <c r="Z8" s="39">
        <v>300</v>
      </c>
      <c r="AA8" s="39"/>
      <c r="AB8" s="6"/>
      <c r="AC8" s="6"/>
      <c r="AD8" s="6"/>
      <c r="AE8" s="6"/>
      <c r="AF8" s="372">
        <f ca="1">AD8+IF(NOT(ISBLANK(OFFSET(AF8,0,6))),N(OFFSET(AF8,0,6)),N(OFFSET(AF8,0,7)))-AE8</f>
        <v>0</v>
      </c>
      <c r="AG8" s="11"/>
      <c r="AH8" s="78"/>
      <c r="AI8" s="78"/>
      <c r="AJ8" s="11"/>
      <c r="AK8" s="32"/>
      <c r="AL8" s="445">
        <v>0</v>
      </c>
      <c r="AM8" s="19">
        <v>0</v>
      </c>
      <c r="AN8" s="253" t="s">
        <v>133</v>
      </c>
      <c r="AO8" s="19">
        <v>0</v>
      </c>
      <c r="AP8" s="296"/>
      <c r="AQ8" s="19"/>
      <c r="AR8" s="19"/>
      <c r="AS8" s="19"/>
      <c r="AT8" s="19"/>
      <c r="AU8" s="19"/>
      <c r="AV8" s="19"/>
      <c r="AW8" s="19"/>
      <c r="AX8" s="19"/>
      <c r="AY8" s="19">
        <v>300</v>
      </c>
      <c r="AZ8" s="19"/>
      <c r="BA8" s="19">
        <v>600</v>
      </c>
      <c r="BC8" s="389" t="s">
        <v>130</v>
      </c>
      <c r="BD8" s="376" t="s">
        <v>123</v>
      </c>
      <c r="BE8" s="13">
        <v>46118</v>
      </c>
      <c r="BF8" s="13">
        <v>46125</v>
      </c>
      <c r="BG8" s="13">
        <v>46132</v>
      </c>
      <c r="BH8" s="13">
        <v>46139</v>
      </c>
      <c r="BI8" s="13">
        <v>46146</v>
      </c>
      <c r="BJ8" s="13">
        <v>46154</v>
      </c>
      <c r="BK8" s="13">
        <v>46160</v>
      </c>
      <c r="BL8" s="13">
        <v>46161.480123182868</v>
      </c>
      <c r="BM8" s="13">
        <v>46161.48079710648</v>
      </c>
      <c r="BN8" s="13">
        <v>46161.482955185187</v>
      </c>
      <c r="BO8" s="13">
        <v>46161.48328368146</v>
      </c>
      <c r="BP8" s="35" t="s">
        <v>129</v>
      </c>
    </row>
    <row r="9" spans="1:68" s="3" customFormat="1" ht="18" customHeight="1" x14ac:dyDescent="0.3">
      <c r="A9" s="21" t="s">
        <v>134</v>
      </c>
      <c r="B9" s="6">
        <v>200</v>
      </c>
      <c r="C9" s="82">
        <v>193.08</v>
      </c>
      <c r="D9" s="234">
        <v>500</v>
      </c>
      <c r="E9" s="11"/>
      <c r="F9" s="39">
        <v>1320</v>
      </c>
      <c r="G9" s="39">
        <f>800-200</f>
        <v>600</v>
      </c>
      <c r="H9" s="39">
        <v>540</v>
      </c>
      <c r="I9" s="39">
        <v>200</v>
      </c>
      <c r="J9" s="39">
        <v>720</v>
      </c>
      <c r="K9" s="39">
        <v>600</v>
      </c>
      <c r="L9" s="39">
        <f>460+AP9</f>
        <v>460</v>
      </c>
      <c r="M9" s="39">
        <v>740</v>
      </c>
      <c r="N9" s="39">
        <v>720</v>
      </c>
      <c r="O9" s="39">
        <v>600</v>
      </c>
      <c r="P9" s="39">
        <f>500+AO9</f>
        <v>900</v>
      </c>
      <c r="Q9" s="39">
        <v>740</v>
      </c>
      <c r="R9" s="39">
        <f>540+AN9</f>
        <v>540</v>
      </c>
      <c r="S9" s="39">
        <v>800</v>
      </c>
      <c r="T9" s="39">
        <v>700</v>
      </c>
      <c r="U9" s="39">
        <v>800</v>
      </c>
      <c r="V9" s="39">
        <v>600</v>
      </c>
      <c r="W9" s="39">
        <v>600</v>
      </c>
      <c r="X9" s="39">
        <v>600</v>
      </c>
      <c r="Y9" s="39">
        <f>600+AK9</f>
        <v>600</v>
      </c>
      <c r="Z9" s="39">
        <v>600</v>
      </c>
      <c r="AA9" s="39"/>
      <c r="AB9" s="6"/>
      <c r="AC9" s="6"/>
      <c r="AD9" s="6"/>
      <c r="AE9" s="6"/>
      <c r="AF9" s="372">
        <f ca="1">AD9+IF(NOT(ISBLANK(OFFSET(AF9,0,6))),N(OFFSET(AF9,0,6)),N(OFFSET(AF9,0,7)))-AE9</f>
        <v>0</v>
      </c>
      <c r="AG9" s="11"/>
      <c r="AH9" s="78"/>
      <c r="AI9" s="78"/>
      <c r="AJ9" s="11"/>
      <c r="AK9" s="32"/>
      <c r="AL9" s="446">
        <v>0</v>
      </c>
      <c r="AM9" s="296">
        <v>0</v>
      </c>
      <c r="AN9" s="296"/>
      <c r="AO9" s="296">
        <v>400</v>
      </c>
      <c r="AP9" s="296"/>
      <c r="AQ9" s="117">
        <v>1400</v>
      </c>
      <c r="AR9" s="19">
        <v>600</v>
      </c>
      <c r="AS9" s="19">
        <v>400</v>
      </c>
      <c r="AT9" s="19">
        <v>400</v>
      </c>
      <c r="AU9" s="19"/>
      <c r="AV9" s="19">
        <v>200</v>
      </c>
      <c r="AW9" s="19">
        <v>400</v>
      </c>
      <c r="AX9" s="253" t="s">
        <v>135</v>
      </c>
      <c r="AY9" s="19">
        <v>800</v>
      </c>
      <c r="AZ9" s="19">
        <v>400</v>
      </c>
      <c r="BA9" s="19">
        <v>600</v>
      </c>
      <c r="BC9" s="364" t="s">
        <v>136</v>
      </c>
      <c r="BD9" s="135">
        <v>200</v>
      </c>
      <c r="BE9" s="39">
        <f>AM9</f>
        <v>0</v>
      </c>
      <c r="BF9" s="39">
        <v>800</v>
      </c>
      <c r="BG9" s="39">
        <v>800</v>
      </c>
      <c r="BH9" s="39">
        <v>740</v>
      </c>
      <c r="BI9" s="39">
        <v>700</v>
      </c>
      <c r="BJ9" s="39">
        <v>400</v>
      </c>
      <c r="BK9" s="39"/>
      <c r="BL9" s="6"/>
      <c r="BM9" s="6"/>
      <c r="BN9" s="6"/>
      <c r="BO9" s="6"/>
      <c r="BP9" s="26">
        <f ca="1">BN9+IF(NOT(ISBLANK(OFFSET(BP9,0,6))),N(OFFSET(BP9,0,6)),N(OFFSET(BP9,0,7)))-BO9</f>
        <v>0</v>
      </c>
    </row>
    <row r="10" spans="1:68" s="3" customFormat="1" ht="18" customHeight="1" x14ac:dyDescent="0.3">
      <c r="A10" s="21" t="s">
        <v>137</v>
      </c>
      <c r="B10" s="6">
        <v>200</v>
      </c>
      <c r="C10" s="82">
        <v>253.83</v>
      </c>
      <c r="D10" s="234">
        <v>200</v>
      </c>
      <c r="E10" s="11"/>
      <c r="F10" s="39">
        <v>800</v>
      </c>
      <c r="G10" s="39">
        <v>660</v>
      </c>
      <c r="H10" s="39">
        <v>660</v>
      </c>
      <c r="I10" s="39">
        <v>540</v>
      </c>
      <c r="J10" s="39">
        <v>540</v>
      </c>
      <c r="K10" s="39">
        <v>460</v>
      </c>
      <c r="L10" s="39">
        <v>420</v>
      </c>
      <c r="M10" s="39">
        <v>380</v>
      </c>
      <c r="N10" s="39">
        <v>380</v>
      </c>
      <c r="O10" s="39">
        <v>300</v>
      </c>
      <c r="P10" s="39">
        <v>300</v>
      </c>
      <c r="Q10" s="39">
        <v>260</v>
      </c>
      <c r="R10" s="39">
        <f>260+AN10</f>
        <v>260</v>
      </c>
      <c r="S10" s="39">
        <v>460</v>
      </c>
      <c r="T10" s="39">
        <v>400</v>
      </c>
      <c r="U10" s="39">
        <v>200</v>
      </c>
      <c r="V10" s="39">
        <v>200</v>
      </c>
      <c r="W10" s="39">
        <v>200</v>
      </c>
      <c r="X10" s="39">
        <v>200</v>
      </c>
      <c r="Y10" s="39">
        <f>200+AK10</f>
        <v>200</v>
      </c>
      <c r="Z10" s="39">
        <v>200</v>
      </c>
      <c r="AA10" s="39"/>
      <c r="AB10" s="6"/>
      <c r="AC10" s="6"/>
      <c r="AD10" s="6"/>
      <c r="AE10" s="6"/>
      <c r="AF10" s="372">
        <f ca="1">AD10+IF(NOT(ISBLANK(OFFSET(AF10,0,6))),N(OFFSET(AF10,0,6)),N(OFFSET(AF10,0,7)))-AE10</f>
        <v>0</v>
      </c>
      <c r="AG10" s="11"/>
      <c r="AH10" s="78"/>
      <c r="AI10" s="78">
        <v>200</v>
      </c>
      <c r="AJ10" s="11"/>
      <c r="AK10" s="32"/>
      <c r="AL10" s="446">
        <v>0</v>
      </c>
      <c r="AM10" s="296">
        <v>0</v>
      </c>
      <c r="AN10" s="296"/>
      <c r="AO10" s="296">
        <v>200</v>
      </c>
      <c r="AP10" s="296"/>
      <c r="AQ10" s="117">
        <v>600</v>
      </c>
      <c r="AR10" s="19">
        <v>200</v>
      </c>
      <c r="AS10" s="19"/>
      <c r="AT10" s="19"/>
      <c r="AU10" s="19"/>
      <c r="AV10" s="19"/>
      <c r="AW10" s="19"/>
      <c r="AX10" s="19"/>
      <c r="AY10" s="19">
        <v>400</v>
      </c>
      <c r="AZ10" s="19"/>
      <c r="BA10" s="19">
        <v>200</v>
      </c>
      <c r="BC10" s="21" t="s">
        <v>138</v>
      </c>
      <c r="BD10" s="6">
        <v>200</v>
      </c>
      <c r="BE10" s="39">
        <f>AM10</f>
        <v>0</v>
      </c>
      <c r="BF10" s="39">
        <v>400</v>
      </c>
      <c r="BG10" s="39">
        <v>400</v>
      </c>
      <c r="BH10" s="39">
        <v>300</v>
      </c>
      <c r="BI10" s="39">
        <v>200</v>
      </c>
      <c r="BJ10" s="39">
        <v>0</v>
      </c>
      <c r="BK10" s="39"/>
      <c r="BL10" s="6"/>
      <c r="BM10" s="6"/>
      <c r="BN10" s="6"/>
      <c r="BO10" s="6"/>
      <c r="BP10" s="26">
        <f ca="1">BN10+IF(NOT(ISBLANK(OFFSET(BP10,0,6))),N(OFFSET(BP10,0,6)),N(OFFSET(BP10,0,7)))-BO10</f>
        <v>0</v>
      </c>
    </row>
    <row r="11" spans="1:68" s="3" customFormat="1" ht="18" customHeight="1" x14ac:dyDescent="0.3">
      <c r="A11" s="22" t="s">
        <v>139</v>
      </c>
      <c r="B11" s="6">
        <v>100</v>
      </c>
      <c r="C11" s="82">
        <v>184.57</v>
      </c>
      <c r="D11" s="234">
        <v>50</v>
      </c>
      <c r="E11" s="11"/>
      <c r="F11" s="39">
        <v>100</v>
      </c>
      <c r="G11" s="39">
        <v>60</v>
      </c>
      <c r="H11" s="39">
        <v>60</v>
      </c>
      <c r="I11" s="39">
        <v>40</v>
      </c>
      <c r="J11" s="39">
        <v>140</v>
      </c>
      <c r="K11" s="39">
        <v>140</v>
      </c>
      <c r="L11" s="39">
        <v>140</v>
      </c>
      <c r="M11" s="39">
        <v>140</v>
      </c>
      <c r="N11" s="39">
        <v>140</v>
      </c>
      <c r="O11" s="39">
        <v>120</v>
      </c>
      <c r="P11" s="39">
        <v>100</v>
      </c>
      <c r="Q11" s="39">
        <v>100</v>
      </c>
      <c r="R11" s="39">
        <v>100</v>
      </c>
      <c r="S11" s="39">
        <v>100</v>
      </c>
      <c r="T11" s="39">
        <v>100</v>
      </c>
      <c r="U11" s="39">
        <v>100</v>
      </c>
      <c r="V11" s="39">
        <v>100</v>
      </c>
      <c r="W11" s="39">
        <v>100</v>
      </c>
      <c r="X11" s="39">
        <v>100</v>
      </c>
      <c r="Y11" s="39">
        <f>100+AK11</f>
        <v>100</v>
      </c>
      <c r="Z11" s="39">
        <v>50</v>
      </c>
      <c r="AA11" s="39"/>
      <c r="AB11" s="6"/>
      <c r="AC11" s="6"/>
      <c r="AD11" s="6"/>
      <c r="AE11" s="6"/>
      <c r="AF11" s="372">
        <f ca="1">AD11+IF(NOT(ISBLANK(OFFSET(AF11,0,6))),N(OFFSET(AF11,0,6)),N(OFFSET(AF11,0,7)))-AE11</f>
        <v>0</v>
      </c>
      <c r="AG11" s="11"/>
      <c r="AH11" s="78"/>
      <c r="AI11" s="78">
        <v>100</v>
      </c>
      <c r="AJ11" s="11"/>
      <c r="AK11" s="32"/>
      <c r="AL11" s="446">
        <v>0</v>
      </c>
      <c r="AM11" s="296">
        <v>0</v>
      </c>
      <c r="AN11" s="296"/>
      <c r="AO11" s="296">
        <v>100</v>
      </c>
      <c r="AP11" s="296"/>
      <c r="AQ11" s="117">
        <v>100</v>
      </c>
      <c r="AR11" s="19"/>
      <c r="AS11" s="19"/>
      <c r="AT11" s="19"/>
      <c r="AU11" s="19"/>
      <c r="AV11" s="19"/>
      <c r="AW11" s="19">
        <v>100</v>
      </c>
      <c r="AX11" s="19"/>
      <c r="AY11" s="19"/>
      <c r="AZ11" s="19">
        <v>100</v>
      </c>
      <c r="BA11" s="19"/>
      <c r="BC11" s="22" t="s">
        <v>140</v>
      </c>
      <c r="BD11" s="6">
        <v>100</v>
      </c>
      <c r="BE11" s="39">
        <f>AM11</f>
        <v>0</v>
      </c>
      <c r="BF11" s="39">
        <v>0</v>
      </c>
      <c r="BG11" s="39">
        <v>0</v>
      </c>
      <c r="BH11" s="39">
        <v>0</v>
      </c>
      <c r="BI11" s="39">
        <v>0</v>
      </c>
      <c r="BJ11" s="39">
        <v>0</v>
      </c>
      <c r="BK11" s="39"/>
      <c r="BL11" s="6"/>
      <c r="BM11" s="6"/>
      <c r="BN11" s="6"/>
      <c r="BO11" s="6"/>
      <c r="BP11" s="26">
        <f ca="1">BN11+IF(NOT(ISBLANK(OFFSET(BP11,0,6))),N(OFFSET(BP11,0,6)),N(OFFSET(BP11,0,7)))-BO11</f>
        <v>0</v>
      </c>
    </row>
    <row r="12" spans="1:68" s="3" customFormat="1" ht="12" customHeight="1" x14ac:dyDescent="0.3">
      <c r="A12" s="23"/>
      <c r="B12" s="1"/>
      <c r="C12" s="64"/>
      <c r="D12" s="235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1"/>
      <c r="AC12" s="1"/>
      <c r="AD12" s="1"/>
      <c r="AE12" s="1"/>
      <c r="AF12" s="2"/>
      <c r="AG12" s="11"/>
      <c r="AH12" s="342"/>
      <c r="AI12" s="342"/>
      <c r="AJ12" s="11"/>
      <c r="AK12" s="33"/>
      <c r="AL12" s="388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A12" s="75"/>
      <c r="BC12" s="23"/>
      <c r="BD12" s="1"/>
      <c r="BE12" s="2"/>
      <c r="BF12" s="2"/>
      <c r="BG12" s="2"/>
      <c r="BH12" s="2"/>
      <c r="BI12" s="2"/>
      <c r="BJ12" s="2"/>
      <c r="BK12" s="2"/>
      <c r="BL12" s="1"/>
      <c r="BM12" s="1"/>
      <c r="BN12" s="1"/>
      <c r="BO12" s="1"/>
    </row>
    <row r="13" spans="1:68" s="3" customFormat="1" ht="18.75" x14ac:dyDescent="0.3">
      <c r="A13" s="24" t="s">
        <v>141</v>
      </c>
      <c r="B13" s="12"/>
      <c r="C13" s="65"/>
      <c r="D13" s="395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13">
        <v>46160</v>
      </c>
      <c r="AB13" s="13">
        <v>46161.480124120368</v>
      </c>
      <c r="AC13" s="13">
        <v>46161.480797523152</v>
      </c>
      <c r="AD13" s="13">
        <v>46161.482955543979</v>
      </c>
      <c r="AE13" s="13">
        <v>46161.483284067603</v>
      </c>
      <c r="AF13" s="35" t="s">
        <v>129</v>
      </c>
      <c r="AG13" s="11"/>
      <c r="AH13" s="29" t="s">
        <v>126</v>
      </c>
      <c r="AI13" s="29" t="s">
        <v>126</v>
      </c>
      <c r="AJ13" s="11"/>
      <c r="AK13" s="9" t="s">
        <v>127</v>
      </c>
      <c r="AL13" s="363">
        <v>46161.483283287802</v>
      </c>
      <c r="AM13" s="363">
        <v>46156</v>
      </c>
      <c r="AN13" s="339">
        <v>46148</v>
      </c>
      <c r="AO13" s="363">
        <v>46142</v>
      </c>
      <c r="AP13" s="339">
        <v>46146</v>
      </c>
      <c r="AQ13" s="409">
        <v>46065</v>
      </c>
      <c r="AR13" s="363">
        <v>46092</v>
      </c>
      <c r="AS13" s="363">
        <v>46077</v>
      </c>
      <c r="AT13" s="363">
        <v>46048</v>
      </c>
      <c r="AU13" s="363">
        <v>46043</v>
      </c>
      <c r="AV13" s="363">
        <v>46029</v>
      </c>
      <c r="AW13" s="363">
        <v>46024</v>
      </c>
      <c r="AX13" s="371">
        <v>46386</v>
      </c>
      <c r="AY13" s="363">
        <v>46007</v>
      </c>
      <c r="AZ13" s="363">
        <v>46001</v>
      </c>
      <c r="BA13" s="363">
        <v>45994</v>
      </c>
      <c r="BC13" s="389" t="s">
        <v>141</v>
      </c>
      <c r="BD13" s="376" t="s">
        <v>123</v>
      </c>
      <c r="BE13" s="13">
        <v>46118</v>
      </c>
      <c r="BF13" s="13">
        <v>46125</v>
      </c>
      <c r="BG13" s="13">
        <v>46132</v>
      </c>
      <c r="BH13" s="13">
        <v>46139</v>
      </c>
      <c r="BI13" s="13">
        <v>46146</v>
      </c>
      <c r="BJ13" s="13">
        <v>46154</v>
      </c>
      <c r="BK13" s="13">
        <v>46160</v>
      </c>
      <c r="BL13" s="13">
        <v>46161.480123182868</v>
      </c>
      <c r="BM13" s="13">
        <v>46161.48079710648</v>
      </c>
      <c r="BN13" s="13">
        <v>46161.482955185187</v>
      </c>
      <c r="BO13" s="13">
        <v>46161.483283681737</v>
      </c>
      <c r="BP13" s="35" t="s">
        <v>129</v>
      </c>
    </row>
    <row r="14" spans="1:68" s="3" customFormat="1" ht="18.75" x14ac:dyDescent="0.3">
      <c r="A14" s="25" t="s">
        <v>142</v>
      </c>
      <c r="B14" s="6">
        <v>200</v>
      </c>
      <c r="C14" s="66">
        <v>38</v>
      </c>
      <c r="D14" s="234">
        <v>6</v>
      </c>
      <c r="E14" s="7"/>
      <c r="F14" s="39">
        <v>1</v>
      </c>
      <c r="G14" s="39">
        <v>6</v>
      </c>
      <c r="H14" s="39">
        <v>5</v>
      </c>
      <c r="I14" s="39">
        <v>4</v>
      </c>
      <c r="J14" s="39">
        <v>9</v>
      </c>
      <c r="K14" s="39">
        <v>8</v>
      </c>
      <c r="L14" s="39">
        <f>8+AP14</f>
        <v>8</v>
      </c>
      <c r="M14" s="39">
        <v>9</v>
      </c>
      <c r="N14" s="39">
        <v>8</v>
      </c>
      <c r="O14" s="39">
        <v>7</v>
      </c>
      <c r="P14" s="39">
        <f>7+AO14</f>
        <v>12</v>
      </c>
      <c r="Q14" s="39">
        <v>6</v>
      </c>
      <c r="R14" s="39">
        <f>6+AN14</f>
        <v>6</v>
      </c>
      <c r="S14" s="39">
        <v>9</v>
      </c>
      <c r="T14" s="39">
        <v>9</v>
      </c>
      <c r="U14" s="39">
        <v>9</v>
      </c>
      <c r="V14" s="39">
        <v>8</v>
      </c>
      <c r="W14" s="39">
        <v>8</v>
      </c>
      <c r="X14" s="39">
        <v>8</v>
      </c>
      <c r="Y14" s="39">
        <f>8+AK14</f>
        <v>8</v>
      </c>
      <c r="Z14" s="39">
        <v>7</v>
      </c>
      <c r="AA14" s="39"/>
      <c r="AB14" s="6"/>
      <c r="AC14" s="6"/>
      <c r="AD14" s="6"/>
      <c r="AE14" s="6"/>
      <c r="AF14" s="372">
        <f ca="1">AD14+IF(NOT(ISBLANK(OFFSET(AF14,0,6))),N(OFFSET(AF14,0,6)),N(OFFSET(AF14,0,7)))-AE14</f>
        <v>0</v>
      </c>
      <c r="AG14" s="11"/>
      <c r="AH14" s="78"/>
      <c r="AI14" s="78"/>
      <c r="AJ14" s="11"/>
      <c r="AK14" s="32"/>
      <c r="AL14" s="446">
        <v>0</v>
      </c>
      <c r="AM14" s="296">
        <v>0</v>
      </c>
      <c r="AN14" s="296"/>
      <c r="AO14" s="296">
        <v>5</v>
      </c>
      <c r="AP14" s="296"/>
      <c r="AQ14" s="117">
        <v>7</v>
      </c>
      <c r="AR14" s="19">
        <v>3</v>
      </c>
      <c r="AS14" s="19">
        <v>2</v>
      </c>
      <c r="AT14" s="19">
        <v>2</v>
      </c>
      <c r="AU14" s="19"/>
      <c r="AV14" s="19"/>
      <c r="AW14" s="19">
        <v>6</v>
      </c>
      <c r="AX14" s="19"/>
      <c r="AY14" s="19">
        <v>4</v>
      </c>
      <c r="AZ14" s="19">
        <v>2</v>
      </c>
      <c r="BA14" s="19"/>
      <c r="BC14" s="364" t="s">
        <v>143</v>
      </c>
      <c r="BD14" s="135">
        <v>200</v>
      </c>
      <c r="BE14" s="39">
        <f>AM14</f>
        <v>0</v>
      </c>
      <c r="BF14" s="39">
        <v>5</v>
      </c>
      <c r="BG14" s="39">
        <v>3</v>
      </c>
      <c r="BH14" s="39">
        <v>3</v>
      </c>
      <c r="BI14" s="39">
        <v>2</v>
      </c>
      <c r="BJ14" s="39">
        <v>0</v>
      </c>
      <c r="BK14" s="39"/>
      <c r="BL14" s="6"/>
      <c r="BM14" s="6"/>
      <c r="BN14" s="6"/>
      <c r="BO14" s="6"/>
      <c r="BP14" s="26">
        <f ca="1">BN14+IF(NOT(ISBLANK(OFFSET(BP14,0,6))),N(OFFSET(BP14,0,6)),N(OFFSET(BP14,0,7)))-BO14</f>
        <v>0</v>
      </c>
    </row>
    <row r="15" spans="1:68" s="3" customFormat="1" ht="18.75" x14ac:dyDescent="0.3">
      <c r="A15" s="25" t="s">
        <v>144</v>
      </c>
      <c r="B15" s="6">
        <v>200</v>
      </c>
      <c r="C15" s="66">
        <v>18</v>
      </c>
      <c r="D15" s="234">
        <v>10</v>
      </c>
      <c r="E15" s="7"/>
      <c r="F15" s="39">
        <v>1</v>
      </c>
      <c r="G15" s="39">
        <v>8</v>
      </c>
      <c r="H15" s="39">
        <v>6</v>
      </c>
      <c r="I15" s="39">
        <v>6</v>
      </c>
      <c r="J15" s="39">
        <v>13</v>
      </c>
      <c r="K15" s="39">
        <v>13</v>
      </c>
      <c r="L15" s="39">
        <v>13</v>
      </c>
      <c r="M15" s="39">
        <v>13</v>
      </c>
      <c r="N15" s="39">
        <v>13</v>
      </c>
      <c r="O15" s="39">
        <v>13</v>
      </c>
      <c r="P15" s="39">
        <v>12</v>
      </c>
      <c r="Q15" s="39">
        <v>11</v>
      </c>
      <c r="R15" s="39">
        <v>11</v>
      </c>
      <c r="S15" s="39">
        <v>11</v>
      </c>
      <c r="T15" s="39">
        <v>11</v>
      </c>
      <c r="U15" s="39">
        <v>11</v>
      </c>
      <c r="V15" s="39">
        <v>11</v>
      </c>
      <c r="W15" s="39">
        <v>10</v>
      </c>
      <c r="X15" s="39">
        <v>10</v>
      </c>
      <c r="Y15" s="39">
        <v>10</v>
      </c>
      <c r="Z15" s="39">
        <v>10</v>
      </c>
      <c r="AA15" s="39"/>
      <c r="AB15" s="6"/>
      <c r="AC15" s="6"/>
      <c r="AD15" s="6"/>
      <c r="AE15" s="6"/>
      <c r="AF15" s="372">
        <f ca="1">AD15+IF(NOT(ISBLANK(OFFSET(AF15,0,6))),N(OFFSET(AF15,0,6)),N(OFFSET(AF15,0,7)))-AE15</f>
        <v>0</v>
      </c>
      <c r="AG15" s="11"/>
      <c r="AH15" s="78" t="s">
        <v>145</v>
      </c>
      <c r="AI15" s="78"/>
      <c r="AJ15" s="11"/>
      <c r="AK15" s="32"/>
      <c r="AL15" s="446">
        <v>0</v>
      </c>
      <c r="AM15" s="296">
        <v>0</v>
      </c>
      <c r="AN15" s="296"/>
      <c r="AO15" s="296">
        <v>0</v>
      </c>
      <c r="AP15" s="296"/>
      <c r="AQ15" s="117">
        <v>3</v>
      </c>
      <c r="AR15" s="19"/>
      <c r="AS15" s="19"/>
      <c r="AT15" s="19"/>
      <c r="AU15" s="19"/>
      <c r="AV15" s="19"/>
      <c r="AW15" s="19">
        <v>5</v>
      </c>
      <c r="AX15" s="19"/>
      <c r="AY15" s="19">
        <v>4</v>
      </c>
      <c r="AZ15" s="19"/>
      <c r="BA15" s="19">
        <v>2</v>
      </c>
      <c r="BC15" s="21" t="s">
        <v>146</v>
      </c>
      <c r="BD15" s="6">
        <v>200</v>
      </c>
      <c r="BE15" s="39">
        <f>AM15</f>
        <v>0</v>
      </c>
      <c r="BF15" s="39">
        <v>3</v>
      </c>
      <c r="BG15" s="39">
        <v>2</v>
      </c>
      <c r="BH15" s="39">
        <v>2</v>
      </c>
      <c r="BI15" s="39">
        <v>2</v>
      </c>
      <c r="BJ15" s="39">
        <v>0</v>
      </c>
      <c r="BK15" s="39"/>
      <c r="BL15" s="6"/>
      <c r="BM15" s="6"/>
      <c r="BN15" s="6"/>
      <c r="BO15" s="6"/>
      <c r="BP15" s="26">
        <f ca="1">BN15+IF(NOT(ISBLANK(OFFSET(BP15,0,6))),N(OFFSET(BP15,0,6)),N(OFFSET(BP15,0,7)))-BO15</f>
        <v>0</v>
      </c>
    </row>
    <row r="16" spans="1:68" s="3" customFormat="1" ht="18.75" x14ac:dyDescent="0.3">
      <c r="A16" s="25" t="s">
        <v>147</v>
      </c>
      <c r="B16" s="6">
        <v>200</v>
      </c>
      <c r="C16" s="66">
        <v>10.28</v>
      </c>
      <c r="D16" s="234">
        <v>4</v>
      </c>
      <c r="E16" s="1"/>
      <c r="F16" s="39">
        <v>10</v>
      </c>
      <c r="G16" s="39">
        <v>9</v>
      </c>
      <c r="H16" s="39">
        <v>9</v>
      </c>
      <c r="I16" s="39">
        <v>8</v>
      </c>
      <c r="J16" s="39">
        <v>8</v>
      </c>
      <c r="K16" s="39">
        <v>8</v>
      </c>
      <c r="L16" s="39">
        <v>8</v>
      </c>
      <c r="M16" s="39">
        <v>8</v>
      </c>
      <c r="N16" s="39">
        <v>7</v>
      </c>
      <c r="O16" s="39">
        <v>7</v>
      </c>
      <c r="P16" s="39">
        <v>6</v>
      </c>
      <c r="Q16" s="39">
        <v>6</v>
      </c>
      <c r="R16" s="39">
        <v>5</v>
      </c>
      <c r="S16" s="39">
        <v>5</v>
      </c>
      <c r="T16" s="39">
        <v>5</v>
      </c>
      <c r="U16" s="39">
        <v>5</v>
      </c>
      <c r="V16" s="39">
        <v>4</v>
      </c>
      <c r="W16" s="39">
        <v>4</v>
      </c>
      <c r="X16" s="39">
        <v>3</v>
      </c>
      <c r="Y16" s="39">
        <f>3+AK16</f>
        <v>3</v>
      </c>
      <c r="Z16" s="39">
        <v>3</v>
      </c>
      <c r="AA16" s="39"/>
      <c r="AB16" s="6"/>
      <c r="AC16" s="6"/>
      <c r="AD16" s="6"/>
      <c r="AE16" s="6"/>
      <c r="AF16" s="372">
        <f ca="1">AD16+IF(NOT(ISBLANK(OFFSET(AF16,0,6))),N(OFFSET(AF16,0,6)),N(OFFSET(AF16,0,7)))-AE16</f>
        <v>0</v>
      </c>
      <c r="AG16" s="11"/>
      <c r="AH16" s="78"/>
      <c r="AI16" s="78"/>
      <c r="AJ16" s="11"/>
      <c r="AK16" s="32"/>
      <c r="AL16" s="445">
        <v>0</v>
      </c>
      <c r="AM16" s="19">
        <v>0</v>
      </c>
      <c r="AN16" s="19"/>
      <c r="AO16" s="19">
        <v>2</v>
      </c>
      <c r="AP16" s="19"/>
      <c r="AQ16" s="19"/>
      <c r="AR16" s="19"/>
      <c r="AS16" s="19"/>
      <c r="AT16" s="19"/>
      <c r="AU16" s="19"/>
      <c r="AV16" s="19"/>
      <c r="AW16" s="19"/>
      <c r="AX16" s="19"/>
      <c r="AY16" s="19">
        <v>3</v>
      </c>
      <c r="AZ16" s="19">
        <v>4</v>
      </c>
      <c r="BA16" s="19"/>
    </row>
    <row r="17" spans="1:68" s="3" customFormat="1" ht="18.75" x14ac:dyDescent="0.3">
      <c r="A17" s="25" t="s">
        <v>148</v>
      </c>
      <c r="B17" s="6">
        <v>3000</v>
      </c>
      <c r="C17" s="66">
        <v>71.8</v>
      </c>
      <c r="D17" s="234">
        <v>2</v>
      </c>
      <c r="E17" s="1"/>
      <c r="F17" s="39">
        <v>4</v>
      </c>
      <c r="G17" s="39">
        <v>4</v>
      </c>
      <c r="H17" s="39">
        <v>3</v>
      </c>
      <c r="I17" s="39">
        <v>3</v>
      </c>
      <c r="J17" s="39">
        <v>4</v>
      </c>
      <c r="K17" s="39">
        <v>4</v>
      </c>
      <c r="L17" s="39">
        <v>3</v>
      </c>
      <c r="M17" s="39">
        <v>3</v>
      </c>
      <c r="N17" s="39">
        <v>3</v>
      </c>
      <c r="O17" s="39">
        <v>3</v>
      </c>
      <c r="P17" s="39">
        <v>2</v>
      </c>
      <c r="Q17" s="39">
        <v>2</v>
      </c>
      <c r="R17" s="39">
        <v>2</v>
      </c>
      <c r="S17" s="39">
        <v>2</v>
      </c>
      <c r="T17" s="39">
        <v>2</v>
      </c>
      <c r="U17" s="39">
        <v>2</v>
      </c>
      <c r="V17" s="39">
        <v>1</v>
      </c>
      <c r="W17" s="39">
        <v>1</v>
      </c>
      <c r="X17" s="39">
        <v>0</v>
      </c>
      <c r="Y17" s="39">
        <f>0+AK17+1</f>
        <v>1</v>
      </c>
      <c r="Z17" s="39">
        <v>1</v>
      </c>
      <c r="AA17" s="39"/>
      <c r="AB17" s="6"/>
      <c r="AC17" s="6"/>
      <c r="AD17" s="6"/>
      <c r="AE17" s="6"/>
      <c r="AF17" s="372">
        <f ca="1">AD17+IF(NOT(ISBLANK(OFFSET(AF17,0,6))),N(OFFSET(AF17,0,6)),N(OFFSET(AF17,0,7)))-AE17</f>
        <v>0</v>
      </c>
      <c r="AG17" s="11"/>
      <c r="AH17" s="78"/>
      <c r="AI17" s="78">
        <v>1</v>
      </c>
      <c r="AJ17" s="11"/>
      <c r="AK17" s="32"/>
      <c r="AL17" s="445">
        <v>0</v>
      </c>
      <c r="AM17" s="19">
        <v>0</v>
      </c>
      <c r="AN17" s="19"/>
      <c r="AO17" s="19">
        <v>2</v>
      </c>
      <c r="AP17" s="253" t="s">
        <v>149</v>
      </c>
      <c r="AQ17" s="19"/>
      <c r="AR17" s="19"/>
      <c r="AS17" s="19"/>
      <c r="AT17" s="19"/>
      <c r="AU17" s="19"/>
      <c r="AV17" s="19">
        <v>1</v>
      </c>
      <c r="AW17" s="19"/>
      <c r="AX17" s="19"/>
      <c r="AY17" s="19">
        <v>1</v>
      </c>
      <c r="AZ17" s="19">
        <v>1</v>
      </c>
      <c r="BA17" s="19">
        <v>3</v>
      </c>
    </row>
    <row r="18" spans="1:68" s="3" customFormat="1" ht="15" customHeight="1" x14ac:dyDescent="0.3">
      <c r="A18" s="23"/>
      <c r="C18" s="67"/>
      <c r="D18" s="235"/>
      <c r="AG18" s="11"/>
      <c r="AH18" s="390"/>
      <c r="AI18" s="390"/>
      <c r="AJ18" s="11"/>
      <c r="AK18" s="344"/>
      <c r="AL18" s="388"/>
      <c r="AM18" s="388"/>
      <c r="AN18" s="388"/>
      <c r="AO18" s="388"/>
      <c r="AP18" s="388"/>
      <c r="AQ18" s="388"/>
      <c r="AR18" s="388"/>
      <c r="AS18" s="388"/>
      <c r="AT18" s="388"/>
      <c r="AU18" s="388"/>
      <c r="AV18" s="388"/>
      <c r="AW18" s="388"/>
      <c r="AX18" s="388"/>
      <c r="AY18" s="388"/>
      <c r="AZ18" s="388"/>
      <c r="BA18" s="388"/>
    </row>
    <row r="19" spans="1:68" s="3" customFormat="1" ht="19.5" customHeight="1" x14ac:dyDescent="0.3">
      <c r="A19" s="24" t="s">
        <v>150</v>
      </c>
      <c r="B19" s="12" t="s">
        <v>151</v>
      </c>
      <c r="C19" s="65" t="s">
        <v>152</v>
      </c>
      <c r="D19" s="395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13">
        <v>46160</v>
      </c>
      <c r="AB19" s="13">
        <v>46161.480124120368</v>
      </c>
      <c r="AC19" s="13">
        <v>46161.480797523152</v>
      </c>
      <c r="AD19" s="13">
        <v>46161.482955543979</v>
      </c>
      <c r="AE19" s="13">
        <v>46161.483284067741</v>
      </c>
      <c r="AF19" s="35" t="s">
        <v>129</v>
      </c>
      <c r="AG19" s="11"/>
      <c r="AH19" s="29" t="s">
        <v>126</v>
      </c>
      <c r="AI19" s="29" t="s">
        <v>126</v>
      </c>
      <c r="AJ19" s="11"/>
      <c r="AK19" s="9" t="s">
        <v>127</v>
      </c>
      <c r="AL19" s="363">
        <v>46161.4832832881</v>
      </c>
      <c r="AM19" s="363">
        <v>46156</v>
      </c>
      <c r="AN19" s="339">
        <v>46148</v>
      </c>
      <c r="AO19" s="363">
        <v>46142</v>
      </c>
      <c r="AP19" s="339">
        <v>46146</v>
      </c>
      <c r="AQ19" s="409">
        <v>46065</v>
      </c>
      <c r="AR19" s="363">
        <v>46092</v>
      </c>
      <c r="AS19" s="363">
        <v>46077</v>
      </c>
      <c r="AT19" s="363">
        <v>46048</v>
      </c>
      <c r="AU19" s="363">
        <v>46043</v>
      </c>
      <c r="AV19" s="363">
        <v>46029</v>
      </c>
      <c r="AW19" s="363">
        <v>46024</v>
      </c>
      <c r="AX19" s="371">
        <v>46386</v>
      </c>
      <c r="AY19" s="363">
        <v>46007</v>
      </c>
      <c r="AZ19" s="363">
        <v>46001</v>
      </c>
      <c r="BA19" s="363">
        <v>45994</v>
      </c>
      <c r="BC19" s="389" t="s">
        <v>150</v>
      </c>
      <c r="BD19" s="376" t="s">
        <v>123</v>
      </c>
      <c r="BE19" s="13">
        <v>46118</v>
      </c>
      <c r="BF19" s="13">
        <v>46125</v>
      </c>
      <c r="BG19" s="13">
        <v>46132</v>
      </c>
      <c r="BH19" s="13">
        <v>46139</v>
      </c>
      <c r="BI19" s="13">
        <v>46146</v>
      </c>
      <c r="BJ19" s="13">
        <v>46154</v>
      </c>
      <c r="BK19" s="13">
        <v>46160</v>
      </c>
      <c r="BL19" s="13">
        <v>46161.480123182868</v>
      </c>
      <c r="BM19" s="13">
        <v>46161.48079710648</v>
      </c>
      <c r="BN19" s="13">
        <v>46161.482955185187</v>
      </c>
      <c r="BO19" s="13">
        <v>46161.483283681882</v>
      </c>
      <c r="BP19" s="35" t="s">
        <v>129</v>
      </c>
    </row>
    <row r="20" spans="1:68" s="3" customFormat="1" ht="19.5" customHeight="1" x14ac:dyDescent="0.3">
      <c r="A20" s="25" t="s">
        <v>153</v>
      </c>
      <c r="B20" s="6">
        <v>150</v>
      </c>
      <c r="C20" s="82">
        <v>334.31</v>
      </c>
      <c r="D20" s="234">
        <v>120</v>
      </c>
      <c r="E20" s="1"/>
      <c r="F20" s="39">
        <v>195</v>
      </c>
      <c r="G20" s="39">
        <v>156</v>
      </c>
      <c r="H20" s="39">
        <v>142</v>
      </c>
      <c r="I20" s="39">
        <v>93</v>
      </c>
      <c r="J20" s="39">
        <v>72</v>
      </c>
      <c r="K20" s="39">
        <f>50+AQ20</f>
        <v>50</v>
      </c>
      <c r="L20" s="39">
        <v>176</v>
      </c>
      <c r="M20" s="39">
        <v>147</v>
      </c>
      <c r="N20" s="39">
        <v>143</v>
      </c>
      <c r="O20" s="39">
        <v>138</v>
      </c>
      <c r="P20" s="39">
        <v>137</v>
      </c>
      <c r="Q20" s="39">
        <v>130</v>
      </c>
      <c r="R20" s="39">
        <v>120</v>
      </c>
      <c r="S20" s="39">
        <v>115</v>
      </c>
      <c r="T20" s="39">
        <v>112</v>
      </c>
      <c r="U20" s="39"/>
      <c r="V20" s="39"/>
      <c r="W20" s="39"/>
      <c r="X20" s="39">
        <v>83</v>
      </c>
      <c r="Y20" s="39">
        <v>76</v>
      </c>
      <c r="Z20" s="39">
        <v>60</v>
      </c>
      <c r="AA20" s="39">
        <v>46</v>
      </c>
      <c r="AB20" s="6">
        <v>46</v>
      </c>
      <c r="AC20" s="6">
        <v>46</v>
      </c>
      <c r="AD20" s="6">
        <v>46</v>
      </c>
      <c r="AE20" s="6">
        <v>46</v>
      </c>
      <c r="AF20" s="372">
        <f ca="1">AD20+IF(NOT(ISBLANK(OFFSET(AF20,0,6))),N(OFFSET(AF20,0,6)),N(OFFSET(AF20,0,7)))-AE20</f>
        <v>0</v>
      </c>
      <c r="AG20" s="11"/>
      <c r="AH20" s="78"/>
      <c r="AI20" s="78"/>
      <c r="AJ20" s="11"/>
      <c r="AK20" s="32"/>
      <c r="AL20" s="445">
        <v>0</v>
      </c>
      <c r="AM20" s="19">
        <v>0</v>
      </c>
      <c r="AN20" s="19"/>
      <c r="AO20" s="19">
        <v>0</v>
      </c>
      <c r="AP20" s="19"/>
      <c r="AQ20" s="19"/>
      <c r="AR20" s="19"/>
      <c r="AS20" s="19"/>
      <c r="AT20" s="19"/>
      <c r="AU20" s="19">
        <v>150</v>
      </c>
      <c r="AV20" s="19"/>
      <c r="AW20" s="19"/>
      <c r="AX20" s="19"/>
      <c r="AY20" s="19"/>
      <c r="AZ20" s="19"/>
      <c r="BA20" s="19"/>
      <c r="BC20" s="364" t="s">
        <v>154</v>
      </c>
      <c r="BD20" s="135">
        <v>150</v>
      </c>
      <c r="BE20" s="39">
        <v>0</v>
      </c>
      <c r="BF20" s="39">
        <v>0</v>
      </c>
      <c r="BG20" s="39">
        <v>0</v>
      </c>
      <c r="BH20" s="39">
        <v>0</v>
      </c>
      <c r="BI20" s="39">
        <v>0</v>
      </c>
      <c r="BJ20" s="39">
        <v>0</v>
      </c>
      <c r="BK20" s="39">
        <v>0</v>
      </c>
      <c r="BL20" s="6"/>
      <c r="BM20" s="6"/>
      <c r="BN20" s="6"/>
      <c r="BO20" s="6"/>
      <c r="BP20" s="26">
        <f ca="1">BN20+IF(NOT(ISBLANK(OFFSET(BP20,0,6))),N(OFFSET(BP20,0,6)),N(OFFSET(BP20,0,7)))-BO20</f>
        <v>0</v>
      </c>
    </row>
    <row r="21" spans="1:68" s="3" customFormat="1" ht="18.75" x14ac:dyDescent="0.3">
      <c r="A21" s="25" t="s">
        <v>155</v>
      </c>
      <c r="B21" s="6">
        <v>100</v>
      </c>
      <c r="C21" s="81">
        <v>292.25</v>
      </c>
      <c r="D21" s="236">
        <v>120</v>
      </c>
      <c r="E21" s="1"/>
      <c r="F21" s="39">
        <v>195</v>
      </c>
      <c r="G21" s="39">
        <v>156</v>
      </c>
      <c r="H21" s="39">
        <v>148</v>
      </c>
      <c r="I21" s="39">
        <v>132</v>
      </c>
      <c r="J21" s="39">
        <v>105</v>
      </c>
      <c r="K21" s="39">
        <f>88+AQ21</f>
        <v>188</v>
      </c>
      <c r="L21" s="39">
        <v>187</v>
      </c>
      <c r="M21" s="39">
        <v>182</v>
      </c>
      <c r="N21" s="39">
        <v>162</v>
      </c>
      <c r="O21" s="39">
        <v>148</v>
      </c>
      <c r="P21" s="39">
        <v>131</v>
      </c>
      <c r="Q21" s="39">
        <v>138</v>
      </c>
      <c r="R21" s="39">
        <v>128</v>
      </c>
      <c r="S21" s="39">
        <v>117</v>
      </c>
      <c r="T21" s="39">
        <v>112</v>
      </c>
      <c r="U21" s="39"/>
      <c r="V21" s="39"/>
      <c r="W21" s="39"/>
      <c r="X21" s="39">
        <v>79</v>
      </c>
      <c r="Y21" s="39">
        <v>79</v>
      </c>
      <c r="Z21" s="39">
        <v>72</v>
      </c>
      <c r="AA21" s="39">
        <v>67</v>
      </c>
      <c r="AB21" s="6">
        <v>67</v>
      </c>
      <c r="AC21" s="6">
        <v>67</v>
      </c>
      <c r="AD21" s="6">
        <v>67</v>
      </c>
      <c r="AE21" s="6">
        <v>67</v>
      </c>
      <c r="AF21" s="372">
        <f ca="1">AD21+IF(NOT(ISBLANK(OFFSET(AF21,0,6))),N(OFFSET(AF21,0,6)),N(OFFSET(AF21,0,7)))-AE21</f>
        <v>0</v>
      </c>
      <c r="AG21" s="11"/>
      <c r="AH21" s="78"/>
      <c r="AI21" s="78"/>
      <c r="AJ21" s="11"/>
      <c r="AK21" s="32"/>
      <c r="AL21" s="445">
        <v>0</v>
      </c>
      <c r="AM21" s="19">
        <v>0</v>
      </c>
      <c r="AN21" s="19"/>
      <c r="AO21" s="19">
        <v>0</v>
      </c>
      <c r="AP21" s="19"/>
      <c r="AQ21" s="117">
        <v>100</v>
      </c>
      <c r="AR21" s="19"/>
      <c r="AS21" s="19"/>
      <c r="AT21" s="19"/>
      <c r="AU21" s="19">
        <v>100</v>
      </c>
      <c r="AV21" s="19"/>
      <c r="AW21" s="19"/>
      <c r="AX21" s="117"/>
      <c r="AY21" s="19"/>
      <c r="AZ21" s="19"/>
      <c r="BA21" s="19"/>
      <c r="BC21" s="21" t="s">
        <v>156</v>
      </c>
      <c r="BD21" s="6">
        <v>100</v>
      </c>
      <c r="BE21" s="39">
        <f>AM21</f>
        <v>0</v>
      </c>
      <c r="BF21" s="39"/>
      <c r="BG21" s="39"/>
      <c r="BH21" s="39">
        <v>38</v>
      </c>
      <c r="BI21" s="39">
        <v>35</v>
      </c>
      <c r="BJ21" s="39">
        <v>25</v>
      </c>
      <c r="BK21" s="39">
        <v>6</v>
      </c>
      <c r="BL21" s="6"/>
      <c r="BM21" s="6"/>
      <c r="BN21" s="6"/>
      <c r="BO21" s="6"/>
      <c r="BP21" s="26">
        <f ca="1">BN21+IF(NOT(ISBLANK(OFFSET(BP21,0,6))),N(OFFSET(BP21,0,6)),N(OFFSET(BP21,0,7)))-BO21</f>
        <v>0</v>
      </c>
    </row>
    <row r="22" spans="1:68" s="3" customFormat="1" ht="18.75" x14ac:dyDescent="0.3">
      <c r="A22" s="25" t="s">
        <v>157</v>
      </c>
      <c r="B22" s="6">
        <v>75</v>
      </c>
      <c r="C22" s="66">
        <v>425.38</v>
      </c>
      <c r="D22" s="234">
        <v>25</v>
      </c>
      <c r="E22" s="7"/>
      <c r="F22" s="39">
        <v>24</v>
      </c>
      <c r="G22" s="39">
        <v>24</v>
      </c>
      <c r="H22" s="39">
        <v>24</v>
      </c>
      <c r="I22" s="39">
        <v>24</v>
      </c>
      <c r="J22" s="39">
        <v>19</v>
      </c>
      <c r="K22" s="39">
        <v>19</v>
      </c>
      <c r="L22" s="39">
        <v>19</v>
      </c>
      <c r="M22" s="39">
        <v>18</v>
      </c>
      <c r="N22" s="39">
        <v>17</v>
      </c>
      <c r="O22" s="39">
        <v>17</v>
      </c>
      <c r="P22" s="39">
        <v>17</v>
      </c>
      <c r="Q22" s="39">
        <v>17</v>
      </c>
      <c r="R22" s="39">
        <v>17</v>
      </c>
      <c r="S22" s="39">
        <v>17</v>
      </c>
      <c r="T22" s="39">
        <v>17</v>
      </c>
      <c r="U22" s="39">
        <v>17</v>
      </c>
      <c r="V22" s="39">
        <v>17</v>
      </c>
      <c r="W22" s="39">
        <v>15</v>
      </c>
      <c r="X22" s="39">
        <v>15</v>
      </c>
      <c r="Y22" s="39">
        <v>15</v>
      </c>
      <c r="Z22" s="39">
        <v>4</v>
      </c>
      <c r="AA22" s="206">
        <v>17</v>
      </c>
      <c r="AB22" s="373">
        <v>17</v>
      </c>
      <c r="AC22" s="373">
        <v>17</v>
      </c>
      <c r="AD22" s="373">
        <v>17</v>
      </c>
      <c r="AE22" s="373">
        <v>17</v>
      </c>
      <c r="AF22" s="372">
        <f ca="1">AD22+IF(NOT(ISBLANK(OFFSET(AF22,0,6))),N(OFFSET(AF22,0,6)),N(OFFSET(AF22,0,7)))-AE22</f>
        <v>0</v>
      </c>
      <c r="AG22" s="11"/>
      <c r="AH22" s="279"/>
      <c r="AI22" s="279"/>
      <c r="AJ22" s="11"/>
      <c r="AK22" s="32"/>
      <c r="AL22" s="445">
        <v>0</v>
      </c>
      <c r="AM22" s="19">
        <v>0</v>
      </c>
      <c r="AN22" s="19"/>
      <c r="AO22" s="19">
        <v>0</v>
      </c>
      <c r="AP22" s="19"/>
      <c r="AQ22" s="117">
        <v>200</v>
      </c>
      <c r="AR22" s="19"/>
      <c r="AS22" s="19"/>
      <c r="AT22" s="19"/>
      <c r="AU22" s="19"/>
      <c r="AV22" s="19"/>
      <c r="AW22" s="19"/>
      <c r="AX22" s="117"/>
      <c r="AY22" s="19"/>
      <c r="AZ22" s="19"/>
      <c r="BA22" s="19"/>
      <c r="BC22" s="22" t="s">
        <v>158</v>
      </c>
      <c r="BD22" s="6">
        <v>200</v>
      </c>
      <c r="BE22" s="39">
        <f>AM22</f>
        <v>0</v>
      </c>
      <c r="BF22" s="39"/>
      <c r="BG22" s="39"/>
      <c r="BH22" s="39">
        <v>63</v>
      </c>
      <c r="BI22" s="39">
        <v>53</v>
      </c>
      <c r="BJ22" s="39">
        <v>0</v>
      </c>
      <c r="BK22" s="39">
        <v>0</v>
      </c>
      <c r="BL22" s="6"/>
      <c r="BM22" s="6"/>
      <c r="BN22" s="6"/>
      <c r="BO22" s="6"/>
      <c r="BP22" s="26">
        <f ca="1">BN22+IF(NOT(ISBLANK(OFFSET(BP22,0,6))),N(OFFSET(BP22,0,6)),N(OFFSET(BP22,0,7)))-BO22</f>
        <v>0</v>
      </c>
    </row>
    <row r="23" spans="1:68" s="3" customFormat="1" ht="18.75" x14ac:dyDescent="0.3">
      <c r="A23" s="25" t="s">
        <v>159</v>
      </c>
      <c r="B23" s="6">
        <v>150</v>
      </c>
      <c r="C23" s="66">
        <v>427.5</v>
      </c>
      <c r="D23" s="234">
        <v>150</v>
      </c>
      <c r="E23" s="7"/>
      <c r="F23" s="2"/>
      <c r="G23" s="2"/>
      <c r="H23" s="2"/>
      <c r="I23" s="39"/>
      <c r="J23" s="39">
        <v>0</v>
      </c>
      <c r="K23" s="39">
        <v>0</v>
      </c>
      <c r="L23" s="39">
        <f>0+AP23</f>
        <v>0</v>
      </c>
      <c r="M23" s="39">
        <v>119</v>
      </c>
      <c r="N23" s="39">
        <v>105</v>
      </c>
      <c r="O23" s="39">
        <v>104</v>
      </c>
      <c r="P23" s="39">
        <v>95</v>
      </c>
      <c r="Q23" s="39">
        <v>65</v>
      </c>
      <c r="R23" s="39">
        <f>49+AN23</f>
        <v>49</v>
      </c>
      <c r="S23" s="39">
        <v>186</v>
      </c>
      <c r="T23" s="39">
        <v>176</v>
      </c>
      <c r="U23" s="39"/>
      <c r="V23" s="39"/>
      <c r="W23" s="39"/>
      <c r="X23" s="39">
        <v>95</v>
      </c>
      <c r="Y23" s="39">
        <v>95</v>
      </c>
      <c r="Z23" s="39">
        <f>95+17</f>
        <v>112</v>
      </c>
      <c r="AA23" s="206">
        <v>110</v>
      </c>
      <c r="AB23" s="373">
        <v>110</v>
      </c>
      <c r="AC23" s="373">
        <v>110</v>
      </c>
      <c r="AD23" s="373">
        <v>110</v>
      </c>
      <c r="AE23" s="373">
        <v>110</v>
      </c>
      <c r="AF23" s="372">
        <f ca="1">AD23+IF(NOT(ISBLANK(OFFSET(AF23,0,6))),N(OFFSET(AF23,0,6)),N(OFFSET(AF23,0,7)))-AE23</f>
        <v>0</v>
      </c>
      <c r="AG23" s="11"/>
      <c r="AH23" s="78"/>
      <c r="AI23" s="78"/>
      <c r="AJ23" s="11"/>
      <c r="AK23" s="32"/>
      <c r="AL23" s="445">
        <v>0</v>
      </c>
      <c r="AM23" s="19">
        <v>0</v>
      </c>
      <c r="AN23" s="19"/>
      <c r="AO23" s="19">
        <v>0</v>
      </c>
      <c r="AP23" s="19"/>
      <c r="AQ23" s="117">
        <v>150</v>
      </c>
      <c r="AR23" s="19">
        <v>150</v>
      </c>
      <c r="AS23" s="19"/>
      <c r="AT23" s="19">
        <v>150</v>
      </c>
      <c r="AU23" s="19"/>
      <c r="AV23" s="19"/>
      <c r="AW23" s="19"/>
      <c r="AX23" s="117"/>
      <c r="AY23" s="19"/>
      <c r="AZ23" s="19"/>
      <c r="BA23" s="19"/>
      <c r="BC23" s="22" t="s">
        <v>160</v>
      </c>
      <c r="BD23" s="6">
        <v>150</v>
      </c>
      <c r="BE23" s="39">
        <f>AM23</f>
        <v>0</v>
      </c>
      <c r="BF23" s="39"/>
      <c r="BG23" s="39"/>
      <c r="BH23" s="39">
        <v>127</v>
      </c>
      <c r="BI23" s="39">
        <v>122</v>
      </c>
      <c r="BJ23" s="39">
        <v>19</v>
      </c>
      <c r="BK23" s="39">
        <v>4</v>
      </c>
      <c r="BL23" s="6"/>
      <c r="BM23" s="6"/>
      <c r="BN23" s="6"/>
      <c r="BO23" s="6"/>
      <c r="BP23" s="26">
        <f ca="1">BN23+IF(NOT(ISBLANK(OFFSET(BP23,0,6))),N(OFFSET(BP23,0,6)),N(OFFSET(BP23,0,7)))-BO23</f>
        <v>0</v>
      </c>
    </row>
    <row r="24" spans="1:68" ht="18.75" x14ac:dyDescent="0.3"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</row>
    <row r="25" spans="1:68" ht="18.75" x14ac:dyDescent="0.3">
      <c r="A25" s="378" t="s">
        <v>161</v>
      </c>
      <c r="B25" s="379" t="s">
        <v>123</v>
      </c>
      <c r="C25" s="379" t="s">
        <v>124</v>
      </c>
      <c r="D25" s="379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13">
        <v>46160</v>
      </c>
      <c r="AB25" s="13">
        <v>46161.480124120368</v>
      </c>
      <c r="AC25" s="13">
        <v>46161.480797523152</v>
      </c>
      <c r="AD25" s="13">
        <v>46161.482955543979</v>
      </c>
      <c r="AE25" s="13">
        <v>46161.48328406801</v>
      </c>
      <c r="AF25" s="35" t="s">
        <v>129</v>
      </c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</row>
    <row r="26" spans="1:68" ht="18.75" x14ac:dyDescent="0.3">
      <c r="A26" s="384" t="s">
        <v>162</v>
      </c>
      <c r="B26" s="385">
        <v>100</v>
      </c>
      <c r="C26" s="199">
        <v>790</v>
      </c>
      <c r="D26" s="396"/>
      <c r="F26" s="39">
        <v>100</v>
      </c>
      <c r="G26" s="39">
        <v>85</v>
      </c>
      <c r="H26" s="39">
        <v>59</v>
      </c>
      <c r="I26" s="39">
        <v>59</v>
      </c>
      <c r="J26" s="39">
        <v>59</v>
      </c>
      <c r="K26" s="39">
        <v>57</v>
      </c>
      <c r="L26" s="39">
        <v>43</v>
      </c>
      <c r="M26" s="39">
        <v>56</v>
      </c>
      <c r="N26" s="39">
        <v>56</v>
      </c>
      <c r="O26" s="39">
        <v>55</v>
      </c>
      <c r="P26" s="39">
        <v>55</v>
      </c>
      <c r="Q26" s="39">
        <v>55</v>
      </c>
      <c r="R26" s="39">
        <v>54</v>
      </c>
      <c r="S26" s="39">
        <v>54</v>
      </c>
      <c r="T26" s="39">
        <v>54</v>
      </c>
      <c r="U26" s="39">
        <v>54</v>
      </c>
      <c r="V26" s="39">
        <v>54</v>
      </c>
      <c r="W26" s="39">
        <v>43</v>
      </c>
      <c r="X26" s="39">
        <v>43</v>
      </c>
      <c r="Y26" s="39">
        <v>41</v>
      </c>
      <c r="Z26" s="39">
        <v>51</v>
      </c>
      <c r="AA26" s="206">
        <v>39</v>
      </c>
      <c r="AB26" s="373">
        <v>39</v>
      </c>
      <c r="AC26" s="373">
        <v>39</v>
      </c>
      <c r="AD26" s="373">
        <v>39</v>
      </c>
      <c r="AE26" s="373">
        <v>39</v>
      </c>
      <c r="AF26" s="372">
        <f t="shared" ref="AF26:AF37" ca="1" si="0">AD26+IF(NOT(ISBLANK(OFFSET(AF26,0,6))),N(OFFSET(AF26,0,6)),N(OFFSET(AF26,0,7)))-AE26</f>
        <v>0</v>
      </c>
      <c r="AH26" s="347"/>
      <c r="AI26" s="347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</row>
    <row r="27" spans="1:68" ht="18.75" hidden="1" x14ac:dyDescent="0.3">
      <c r="A27" s="386" t="s">
        <v>163</v>
      </c>
      <c r="B27" s="159">
        <v>100</v>
      </c>
      <c r="C27" s="200">
        <v>295</v>
      </c>
      <c r="D27" s="396"/>
      <c r="F27" s="39">
        <v>2</v>
      </c>
      <c r="G27" s="39">
        <v>2</v>
      </c>
      <c r="H27" s="39">
        <v>2</v>
      </c>
      <c r="I27" s="39">
        <v>0</v>
      </c>
      <c r="J27" s="39">
        <v>0</v>
      </c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6"/>
      <c r="AC27" s="6"/>
      <c r="AD27" s="6"/>
      <c r="AE27" s="6"/>
      <c r="AF27" s="372">
        <f t="shared" ca="1" si="0"/>
        <v>0</v>
      </c>
      <c r="AH27" s="347"/>
      <c r="AI27" s="347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</row>
    <row r="28" spans="1:68" ht="18.75" hidden="1" x14ac:dyDescent="0.3">
      <c r="A28" s="386" t="s">
        <v>164</v>
      </c>
      <c r="B28" s="159">
        <v>100</v>
      </c>
      <c r="C28" s="200">
        <v>283</v>
      </c>
      <c r="D28" s="396"/>
      <c r="F28" s="39">
        <v>2</v>
      </c>
      <c r="G28" s="39">
        <v>2</v>
      </c>
      <c r="H28" s="39">
        <v>2</v>
      </c>
      <c r="I28" s="39">
        <v>0</v>
      </c>
      <c r="J28" s="39">
        <v>0</v>
      </c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6"/>
      <c r="AC28" s="6"/>
      <c r="AD28" s="6"/>
      <c r="AE28" s="6"/>
      <c r="AF28" s="372">
        <f t="shared" ca="1" si="0"/>
        <v>0</v>
      </c>
      <c r="AH28" s="347"/>
      <c r="AI28" s="347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</row>
    <row r="29" spans="1:68" ht="18.75" x14ac:dyDescent="0.3">
      <c r="A29" s="397" t="s">
        <v>165</v>
      </c>
      <c r="B29" s="398">
        <v>25</v>
      </c>
      <c r="C29" s="254">
        <v>249.25</v>
      </c>
      <c r="D29" s="396"/>
      <c r="F29" s="6">
        <v>15</v>
      </c>
      <c r="G29" s="6">
        <v>15</v>
      </c>
      <c r="H29" s="6">
        <v>15</v>
      </c>
      <c r="I29" s="6">
        <v>15</v>
      </c>
      <c r="J29" s="6">
        <v>15</v>
      </c>
      <c r="K29" s="6">
        <v>15</v>
      </c>
      <c r="L29" s="6">
        <v>15</v>
      </c>
      <c r="M29" s="6">
        <v>15</v>
      </c>
      <c r="N29" s="6">
        <v>15</v>
      </c>
      <c r="O29" s="6">
        <v>15</v>
      </c>
      <c r="P29" s="6">
        <v>15</v>
      </c>
      <c r="Q29" s="6">
        <v>15</v>
      </c>
      <c r="R29" s="6">
        <v>15</v>
      </c>
      <c r="S29" s="6">
        <v>15</v>
      </c>
      <c r="T29" s="6">
        <v>15</v>
      </c>
      <c r="U29" s="6">
        <v>15</v>
      </c>
      <c r="V29" s="6">
        <v>15</v>
      </c>
      <c r="W29" s="6">
        <v>15</v>
      </c>
      <c r="X29" s="6">
        <v>15</v>
      </c>
      <c r="Y29" s="6">
        <v>15</v>
      </c>
      <c r="Z29" s="6">
        <v>15</v>
      </c>
      <c r="AA29" s="6">
        <v>15</v>
      </c>
      <c r="AB29" s="6">
        <v>15</v>
      </c>
      <c r="AC29" s="6">
        <v>15</v>
      </c>
      <c r="AD29" s="6">
        <v>15</v>
      </c>
      <c r="AE29" s="6">
        <v>15</v>
      </c>
      <c r="AF29" s="372">
        <f t="shared" ca="1" si="0"/>
        <v>0</v>
      </c>
      <c r="AH29" s="347"/>
      <c r="AI29" s="347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</row>
    <row r="30" spans="1:68" ht="18.75" x14ac:dyDescent="0.3">
      <c r="A30" s="397" t="s">
        <v>166</v>
      </c>
      <c r="B30" s="398">
        <v>25</v>
      </c>
      <c r="C30" s="254">
        <v>249.25</v>
      </c>
      <c r="D30" s="396"/>
      <c r="F30" s="6">
        <v>10</v>
      </c>
      <c r="G30" s="6">
        <v>10</v>
      </c>
      <c r="H30" s="6">
        <v>10</v>
      </c>
      <c r="I30" s="6">
        <v>10</v>
      </c>
      <c r="J30" s="6">
        <v>10</v>
      </c>
      <c r="K30" s="6">
        <v>10</v>
      </c>
      <c r="L30" s="6">
        <v>10</v>
      </c>
      <c r="M30" s="6">
        <v>10</v>
      </c>
      <c r="N30" s="6">
        <v>10</v>
      </c>
      <c r="O30" s="6">
        <v>10</v>
      </c>
      <c r="P30" s="6">
        <v>10</v>
      </c>
      <c r="Q30" s="6">
        <v>10</v>
      </c>
      <c r="R30" s="6">
        <v>10</v>
      </c>
      <c r="S30" s="6">
        <v>10</v>
      </c>
      <c r="T30" s="6">
        <v>10</v>
      </c>
      <c r="U30" s="6">
        <v>10</v>
      </c>
      <c r="V30" s="6">
        <v>10</v>
      </c>
      <c r="W30" s="6">
        <v>10</v>
      </c>
      <c r="X30" s="6">
        <v>10</v>
      </c>
      <c r="Y30" s="6">
        <v>10</v>
      </c>
      <c r="Z30" s="6">
        <v>10</v>
      </c>
      <c r="AA30" s="6">
        <v>10</v>
      </c>
      <c r="AB30" s="6">
        <v>10</v>
      </c>
      <c r="AC30" s="6">
        <v>10</v>
      </c>
      <c r="AD30" s="6">
        <v>10</v>
      </c>
      <c r="AE30" s="6">
        <v>10</v>
      </c>
      <c r="AF30" s="372">
        <f t="shared" ca="1" si="0"/>
        <v>0</v>
      </c>
      <c r="AH30" s="347"/>
      <c r="AI30" s="347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</row>
    <row r="31" spans="1:68" ht="18.75" x14ac:dyDescent="0.3">
      <c r="A31" s="397" t="s">
        <v>167</v>
      </c>
      <c r="B31" s="398">
        <v>25</v>
      </c>
      <c r="C31" s="254">
        <v>249.25</v>
      </c>
      <c r="D31" s="396"/>
      <c r="F31" s="6">
        <v>13</v>
      </c>
      <c r="G31" s="6">
        <v>13</v>
      </c>
      <c r="H31" s="6">
        <v>13</v>
      </c>
      <c r="I31" s="6">
        <v>13</v>
      </c>
      <c r="J31" s="6">
        <v>13</v>
      </c>
      <c r="K31" s="6">
        <v>13</v>
      </c>
      <c r="L31" s="6">
        <v>13</v>
      </c>
      <c r="M31" s="6">
        <v>13</v>
      </c>
      <c r="N31" s="6">
        <v>13</v>
      </c>
      <c r="O31" s="6">
        <v>13</v>
      </c>
      <c r="P31" s="6">
        <v>13</v>
      </c>
      <c r="Q31" s="6">
        <v>13</v>
      </c>
      <c r="R31" s="6">
        <v>13</v>
      </c>
      <c r="S31" s="6">
        <v>13</v>
      </c>
      <c r="T31" s="6">
        <v>13</v>
      </c>
      <c r="U31" s="6">
        <v>13</v>
      </c>
      <c r="V31" s="6">
        <v>13</v>
      </c>
      <c r="W31" s="6">
        <v>13</v>
      </c>
      <c r="X31" s="6">
        <v>13</v>
      </c>
      <c r="Y31" s="6">
        <v>13</v>
      </c>
      <c r="Z31" s="6">
        <v>13</v>
      </c>
      <c r="AA31" s="6">
        <v>13</v>
      </c>
      <c r="AB31" s="6">
        <v>13</v>
      </c>
      <c r="AC31" s="6">
        <v>13</v>
      </c>
      <c r="AD31" s="6">
        <v>13</v>
      </c>
      <c r="AE31" s="6">
        <v>13</v>
      </c>
      <c r="AF31" s="372">
        <f t="shared" ca="1" si="0"/>
        <v>0</v>
      </c>
      <c r="AH31" s="347"/>
      <c r="AI31" s="347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</row>
    <row r="32" spans="1:68" ht="18.75" x14ac:dyDescent="0.3">
      <c r="A32" s="283" t="s">
        <v>168</v>
      </c>
      <c r="B32" s="284">
        <v>100</v>
      </c>
      <c r="C32" s="285">
        <v>1490</v>
      </c>
      <c r="D32" s="396"/>
      <c r="F32" s="6">
        <v>5</v>
      </c>
      <c r="G32" s="6">
        <v>5</v>
      </c>
      <c r="H32" s="6">
        <v>5</v>
      </c>
      <c r="I32" s="6">
        <v>1</v>
      </c>
      <c r="J32" s="6">
        <v>1</v>
      </c>
      <c r="K32" s="6">
        <v>1</v>
      </c>
      <c r="L32" s="6">
        <v>1</v>
      </c>
      <c r="M32" s="6">
        <v>1</v>
      </c>
      <c r="N32" s="6">
        <v>1</v>
      </c>
      <c r="O32" s="6">
        <v>1</v>
      </c>
      <c r="P32" s="6">
        <v>1</v>
      </c>
      <c r="Q32" s="6">
        <v>1</v>
      </c>
      <c r="R32" s="6">
        <v>1</v>
      </c>
      <c r="S32" s="6">
        <v>1</v>
      </c>
      <c r="T32" s="6">
        <v>1</v>
      </c>
      <c r="U32" s="6">
        <v>1</v>
      </c>
      <c r="V32" s="6">
        <v>1</v>
      </c>
      <c r="W32" s="6">
        <v>1</v>
      </c>
      <c r="X32" s="6">
        <v>1</v>
      </c>
      <c r="Y32" s="6">
        <v>1</v>
      </c>
      <c r="Z32" s="6">
        <v>1</v>
      </c>
      <c r="AA32" s="6">
        <v>0</v>
      </c>
      <c r="AB32" s="6">
        <v>0</v>
      </c>
      <c r="AC32" s="6">
        <v>0</v>
      </c>
      <c r="AD32" s="6">
        <v>0</v>
      </c>
      <c r="AE32" s="6">
        <v>0</v>
      </c>
      <c r="AF32" s="372">
        <f t="shared" ca="1" si="0"/>
        <v>0</v>
      </c>
      <c r="AH32" s="347"/>
      <c r="AI32" s="347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</row>
    <row r="33" spans="1:237" ht="18.75" x14ac:dyDescent="0.3">
      <c r="A33" s="25" t="s">
        <v>169</v>
      </c>
      <c r="B33" s="6">
        <v>150</v>
      </c>
      <c r="C33" s="77">
        <v>805.35</v>
      </c>
      <c r="D33" s="396"/>
      <c r="F33" s="6">
        <v>236</v>
      </c>
      <c r="G33" s="6">
        <v>169</v>
      </c>
      <c r="H33" s="6">
        <v>152</v>
      </c>
      <c r="I33" s="6">
        <v>95</v>
      </c>
      <c r="J33" s="6">
        <v>95</v>
      </c>
      <c r="K33" s="6">
        <v>95</v>
      </c>
      <c r="L33" s="6">
        <v>95</v>
      </c>
      <c r="M33" s="6">
        <v>95</v>
      </c>
      <c r="N33" s="6">
        <v>95</v>
      </c>
      <c r="O33" s="6">
        <v>95</v>
      </c>
      <c r="P33" s="6">
        <v>95</v>
      </c>
      <c r="Q33" s="6">
        <v>93</v>
      </c>
      <c r="R33" s="6">
        <v>93</v>
      </c>
      <c r="S33" s="6">
        <v>93</v>
      </c>
      <c r="T33" s="6">
        <v>93</v>
      </c>
      <c r="U33" s="6">
        <v>93</v>
      </c>
      <c r="V33" s="6">
        <v>93</v>
      </c>
      <c r="W33" s="6">
        <v>93</v>
      </c>
      <c r="X33" s="6">
        <v>93</v>
      </c>
      <c r="Y33" s="6">
        <v>87</v>
      </c>
      <c r="Z33" s="6">
        <v>84</v>
      </c>
      <c r="AA33" s="373">
        <v>90</v>
      </c>
      <c r="AB33" s="373">
        <v>90</v>
      </c>
      <c r="AC33" s="373">
        <v>90</v>
      </c>
      <c r="AD33" s="373">
        <v>90</v>
      </c>
      <c r="AE33" s="373">
        <v>90</v>
      </c>
      <c r="AF33" s="372">
        <f t="shared" ca="1" si="0"/>
        <v>0</v>
      </c>
      <c r="AH33" s="347"/>
      <c r="AI33" s="347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</row>
    <row r="34" spans="1:237" ht="18.75" x14ac:dyDescent="0.3">
      <c r="A34" s="25" t="s">
        <v>170</v>
      </c>
      <c r="B34" s="6">
        <v>100</v>
      </c>
      <c r="C34" s="77">
        <v>792.2</v>
      </c>
      <c r="D34" s="396"/>
      <c r="F34" s="6">
        <v>232</v>
      </c>
      <c r="G34" s="6">
        <v>184</v>
      </c>
      <c r="H34" s="6">
        <v>177</v>
      </c>
      <c r="I34" s="6">
        <v>179</v>
      </c>
      <c r="J34" s="6">
        <v>179</v>
      </c>
      <c r="K34" s="6">
        <v>179</v>
      </c>
      <c r="L34" s="6">
        <v>178</v>
      </c>
      <c r="M34" s="6">
        <v>175</v>
      </c>
      <c r="N34" s="6">
        <v>175</v>
      </c>
      <c r="O34" s="6">
        <v>174</v>
      </c>
      <c r="P34" s="6">
        <v>174</v>
      </c>
      <c r="Q34" s="6">
        <v>174</v>
      </c>
      <c r="R34" s="6">
        <v>174</v>
      </c>
      <c r="S34" s="6">
        <v>174</v>
      </c>
      <c r="T34" s="6">
        <v>174</v>
      </c>
      <c r="U34" s="6">
        <v>174</v>
      </c>
      <c r="V34" s="6">
        <v>174</v>
      </c>
      <c r="W34" s="6">
        <v>174</v>
      </c>
      <c r="X34" s="6">
        <v>166</v>
      </c>
      <c r="Y34" s="6">
        <v>159</v>
      </c>
      <c r="Z34" s="6">
        <v>148</v>
      </c>
      <c r="AA34" s="373">
        <v>162</v>
      </c>
      <c r="AB34" s="373">
        <v>162</v>
      </c>
      <c r="AC34" s="373">
        <v>162</v>
      </c>
      <c r="AD34" s="373">
        <v>162</v>
      </c>
      <c r="AE34" s="373">
        <v>162</v>
      </c>
      <c r="AF34" s="372">
        <f t="shared" ca="1" si="0"/>
        <v>0</v>
      </c>
      <c r="AH34" s="347"/>
      <c r="AI34" s="347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</row>
    <row r="35" spans="1:237" ht="18.75" hidden="1" x14ac:dyDescent="0.3">
      <c r="A35" s="25" t="s">
        <v>171</v>
      </c>
      <c r="B35" s="6">
        <v>200</v>
      </c>
      <c r="C35" s="77">
        <v>487.2</v>
      </c>
      <c r="D35" s="396"/>
      <c r="F35" s="6">
        <v>-3</v>
      </c>
      <c r="G35" s="6">
        <v>-3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372">
        <f t="shared" ca="1" si="0"/>
        <v>0</v>
      </c>
      <c r="AH35" s="347"/>
      <c r="AI35" s="347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</row>
    <row r="36" spans="1:237" ht="18.75" hidden="1" x14ac:dyDescent="0.3">
      <c r="A36" s="25" t="s">
        <v>172</v>
      </c>
      <c r="B36" s="6">
        <v>150</v>
      </c>
      <c r="C36" s="77">
        <v>460.35</v>
      </c>
      <c r="D36" s="396"/>
      <c r="F36" s="6">
        <v>22</v>
      </c>
      <c r="G36" s="6">
        <v>-2</v>
      </c>
      <c r="H36" s="6">
        <v>0</v>
      </c>
      <c r="I36" s="6">
        <v>0</v>
      </c>
      <c r="J36" s="6">
        <v>-1</v>
      </c>
      <c r="K36" s="6">
        <v>-1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372">
        <f t="shared" ca="1" si="0"/>
        <v>0</v>
      </c>
      <c r="AH36" s="347"/>
      <c r="AI36" s="347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401"/>
      <c r="AY36" s="11"/>
      <c r="AZ36" s="11"/>
      <c r="BA36" s="11"/>
    </row>
    <row r="37" spans="1:237" ht="18.75" x14ac:dyDescent="0.3">
      <c r="A37" s="25" t="s">
        <v>173</v>
      </c>
      <c r="B37" s="6">
        <v>10</v>
      </c>
      <c r="C37" s="77">
        <v>120</v>
      </c>
      <c r="D37" s="396"/>
      <c r="F37" s="6">
        <v>9</v>
      </c>
      <c r="G37" s="6">
        <v>-1</v>
      </c>
      <c r="H37" s="6">
        <v>1</v>
      </c>
      <c r="I37" s="6">
        <v>1</v>
      </c>
      <c r="J37" s="6">
        <v>1</v>
      </c>
      <c r="K37" s="6">
        <v>1</v>
      </c>
      <c r="L37" s="6">
        <v>1</v>
      </c>
      <c r="M37" s="6">
        <v>1</v>
      </c>
      <c r="N37" s="6">
        <v>1</v>
      </c>
      <c r="O37" s="6">
        <v>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>
        <v>1</v>
      </c>
      <c r="V37" s="6">
        <v>1</v>
      </c>
      <c r="W37" s="6">
        <v>1</v>
      </c>
      <c r="X37" s="6">
        <v>1</v>
      </c>
      <c r="Y37" s="6">
        <v>1</v>
      </c>
      <c r="Z37" s="6">
        <v>1</v>
      </c>
      <c r="AA37" s="6">
        <v>1</v>
      </c>
      <c r="AB37" s="6">
        <v>1</v>
      </c>
      <c r="AC37" s="6">
        <v>1</v>
      </c>
      <c r="AD37" s="6">
        <v>1</v>
      </c>
      <c r="AE37" s="6">
        <v>1</v>
      </c>
      <c r="AF37" s="372">
        <f t="shared" ca="1" si="0"/>
        <v>0</v>
      </c>
      <c r="AH37" s="347"/>
      <c r="AI37" s="347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401"/>
      <c r="AY37" s="11"/>
      <c r="AZ37" s="11"/>
      <c r="BA37" s="11"/>
    </row>
    <row r="38" spans="1:237" ht="18.75" x14ac:dyDescent="0.3">
      <c r="AH38" s="347"/>
      <c r="AI38" s="347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41"/>
      <c r="AY38" s="11"/>
      <c r="AZ38" s="11"/>
      <c r="BA38" s="11"/>
    </row>
    <row r="39" spans="1:237" ht="21" customHeight="1" x14ac:dyDescent="0.3">
      <c r="A39" s="394" t="s">
        <v>174</v>
      </c>
      <c r="B39" s="394"/>
      <c r="C39" s="394"/>
      <c r="AJ39" s="362"/>
      <c r="AL39" s="11"/>
      <c r="AM39" s="11"/>
      <c r="AN39" s="401"/>
      <c r="AO39" s="401"/>
      <c r="AP39" s="401"/>
      <c r="AQ39" s="401"/>
      <c r="AR39" s="401"/>
      <c r="AS39" s="401"/>
      <c r="AT39" s="401"/>
      <c r="AU39" s="401"/>
      <c r="AV39" s="401"/>
      <c r="AW39" s="401"/>
      <c r="AX39" s="41"/>
      <c r="AY39" s="401"/>
      <c r="AZ39" s="401"/>
      <c r="BA39" s="401"/>
    </row>
    <row r="40" spans="1:237" ht="20.25" customHeight="1" x14ac:dyDescent="0.3">
      <c r="A40" s="361" t="s">
        <v>175</v>
      </c>
      <c r="B40" s="361"/>
      <c r="C40" s="361" t="s">
        <v>176</v>
      </c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J40" s="41"/>
      <c r="AL40" s="401"/>
      <c r="AM40" s="401"/>
      <c r="AN40" s="401"/>
      <c r="AO40" s="401"/>
      <c r="AP40" s="401"/>
      <c r="AQ40" s="401"/>
      <c r="AR40" s="401"/>
      <c r="AS40" s="401"/>
      <c r="AT40" s="401"/>
      <c r="AU40" s="401"/>
      <c r="AV40" s="401"/>
      <c r="AW40" s="401"/>
      <c r="AX40" s="41"/>
      <c r="AY40" s="401"/>
      <c r="AZ40" s="401"/>
      <c r="BA40" s="401"/>
    </row>
    <row r="41" spans="1:237" ht="18.75" x14ac:dyDescent="0.3">
      <c r="A41" s="286"/>
      <c r="B41" s="370"/>
      <c r="C41" s="357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01"/>
      <c r="AM41" s="40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41"/>
      <c r="CC41" s="41"/>
      <c r="CD41" s="41"/>
      <c r="CE41" s="41"/>
      <c r="CF41" s="41"/>
      <c r="CG41" s="41"/>
      <c r="CH41" s="41"/>
      <c r="CI41" s="41"/>
      <c r="CJ41" s="41"/>
      <c r="CK41" s="41"/>
      <c r="CL41" s="41"/>
      <c r="CM41" s="1"/>
      <c r="CN41" s="41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4"/>
      <c r="EN41" s="34"/>
      <c r="EO41" s="34"/>
      <c r="EP41" s="34"/>
      <c r="EQ41" s="34"/>
      <c r="ER41" s="34"/>
      <c r="ES41" s="34"/>
      <c r="ET41" s="34"/>
      <c r="EU41" s="34"/>
      <c r="EV41" s="34"/>
      <c r="EW41" s="362"/>
      <c r="EX41" s="41"/>
      <c r="EY41" s="34"/>
      <c r="EZ41" s="41"/>
      <c r="FA41" s="150"/>
      <c r="FB41" s="150"/>
      <c r="FC41" s="34"/>
      <c r="FD41" s="150"/>
      <c r="FE41" s="34"/>
      <c r="FF41" s="34"/>
      <c r="FG41" s="150"/>
      <c r="FH41" s="150"/>
      <c r="FI41" s="34"/>
      <c r="FJ41" s="34"/>
      <c r="FK41" s="34"/>
      <c r="FL41" s="150"/>
      <c r="FM41" s="34"/>
      <c r="FN41" s="150"/>
      <c r="FO41" s="150"/>
      <c r="FP41" s="150"/>
      <c r="FQ41" s="34"/>
      <c r="FR41" s="150"/>
      <c r="FS41" s="34"/>
      <c r="FT41" s="150"/>
      <c r="FU41" s="150"/>
      <c r="FV41" s="150"/>
      <c r="FW41" s="150"/>
      <c r="FX41" s="150"/>
      <c r="FY41" s="350"/>
      <c r="FZ41" s="150"/>
      <c r="GA41" s="150"/>
      <c r="GB41" s="150"/>
      <c r="GC41" s="150"/>
      <c r="GD41" s="150"/>
      <c r="GE41" s="150"/>
      <c r="GF41" s="150"/>
      <c r="GG41" s="150"/>
      <c r="GH41" s="150"/>
      <c r="GI41" s="150"/>
      <c r="GJ41" s="150"/>
      <c r="GK41" s="150"/>
      <c r="GL41" s="150"/>
      <c r="GM41" s="150"/>
      <c r="GN41" s="150"/>
      <c r="GO41" s="150"/>
      <c r="GP41" s="150"/>
      <c r="GQ41" s="150"/>
      <c r="GR41" s="150"/>
      <c r="GS41" s="150"/>
      <c r="GT41" s="150"/>
      <c r="GU41" s="34"/>
      <c r="GV41" s="150"/>
      <c r="GW41" s="150"/>
      <c r="GX41" s="150"/>
      <c r="GY41" s="150"/>
      <c r="GZ41" s="150"/>
      <c r="HA41" s="150"/>
      <c r="HB41" s="150"/>
      <c r="HC41" s="150"/>
      <c r="HD41" s="150"/>
      <c r="HE41" s="150"/>
      <c r="HF41" s="150"/>
      <c r="HG41" s="150"/>
      <c r="HH41" s="150"/>
      <c r="HI41" s="150"/>
      <c r="HJ41" s="150"/>
      <c r="HK41" s="150"/>
      <c r="HL41" s="150"/>
      <c r="HM41" s="150"/>
      <c r="HN41" s="150"/>
      <c r="HO41" s="150"/>
      <c r="HP41" s="150"/>
      <c r="HQ41" s="150"/>
      <c r="HR41" s="150"/>
      <c r="HS41" s="150"/>
      <c r="HT41" s="150"/>
      <c r="HU41" s="150"/>
      <c r="HV41" s="150"/>
      <c r="HW41" s="150"/>
      <c r="HX41" s="150"/>
      <c r="HY41" s="150"/>
      <c r="HZ41" s="150"/>
      <c r="IA41" s="150"/>
      <c r="IB41" s="150"/>
      <c r="IC41" s="150"/>
    </row>
    <row r="42" spans="1:237" ht="18.75" x14ac:dyDescent="0.3">
      <c r="A42" s="462"/>
      <c r="B42" s="463"/>
      <c r="C42" s="464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1"/>
      <c r="CN42" s="41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  <c r="EE42" s="34"/>
      <c r="EF42" s="34"/>
      <c r="EG42" s="34"/>
      <c r="EH42" s="34"/>
      <c r="EI42" s="34"/>
      <c r="EJ42" s="34"/>
      <c r="EK42" s="34"/>
      <c r="EL42" s="34"/>
      <c r="EM42" s="34"/>
      <c r="EN42" s="34"/>
      <c r="EO42" s="34"/>
      <c r="EP42" s="34"/>
      <c r="EQ42" s="34"/>
      <c r="ER42" s="34"/>
      <c r="ES42" s="34"/>
      <c r="ET42" s="34"/>
      <c r="EU42" s="34"/>
      <c r="EV42" s="34"/>
      <c r="EW42" s="362"/>
      <c r="EX42" s="41"/>
      <c r="EY42" s="34"/>
      <c r="EZ42" s="41"/>
      <c r="FA42" s="150"/>
      <c r="FB42" s="150"/>
      <c r="FC42" s="34"/>
      <c r="FD42" s="150"/>
      <c r="FE42" s="34"/>
      <c r="FF42" s="34"/>
      <c r="FG42" s="150"/>
      <c r="FH42" s="150"/>
      <c r="FI42" s="34"/>
      <c r="FJ42" s="34"/>
      <c r="FK42" s="34"/>
      <c r="FL42" s="150"/>
      <c r="FM42" s="34"/>
      <c r="FN42" s="150"/>
      <c r="FO42" s="150"/>
      <c r="FP42" s="150"/>
      <c r="FQ42" s="34"/>
      <c r="FR42" s="150"/>
      <c r="FS42" s="34"/>
      <c r="FT42" s="150"/>
      <c r="FU42" s="150"/>
      <c r="FV42" s="150"/>
      <c r="FW42" s="150"/>
      <c r="FX42" s="150"/>
      <c r="FY42" s="365"/>
      <c r="FZ42" s="150"/>
      <c r="GA42" s="150"/>
      <c r="GB42" s="150"/>
      <c r="GC42" s="150"/>
      <c r="GD42" s="150"/>
      <c r="GE42" s="150"/>
      <c r="GF42" s="150"/>
      <c r="GG42" s="150"/>
      <c r="GH42" s="150"/>
      <c r="GI42" s="150"/>
      <c r="GJ42" s="150"/>
      <c r="GK42" s="150"/>
      <c r="GL42" s="150"/>
      <c r="GM42" s="150"/>
      <c r="GN42" s="150"/>
      <c r="GO42" s="150"/>
      <c r="GP42" s="150"/>
      <c r="GQ42" s="150"/>
      <c r="GR42" s="150"/>
      <c r="GS42" s="150"/>
      <c r="GT42" s="150"/>
      <c r="GU42" s="151">
        <v>45008</v>
      </c>
      <c r="GV42" s="150"/>
      <c r="GW42" s="150"/>
      <c r="GX42" s="150"/>
      <c r="GY42" s="150"/>
      <c r="GZ42" s="150"/>
      <c r="HA42" s="150"/>
      <c r="HB42" s="150"/>
      <c r="HC42" s="150"/>
      <c r="HD42" s="150"/>
      <c r="HE42" s="150"/>
      <c r="HF42" s="150"/>
      <c r="HG42" s="150"/>
      <c r="HH42" s="150"/>
      <c r="HI42" s="150"/>
      <c r="HJ42" s="150"/>
      <c r="HK42" s="150"/>
      <c r="HL42" s="150"/>
      <c r="HM42" s="150"/>
      <c r="HN42" s="150"/>
      <c r="HO42" s="150"/>
      <c r="HP42" s="150"/>
      <c r="HQ42" s="150"/>
      <c r="HR42" s="150"/>
      <c r="HS42" s="150"/>
      <c r="HT42" s="150"/>
      <c r="HU42" s="150"/>
      <c r="HV42" s="150"/>
      <c r="HW42" s="150"/>
      <c r="HX42" s="150"/>
      <c r="HY42" s="150"/>
      <c r="HZ42" s="150"/>
      <c r="IA42" s="150"/>
      <c r="IB42" s="150"/>
      <c r="IC42" s="150"/>
    </row>
    <row r="43" spans="1:237" ht="18.75" x14ac:dyDescent="0.3">
      <c r="A43" s="286"/>
      <c r="B43" s="370"/>
      <c r="C43" s="357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Y43" s="41"/>
      <c r="AZ43" s="41"/>
      <c r="BA43" s="41"/>
      <c r="BB43" s="41"/>
      <c r="BC43" s="41"/>
      <c r="BD43" s="41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41"/>
      <c r="CC43" s="41"/>
      <c r="CD43" s="41"/>
      <c r="CE43" s="41"/>
      <c r="CF43" s="41"/>
      <c r="CG43" s="41"/>
      <c r="CH43" s="41"/>
      <c r="CI43" s="41"/>
      <c r="CJ43" s="41"/>
      <c r="CK43" s="41"/>
      <c r="CL43" s="41"/>
      <c r="CM43" s="1"/>
      <c r="CN43" s="41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  <c r="EE43" s="34"/>
      <c r="EF43" s="34"/>
      <c r="EG43" s="34"/>
      <c r="EH43" s="34"/>
      <c r="EI43" s="34"/>
      <c r="EJ43" s="34"/>
      <c r="EK43" s="34"/>
      <c r="EL43" s="34"/>
      <c r="EM43" s="34"/>
      <c r="EN43" s="34"/>
      <c r="EO43" s="34"/>
      <c r="EP43" s="34"/>
      <c r="EQ43" s="34"/>
      <c r="ER43" s="34"/>
      <c r="ES43" s="34"/>
      <c r="ET43" s="34"/>
      <c r="EU43" s="34"/>
      <c r="EV43" s="34"/>
      <c r="EW43" s="362"/>
      <c r="EX43" s="41"/>
      <c r="EY43" s="34"/>
      <c r="EZ43" s="41"/>
      <c r="FA43" s="150"/>
      <c r="FB43" s="150"/>
      <c r="FC43" s="34"/>
      <c r="FD43" s="150"/>
      <c r="FE43" s="34"/>
      <c r="FF43" s="34"/>
      <c r="FG43" s="150"/>
      <c r="FH43" s="150"/>
      <c r="FI43" s="34"/>
      <c r="FJ43" s="34"/>
      <c r="FK43" s="34"/>
      <c r="FL43" s="150"/>
      <c r="FM43" s="34"/>
      <c r="FN43" s="150"/>
      <c r="FO43" s="150"/>
      <c r="FP43" s="150"/>
      <c r="FQ43" s="34"/>
      <c r="FR43" s="150"/>
      <c r="FS43" s="34"/>
      <c r="FT43" s="150"/>
      <c r="FU43" s="150"/>
      <c r="FV43" s="150"/>
      <c r="FW43" s="150"/>
      <c r="FX43" s="150"/>
      <c r="FY43" s="365"/>
      <c r="FZ43" s="150"/>
      <c r="GA43" s="150"/>
      <c r="GB43" s="150"/>
      <c r="GC43" s="150"/>
      <c r="GD43" s="150"/>
      <c r="GE43" s="150"/>
      <c r="GF43" s="150"/>
      <c r="GG43" s="150"/>
      <c r="GH43" s="150"/>
      <c r="GI43" s="150"/>
      <c r="GJ43" s="150"/>
      <c r="GK43" s="150"/>
      <c r="GL43" s="150"/>
      <c r="GM43" s="150"/>
      <c r="GN43" s="150"/>
      <c r="GO43" s="150"/>
      <c r="GP43" s="150"/>
      <c r="GQ43" s="150"/>
      <c r="GR43" s="150"/>
      <c r="GS43" s="150"/>
      <c r="GT43" s="150"/>
      <c r="GU43" s="75"/>
      <c r="GV43" s="150"/>
      <c r="GW43" s="150"/>
      <c r="GX43" s="150"/>
      <c r="GY43" s="150"/>
      <c r="GZ43" s="150"/>
      <c r="HA43" s="150"/>
      <c r="HB43" s="150"/>
      <c r="HC43" s="150"/>
      <c r="HD43" s="150"/>
      <c r="HE43" s="150"/>
      <c r="HF43" s="150"/>
      <c r="HG43" s="150"/>
      <c r="HH43" s="150"/>
      <c r="HI43" s="150"/>
      <c r="HJ43" s="150"/>
      <c r="HK43" s="150"/>
      <c r="HL43" s="150"/>
      <c r="HM43" s="150"/>
      <c r="HN43" s="150"/>
      <c r="HO43" s="150"/>
      <c r="HP43" s="150"/>
      <c r="HQ43" s="150"/>
      <c r="HR43" s="150"/>
      <c r="HS43" s="150"/>
      <c r="HT43" s="150"/>
      <c r="HU43" s="150"/>
      <c r="HV43" s="150"/>
      <c r="HW43" s="150"/>
      <c r="HX43" s="150"/>
      <c r="HY43" s="150"/>
      <c r="HZ43" s="150"/>
      <c r="IA43" s="150"/>
      <c r="IB43" s="150"/>
      <c r="IC43" s="150"/>
    </row>
    <row r="44" spans="1:237" s="34" customFormat="1" ht="18.75" x14ac:dyDescent="0.3">
      <c r="A44" s="286"/>
      <c r="B44" s="370"/>
      <c r="C44" s="357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Y44" s="41"/>
      <c r="AZ44" s="41"/>
      <c r="BA44" s="41"/>
      <c r="BB44" s="41"/>
      <c r="BC44" s="41"/>
      <c r="BD44" s="41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41"/>
      <c r="CC44" s="41"/>
      <c r="CD44" s="41"/>
      <c r="CE44" s="41"/>
      <c r="CF44" s="41"/>
      <c r="CG44" s="41"/>
      <c r="CH44" s="41"/>
      <c r="CI44" s="41"/>
      <c r="CJ44" s="41"/>
      <c r="CK44" s="41"/>
      <c r="CL44" s="41"/>
      <c r="CM44" s="1"/>
      <c r="CN44" s="41"/>
      <c r="DR44" s="362"/>
      <c r="DS44" s="362"/>
      <c r="DT44" s="362"/>
      <c r="DU44" s="362"/>
      <c r="DV44" s="362"/>
      <c r="DW44" s="362"/>
      <c r="DX44" s="362"/>
      <c r="DY44" s="362"/>
      <c r="DZ44" s="362"/>
      <c r="EA44" s="362"/>
      <c r="EB44" s="362"/>
      <c r="EC44" s="362"/>
      <c r="ED44" s="362"/>
      <c r="EE44" s="362"/>
      <c r="EF44" s="362"/>
      <c r="EG44" s="362"/>
      <c r="EH44" s="362"/>
      <c r="EI44" s="362"/>
      <c r="EJ44" s="362"/>
      <c r="EK44" s="362"/>
      <c r="EL44" s="362"/>
      <c r="EM44" s="362"/>
      <c r="EN44" s="362"/>
      <c r="EO44" s="362"/>
      <c r="EP44" s="362"/>
      <c r="EQ44" s="362"/>
      <c r="ER44" s="362"/>
      <c r="ES44" s="362"/>
      <c r="ET44" s="362"/>
      <c r="EU44" s="362"/>
      <c r="EV44" s="362"/>
      <c r="EX44" s="41"/>
      <c r="EZ44" s="41"/>
      <c r="FA44" s="71"/>
      <c r="FB44" s="71"/>
      <c r="FC44" s="11"/>
      <c r="FD44" s="71"/>
      <c r="FF44" s="11"/>
      <c r="FG44" s="71"/>
      <c r="FH44" s="71"/>
      <c r="FI44" s="11"/>
      <c r="FJ44" s="11"/>
      <c r="FK44" s="11"/>
      <c r="FL44" s="71"/>
      <c r="FM44" s="11"/>
      <c r="FN44" s="71"/>
      <c r="FO44" s="71"/>
      <c r="FP44" s="71"/>
      <c r="FQ44" s="11"/>
      <c r="FR44" s="71"/>
      <c r="FS44" s="11"/>
      <c r="FT44" s="71"/>
      <c r="FU44" s="71"/>
      <c r="FV44" s="71"/>
      <c r="FW44" s="71"/>
      <c r="FX44" s="71"/>
      <c r="FZ44" s="71"/>
      <c r="GA44" s="71"/>
      <c r="GB44" s="71"/>
      <c r="GC44" s="71"/>
      <c r="GD44" s="71"/>
      <c r="GE44" s="71"/>
      <c r="GF44" s="71"/>
      <c r="GG44" s="71"/>
      <c r="GH44" s="71"/>
      <c r="GI44" s="71"/>
      <c r="GJ44" s="71"/>
      <c r="GK44" s="71"/>
      <c r="GL44" s="71"/>
      <c r="GM44" s="71"/>
      <c r="GN44" s="71"/>
      <c r="GO44" s="71"/>
      <c r="GP44" s="71"/>
      <c r="GQ44" s="71"/>
      <c r="GR44" s="71"/>
      <c r="GS44" s="71"/>
      <c r="GT44" s="71"/>
      <c r="GU44" s="341"/>
      <c r="GV44" s="71"/>
      <c r="GW44" s="71"/>
      <c r="GX44" s="71"/>
      <c r="GY44" s="71"/>
      <c r="GZ44" s="71"/>
      <c r="HA44" s="71"/>
      <c r="HB44" s="71"/>
      <c r="HC44" s="71"/>
      <c r="HD44" s="71"/>
      <c r="HE44" s="71"/>
      <c r="HF44" s="71"/>
      <c r="HG44" s="71"/>
      <c r="HH44" s="71"/>
      <c r="HI44" s="71"/>
      <c r="HJ44" s="71"/>
      <c r="HK44" s="71"/>
      <c r="HL44" s="71"/>
      <c r="HM44" s="71"/>
      <c r="HN44" s="71"/>
      <c r="HO44" s="71"/>
      <c r="HP44" s="71"/>
      <c r="HQ44" s="71"/>
      <c r="HR44" s="71"/>
      <c r="HS44" s="71"/>
      <c r="HT44" s="71"/>
      <c r="HU44" s="71"/>
      <c r="HV44" s="71"/>
      <c r="HW44" s="71"/>
      <c r="HX44" s="71"/>
      <c r="HY44" s="71"/>
      <c r="HZ44" s="71"/>
      <c r="IA44" s="71"/>
      <c r="IB44" s="71"/>
      <c r="IC44" s="71"/>
    </row>
    <row r="45" spans="1:237" ht="18.75" x14ac:dyDescent="0.3">
      <c r="A45" s="468"/>
      <c r="B45" s="467"/>
      <c r="C45" s="469"/>
      <c r="AH45" s="347"/>
      <c r="AI45" s="347"/>
      <c r="AL45" s="41"/>
      <c r="AM45" s="41"/>
      <c r="AX45" s="71"/>
    </row>
    <row r="46" spans="1:237" ht="18.75" x14ac:dyDescent="0.3">
      <c r="A46" s="177"/>
      <c r="C46" s="178"/>
      <c r="D46" s="178"/>
      <c r="AH46" s="347"/>
      <c r="AI46" s="347"/>
      <c r="AX46" s="71"/>
    </row>
    <row r="47" spans="1:237" ht="18.75" x14ac:dyDescent="0.3">
      <c r="A47" s="472" t="s">
        <v>177</v>
      </c>
      <c r="B47" s="467"/>
      <c r="C47" s="467"/>
      <c r="D47" s="469"/>
      <c r="F47" s="356">
        <v>46013</v>
      </c>
      <c r="G47" s="356">
        <v>46020</v>
      </c>
      <c r="H47" s="356">
        <v>46027</v>
      </c>
      <c r="I47" s="356">
        <v>46034</v>
      </c>
      <c r="J47" s="356">
        <v>46041</v>
      </c>
      <c r="K47" s="356">
        <v>46048</v>
      </c>
      <c r="L47" s="356">
        <v>46055</v>
      </c>
      <c r="M47" s="356">
        <v>46062</v>
      </c>
      <c r="N47" s="356">
        <v>46069</v>
      </c>
      <c r="O47" s="356">
        <v>46076</v>
      </c>
      <c r="P47" s="356">
        <v>46083</v>
      </c>
      <c r="Q47" s="356">
        <v>46090</v>
      </c>
      <c r="R47" s="356">
        <v>46097</v>
      </c>
      <c r="S47" s="356">
        <v>46104</v>
      </c>
      <c r="T47" s="356">
        <v>46111</v>
      </c>
      <c r="U47" s="356">
        <v>46118</v>
      </c>
      <c r="V47" s="356">
        <v>46125</v>
      </c>
      <c r="W47" s="356">
        <v>46132</v>
      </c>
      <c r="X47" s="356">
        <v>46139</v>
      </c>
      <c r="Y47" s="356">
        <v>46146</v>
      </c>
      <c r="Z47" s="356">
        <v>46154</v>
      </c>
      <c r="AA47" s="356">
        <v>46160</v>
      </c>
      <c r="AB47" s="356">
        <v>46161.480124120368</v>
      </c>
      <c r="AC47" s="356">
        <v>46161.480797523152</v>
      </c>
      <c r="AD47" s="356">
        <v>46161.482955543979</v>
      </c>
      <c r="AE47" s="356">
        <v>46161.483284068403</v>
      </c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Y47" s="11"/>
      <c r="AZ47" s="11"/>
      <c r="BA47" s="11"/>
    </row>
    <row r="48" spans="1:237" ht="18.75" x14ac:dyDescent="0.3">
      <c r="A48" s="470" t="s">
        <v>178</v>
      </c>
      <c r="B48" s="467"/>
      <c r="C48" s="467"/>
      <c r="D48" s="469"/>
      <c r="F48" s="358">
        <v>29</v>
      </c>
      <c r="G48" s="358">
        <v>28</v>
      </c>
      <c r="H48" s="358">
        <v>28</v>
      </c>
      <c r="I48" s="358">
        <v>16</v>
      </c>
      <c r="J48" s="358">
        <v>14</v>
      </c>
      <c r="K48" s="358">
        <v>0</v>
      </c>
      <c r="L48" s="358">
        <v>0</v>
      </c>
      <c r="M48" s="358">
        <v>0</v>
      </c>
      <c r="N48" s="358">
        <v>0</v>
      </c>
      <c r="O48" s="358">
        <v>0</v>
      </c>
      <c r="P48" s="358">
        <v>0</v>
      </c>
      <c r="Q48" s="358">
        <v>0</v>
      </c>
      <c r="R48" s="358">
        <v>0</v>
      </c>
      <c r="S48" s="358">
        <v>0</v>
      </c>
      <c r="T48" s="358">
        <v>0</v>
      </c>
      <c r="U48" s="358">
        <v>0</v>
      </c>
      <c r="V48" s="358">
        <v>0</v>
      </c>
      <c r="W48" s="358">
        <v>0</v>
      </c>
      <c r="X48" s="358">
        <v>0</v>
      </c>
      <c r="Y48" s="358">
        <v>0</v>
      </c>
      <c r="Z48" s="358">
        <v>0</v>
      </c>
      <c r="AA48" s="358"/>
      <c r="AB48" s="448"/>
      <c r="AC48" s="448"/>
      <c r="AD48" s="448"/>
      <c r="AE48" s="448"/>
      <c r="AL48" s="11"/>
      <c r="AM48" s="11"/>
    </row>
    <row r="49" spans="1:31" ht="18.75" x14ac:dyDescent="0.25">
      <c r="A49" s="470" t="s">
        <v>179</v>
      </c>
      <c r="B49" s="467"/>
      <c r="C49" s="467"/>
      <c r="D49" s="469"/>
      <c r="F49" s="358">
        <v>0</v>
      </c>
      <c r="G49" s="358">
        <v>0</v>
      </c>
      <c r="H49" s="358">
        <v>0</v>
      </c>
      <c r="I49" s="358">
        <v>0</v>
      </c>
      <c r="J49" s="358">
        <v>0</v>
      </c>
      <c r="K49" s="358">
        <v>0</v>
      </c>
      <c r="L49" s="358">
        <v>0</v>
      </c>
      <c r="M49" s="358">
        <v>0</v>
      </c>
      <c r="N49" s="358">
        <v>0</v>
      </c>
      <c r="O49" s="358">
        <v>0</v>
      </c>
      <c r="P49" s="358">
        <v>0</v>
      </c>
      <c r="Q49" s="358">
        <v>0</v>
      </c>
      <c r="R49" s="358">
        <v>0</v>
      </c>
      <c r="S49" s="358">
        <v>0</v>
      </c>
      <c r="T49" s="358">
        <v>0</v>
      </c>
      <c r="U49" s="358">
        <v>0</v>
      </c>
      <c r="V49" s="358">
        <v>0</v>
      </c>
      <c r="W49" s="358">
        <v>0</v>
      </c>
      <c r="X49" s="358">
        <v>0</v>
      </c>
      <c r="Y49" s="358">
        <v>0</v>
      </c>
      <c r="Z49" s="358">
        <v>0</v>
      </c>
      <c r="AA49" s="358"/>
      <c r="AB49" s="448"/>
      <c r="AC49" s="448"/>
      <c r="AD49" s="448"/>
      <c r="AE49" s="448"/>
    </row>
  </sheetData>
  <mergeCells count="12">
    <mergeCell ref="B2:D2"/>
    <mergeCell ref="D5:D6"/>
    <mergeCell ref="A48:D48"/>
    <mergeCell ref="C5:C6"/>
    <mergeCell ref="A49:D49"/>
    <mergeCell ref="A47:D47"/>
    <mergeCell ref="B5:B6"/>
    <mergeCell ref="A5:A6"/>
    <mergeCell ref="A42:C42"/>
    <mergeCell ref="B3:D3"/>
    <mergeCell ref="AY7:BG7"/>
    <mergeCell ref="A45:C45"/>
  </mergeCells>
  <printOptions horizontalCentered="1" verticalCentered="1"/>
  <pageMargins left="0.15748031496062989" right="0.23622047244094491" top="0.74803149606299213" bottom="0.74803149606299213" header="0.31496062992125978" footer="0.31496062992125978"/>
  <pageSetup paperSize="9" scale="61" fitToHeight="0" orientation="landscape" horizontalDpi="300" verticalDpi="30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5">
    <tabColor theme="9"/>
  </sheetPr>
  <dimension ref="A1:HS49"/>
  <sheetViews>
    <sheetView showGridLines="0" topLeftCell="A4" zoomScale="80" zoomScaleNormal="80" zoomScaleSheetLayoutView="50" workbookViewId="0">
      <selection activeCell="AA14" activeCellId="1" sqref="AA8:AA11 AA14:AA17"/>
    </sheetView>
  </sheetViews>
  <sheetFormatPr defaultColWidth="9.140625" defaultRowHeight="18.75" x14ac:dyDescent="0.3"/>
  <cols>
    <col min="1" max="1" width="35.7109375" style="62" customWidth="1"/>
    <col min="2" max="2" width="9" style="11" customWidth="1"/>
    <col min="3" max="3" width="16.42578125" style="11" customWidth="1"/>
    <col min="4" max="4" width="12.28515625" style="11" customWidth="1"/>
    <col min="5" max="5" width="1.7109375" style="11" customWidth="1"/>
    <col min="6" max="24" width="8.28515625" style="11" hidden="1" customWidth="1"/>
    <col min="25" max="26" width="8.28515625" style="11" customWidth="1"/>
    <col min="27" max="27" width="9.140625" style="11" customWidth="1"/>
    <col min="28" max="28" width="1.85546875" style="11" customWidth="1"/>
    <col min="29" max="29" width="28.28515625" style="34" bestFit="1" customWidth="1"/>
    <col min="30" max="30" width="14.28515625" style="34" customWidth="1"/>
    <col min="31" max="31" width="1.140625" style="11" customWidth="1"/>
    <col min="32" max="32" width="15" style="34" customWidth="1"/>
    <col min="33" max="33" width="1.85546875" style="11" customWidth="1"/>
    <col min="34" max="34" width="8.7109375" style="71" customWidth="1"/>
    <col min="35" max="35" width="14.42578125" style="71" bestFit="1" customWidth="1"/>
    <col min="36" max="36" width="8.7109375" style="71" customWidth="1"/>
    <col min="37" max="37" width="14.42578125" style="71" bestFit="1" customWidth="1"/>
    <col min="38" max="40" width="8.7109375" style="71" customWidth="1"/>
    <col min="41" max="44" width="8.7109375" style="71" hidden="1" customWidth="1"/>
    <col min="45" max="45" width="13.42578125" style="71" hidden="1" customWidth="1"/>
    <col min="46" max="48" width="8.7109375" style="71" hidden="1" customWidth="1"/>
    <col min="49" max="49" width="9.140625" style="11" customWidth="1"/>
    <col min="50" max="50" width="21.85546875" style="11" bestFit="1" customWidth="1"/>
    <col min="51" max="51" width="9.140625" style="11" customWidth="1"/>
    <col min="52" max="55" width="13" style="11" hidden="1" customWidth="1"/>
    <col min="56" max="56" width="9.140625" style="11" customWidth="1"/>
    <col min="57" max="16384" width="9.140625" style="11"/>
  </cols>
  <sheetData>
    <row r="1" spans="1:58" ht="23.25" customHeight="1" x14ac:dyDescent="0.3">
      <c r="A1" s="354" t="s">
        <v>117</v>
      </c>
      <c r="B1" s="354"/>
      <c r="C1" s="354"/>
      <c r="D1" s="354"/>
      <c r="E1" s="354"/>
      <c r="F1" s="354"/>
      <c r="G1" s="354"/>
      <c r="H1" s="354"/>
      <c r="I1" s="354"/>
      <c r="J1" s="354"/>
      <c r="K1" s="354"/>
      <c r="L1" s="354"/>
      <c r="M1" s="354"/>
      <c r="N1" s="354"/>
      <c r="O1" s="354"/>
      <c r="P1" s="354"/>
      <c r="Q1" s="354"/>
      <c r="R1" s="354"/>
      <c r="S1" s="354"/>
      <c r="T1" s="354"/>
      <c r="U1" s="354"/>
      <c r="V1" s="354"/>
      <c r="W1" s="354"/>
      <c r="X1" s="354"/>
      <c r="Y1" s="354"/>
      <c r="Z1" s="354"/>
      <c r="AA1" s="354"/>
      <c r="AB1" s="354"/>
      <c r="AC1" s="353"/>
      <c r="AD1" s="353"/>
      <c r="AE1" s="353"/>
      <c r="AF1" s="353"/>
      <c r="AG1" s="353"/>
      <c r="AH1" s="353"/>
      <c r="AI1" s="353"/>
      <c r="AJ1" s="353"/>
      <c r="AK1" s="353"/>
      <c r="AL1" s="353"/>
      <c r="AM1" s="353"/>
      <c r="AN1" s="353"/>
      <c r="AO1" s="353"/>
      <c r="AP1" s="353"/>
      <c r="AQ1" s="353"/>
      <c r="AR1" s="353"/>
      <c r="AS1" s="353"/>
      <c r="AT1" s="353"/>
      <c r="AU1" s="353"/>
      <c r="AV1" s="353"/>
    </row>
    <row r="2" spans="1:58" x14ac:dyDescent="0.3">
      <c r="A2" s="63" t="s">
        <v>118</v>
      </c>
      <c r="B2" s="473" t="s">
        <v>119</v>
      </c>
      <c r="C2" s="463"/>
      <c r="D2" s="464"/>
      <c r="AC2" s="11"/>
      <c r="AD2" s="11"/>
    </row>
    <row r="3" spans="1:58" x14ac:dyDescent="0.3">
      <c r="A3" s="63" t="s">
        <v>120</v>
      </c>
      <c r="B3" s="465" t="s">
        <v>121</v>
      </c>
      <c r="C3" s="463"/>
      <c r="D3" s="464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11"/>
      <c r="AD3" s="11"/>
      <c r="AE3" s="7"/>
      <c r="AG3" s="7"/>
    </row>
    <row r="4" spans="1:58" x14ac:dyDescent="0.3">
      <c r="AF4" s="11"/>
      <c r="AH4" s="387"/>
      <c r="AI4" s="387"/>
      <c r="AJ4" s="387"/>
      <c r="AK4" s="387"/>
      <c r="AL4" s="387"/>
      <c r="AM4" s="387"/>
      <c r="AN4" s="387"/>
      <c r="AO4" s="387"/>
      <c r="AP4" s="387"/>
      <c r="AQ4" s="387"/>
      <c r="AR4" s="387"/>
      <c r="AS4" s="387"/>
      <c r="AT4" s="387"/>
      <c r="AU4" s="387"/>
      <c r="AV4" s="387"/>
    </row>
    <row r="5" spans="1:58" ht="18.75" customHeight="1" x14ac:dyDescent="0.3">
      <c r="A5" s="460" t="s">
        <v>122</v>
      </c>
      <c r="B5" s="471" t="s">
        <v>123</v>
      </c>
      <c r="C5" s="471" t="s">
        <v>124</v>
      </c>
      <c r="D5" s="474" t="s">
        <v>125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C5" s="29" t="s">
        <v>126</v>
      </c>
      <c r="AD5" s="29" t="s">
        <v>126</v>
      </c>
      <c r="AF5" s="9" t="s">
        <v>127</v>
      </c>
      <c r="AH5" s="363"/>
      <c r="AI5" s="339" t="s">
        <v>128</v>
      </c>
      <c r="AJ5" s="363">
        <v>46142</v>
      </c>
      <c r="AK5" s="339" t="s">
        <v>128</v>
      </c>
      <c r="AL5" s="409">
        <v>46065</v>
      </c>
      <c r="AM5" s="363">
        <v>46092</v>
      </c>
      <c r="AN5" s="363">
        <v>46077</v>
      </c>
      <c r="AO5" s="363">
        <v>46048</v>
      </c>
      <c r="AP5" s="363">
        <v>46043</v>
      </c>
      <c r="AQ5" s="363">
        <v>46029</v>
      </c>
      <c r="AR5" s="363">
        <v>46024</v>
      </c>
      <c r="AS5" s="371" t="s">
        <v>128</v>
      </c>
      <c r="AT5" s="363">
        <v>46007</v>
      </c>
      <c r="AU5" s="363">
        <v>46001</v>
      </c>
      <c r="AV5" s="363">
        <v>45994</v>
      </c>
    </row>
    <row r="6" spans="1:58" s="3" customFormat="1" x14ac:dyDescent="0.3">
      <c r="A6" s="461"/>
      <c r="B6" s="461"/>
      <c r="C6" s="461"/>
      <c r="D6" s="461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35" t="s">
        <v>129</v>
      </c>
      <c r="AB6" s="11"/>
      <c r="AC6" s="180"/>
      <c r="AD6" s="180"/>
      <c r="AE6" s="31"/>
      <c r="AF6" s="179">
        <v>46155</v>
      </c>
      <c r="AG6" s="31"/>
      <c r="AH6" s="363"/>
      <c r="AI6" s="339">
        <v>46148</v>
      </c>
      <c r="AJ6" s="363">
        <v>46153</v>
      </c>
      <c r="AK6" s="339">
        <v>46146</v>
      </c>
      <c r="AL6" s="409">
        <v>46111</v>
      </c>
      <c r="AM6" s="363">
        <v>46099</v>
      </c>
      <c r="AN6" s="363">
        <v>46087</v>
      </c>
      <c r="AO6" s="363">
        <v>46056</v>
      </c>
      <c r="AP6" s="363">
        <v>46049</v>
      </c>
      <c r="AQ6" s="363">
        <v>46037</v>
      </c>
      <c r="AR6" s="363">
        <v>46034</v>
      </c>
      <c r="AS6" s="371">
        <v>46386</v>
      </c>
      <c r="AT6" s="363">
        <v>46014</v>
      </c>
      <c r="AU6" s="363">
        <v>46010</v>
      </c>
      <c r="AV6" s="363">
        <v>46003</v>
      </c>
      <c r="AX6" s="11"/>
      <c r="AY6" s="11"/>
      <c r="AZ6" s="11"/>
      <c r="BA6" s="11"/>
      <c r="BB6" s="11"/>
      <c r="BC6" s="11"/>
      <c r="BD6" s="11"/>
      <c r="BE6" s="11"/>
      <c r="BF6" s="11"/>
    </row>
    <row r="7" spans="1:58" s="3" customFormat="1" ht="21.75" customHeight="1" x14ac:dyDescent="0.3">
      <c r="A7" s="20" t="s">
        <v>130</v>
      </c>
      <c r="B7" s="5"/>
      <c r="C7" s="5"/>
      <c r="D7" s="233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1"/>
      <c r="AC7" s="84"/>
      <c r="AD7" s="84"/>
      <c r="AE7" s="11"/>
      <c r="AF7" s="12"/>
      <c r="AG7" s="11"/>
      <c r="AH7" s="12"/>
      <c r="AI7" s="12"/>
      <c r="AJ7" s="12"/>
      <c r="AK7" s="12"/>
      <c r="AL7" s="12" t="s">
        <v>131</v>
      </c>
      <c r="AM7" s="12"/>
      <c r="AN7" s="12"/>
      <c r="AO7" s="12"/>
      <c r="AP7" s="12"/>
      <c r="AQ7" s="12"/>
      <c r="AR7" s="12"/>
      <c r="AS7" s="12"/>
      <c r="AT7" s="12"/>
      <c r="AU7" s="12"/>
      <c r="AV7" s="12"/>
      <c r="AX7" s="475" t="s">
        <v>180</v>
      </c>
      <c r="AY7" s="467"/>
      <c r="AZ7" s="467"/>
      <c r="BA7" s="467"/>
      <c r="BB7" s="467"/>
      <c r="BC7" s="467"/>
      <c r="BD7" s="467"/>
      <c r="BE7" s="467"/>
      <c r="BF7" s="469"/>
    </row>
    <row r="8" spans="1:58" s="3" customFormat="1" ht="18" customHeight="1" x14ac:dyDescent="0.3">
      <c r="A8" s="21" t="s">
        <v>132</v>
      </c>
      <c r="B8" s="6">
        <v>300</v>
      </c>
      <c r="C8" s="82">
        <v>187.12</v>
      </c>
      <c r="D8" s="234">
        <v>300</v>
      </c>
      <c r="E8" s="11"/>
      <c r="F8" s="39">
        <v>1280</v>
      </c>
      <c r="G8" s="39">
        <v>1200</v>
      </c>
      <c r="H8" s="39">
        <v>1170</v>
      </c>
      <c r="I8" s="39">
        <v>1020</v>
      </c>
      <c r="J8" s="39">
        <v>1020</v>
      </c>
      <c r="K8" s="39">
        <v>960</v>
      </c>
      <c r="L8" s="39">
        <v>920</v>
      </c>
      <c r="M8" s="39">
        <v>920</v>
      </c>
      <c r="N8" s="39">
        <v>900</v>
      </c>
      <c r="O8" s="39">
        <v>840</v>
      </c>
      <c r="P8" s="39">
        <v>800</v>
      </c>
      <c r="Q8" s="39">
        <v>760</v>
      </c>
      <c r="R8" s="39">
        <v>760</v>
      </c>
      <c r="S8" s="39">
        <v>760</v>
      </c>
      <c r="T8" s="39">
        <v>700</v>
      </c>
      <c r="U8" s="39">
        <v>900</v>
      </c>
      <c r="V8" s="39">
        <v>600</v>
      </c>
      <c r="W8" s="39">
        <v>600</v>
      </c>
      <c r="X8" s="39">
        <v>600</v>
      </c>
      <c r="Y8" s="39">
        <f>600-300</f>
        <v>300</v>
      </c>
      <c r="Z8" s="39">
        <v>300</v>
      </c>
      <c r="AA8" s="372">
        <f ca="1">Y8+IF(NOT(ISBLANK(OFFSET(AA8,0,6))),N(OFFSET(AA8,0,6)),N(OFFSET(AA8,0,7)))-Z8</f>
        <v>0</v>
      </c>
      <c r="AB8" s="11"/>
      <c r="AC8" s="78"/>
      <c r="AD8" s="78"/>
      <c r="AE8" s="11"/>
      <c r="AF8" s="32"/>
      <c r="AG8" s="11"/>
      <c r="AH8" s="19">
        <v>0</v>
      </c>
      <c r="AI8" s="253" t="s">
        <v>133</v>
      </c>
      <c r="AJ8" s="19">
        <v>0</v>
      </c>
      <c r="AK8" s="296"/>
      <c r="AL8" s="19"/>
      <c r="AM8" s="19"/>
      <c r="AN8" s="19"/>
      <c r="AO8" s="19"/>
      <c r="AP8" s="19"/>
      <c r="AQ8" s="19"/>
      <c r="AR8" s="19"/>
      <c r="AS8" s="19"/>
      <c r="AT8" s="19">
        <v>300</v>
      </c>
      <c r="AU8" s="19"/>
      <c r="AV8" s="19">
        <v>600</v>
      </c>
      <c r="AX8" s="389" t="s">
        <v>130</v>
      </c>
      <c r="AY8" s="376" t="s">
        <v>123</v>
      </c>
      <c r="AZ8" s="13">
        <v>46118</v>
      </c>
      <c r="BA8" s="13">
        <v>46125</v>
      </c>
      <c r="BB8" s="13">
        <v>46132</v>
      </c>
      <c r="BC8" s="13">
        <v>46139</v>
      </c>
      <c r="BD8" s="13">
        <v>46146</v>
      </c>
      <c r="BE8" s="13">
        <v>46154</v>
      </c>
      <c r="BF8" s="35" t="s">
        <v>129</v>
      </c>
    </row>
    <row r="9" spans="1:58" s="3" customFormat="1" ht="18" customHeight="1" x14ac:dyDescent="0.3">
      <c r="A9" s="21" t="s">
        <v>134</v>
      </c>
      <c r="B9" s="6">
        <v>200</v>
      </c>
      <c r="C9" s="82">
        <v>193.08</v>
      </c>
      <c r="D9" s="234">
        <v>500</v>
      </c>
      <c r="E9" s="11"/>
      <c r="F9" s="39">
        <v>1320</v>
      </c>
      <c r="G9" s="39">
        <f>800-200</f>
        <v>600</v>
      </c>
      <c r="H9" s="39">
        <v>540</v>
      </c>
      <c r="I9" s="39">
        <v>200</v>
      </c>
      <c r="J9" s="39">
        <v>720</v>
      </c>
      <c r="K9" s="39">
        <v>600</v>
      </c>
      <c r="L9" s="39">
        <f>460+AO9</f>
        <v>860</v>
      </c>
      <c r="M9" s="39">
        <v>740</v>
      </c>
      <c r="N9" s="39">
        <v>720</v>
      </c>
      <c r="O9" s="39">
        <v>600</v>
      </c>
      <c r="P9" s="39">
        <f>500+AN9</f>
        <v>900</v>
      </c>
      <c r="Q9" s="39">
        <v>740</v>
      </c>
      <c r="R9" s="39">
        <f>540+AM9</f>
        <v>1140</v>
      </c>
      <c r="S9" s="39">
        <v>800</v>
      </c>
      <c r="T9" s="39">
        <v>700</v>
      </c>
      <c r="U9" s="39">
        <v>800</v>
      </c>
      <c r="V9" s="39">
        <v>600</v>
      </c>
      <c r="W9" s="39">
        <v>600</v>
      </c>
      <c r="X9" s="39">
        <v>600</v>
      </c>
      <c r="Y9" s="39">
        <f>600+AJ9</f>
        <v>1000</v>
      </c>
      <c r="Z9" s="39">
        <v>600</v>
      </c>
      <c r="AA9" s="372">
        <f ca="1">Y9+IF(NOT(ISBLANK(OFFSET(AA9,0,6))),N(OFFSET(AA9,0,6)),N(OFFSET(AA9,0,7)))-Z9</f>
        <v>400</v>
      </c>
      <c r="AB9" s="11"/>
      <c r="AC9" s="78"/>
      <c r="AD9" s="78"/>
      <c r="AE9" s="11"/>
      <c r="AF9" s="32"/>
      <c r="AG9" s="11"/>
      <c r="AH9" s="296">
        <v>0</v>
      </c>
      <c r="AI9" s="296"/>
      <c r="AJ9" s="296">
        <v>400</v>
      </c>
      <c r="AK9" s="296"/>
      <c r="AL9" s="117">
        <v>1400</v>
      </c>
      <c r="AM9" s="19">
        <v>600</v>
      </c>
      <c r="AN9" s="19">
        <v>400</v>
      </c>
      <c r="AO9" s="19">
        <v>400</v>
      </c>
      <c r="AP9" s="19"/>
      <c r="AQ9" s="19">
        <v>200</v>
      </c>
      <c r="AR9" s="19">
        <v>400</v>
      </c>
      <c r="AS9" s="253" t="s">
        <v>135</v>
      </c>
      <c r="AT9" s="19">
        <v>800</v>
      </c>
      <c r="AU9" s="19">
        <v>400</v>
      </c>
      <c r="AV9" s="19">
        <v>600</v>
      </c>
      <c r="AX9" s="364" t="s">
        <v>136</v>
      </c>
      <c r="AY9" s="135">
        <v>200</v>
      </c>
      <c r="AZ9" s="39">
        <f>AL9</f>
        <v>1400</v>
      </c>
      <c r="BA9" s="39">
        <v>800</v>
      </c>
      <c r="BB9" s="39">
        <v>800</v>
      </c>
      <c r="BC9" s="39">
        <v>740</v>
      </c>
      <c r="BD9" s="39">
        <v>700</v>
      </c>
      <c r="BE9" s="39">
        <v>400</v>
      </c>
      <c r="BF9" s="26">
        <f ca="1">BD9+IF(NOT(ISBLANK(OFFSET(BF9,0,6))),N(OFFSET(BF9,0,6)),N(OFFSET(BF9,0,7)))-BE9</f>
        <v>300</v>
      </c>
    </row>
    <row r="10" spans="1:58" s="3" customFormat="1" ht="18" customHeight="1" x14ac:dyDescent="0.3">
      <c r="A10" s="21" t="s">
        <v>137</v>
      </c>
      <c r="B10" s="6">
        <v>200</v>
      </c>
      <c r="C10" s="82">
        <v>253.83</v>
      </c>
      <c r="D10" s="234">
        <v>200</v>
      </c>
      <c r="E10" s="11"/>
      <c r="F10" s="39">
        <v>800</v>
      </c>
      <c r="G10" s="39">
        <v>660</v>
      </c>
      <c r="H10" s="39">
        <v>660</v>
      </c>
      <c r="I10" s="39">
        <v>540</v>
      </c>
      <c r="J10" s="39">
        <v>540</v>
      </c>
      <c r="K10" s="39">
        <v>460</v>
      </c>
      <c r="L10" s="39">
        <v>420</v>
      </c>
      <c r="M10" s="39">
        <v>380</v>
      </c>
      <c r="N10" s="39">
        <v>380</v>
      </c>
      <c r="O10" s="39">
        <v>300</v>
      </c>
      <c r="P10" s="39">
        <v>300</v>
      </c>
      <c r="Q10" s="39">
        <v>260</v>
      </c>
      <c r="R10" s="39">
        <f>260+AM10</f>
        <v>460</v>
      </c>
      <c r="S10" s="39">
        <v>460</v>
      </c>
      <c r="T10" s="39">
        <v>400</v>
      </c>
      <c r="U10" s="39">
        <v>200</v>
      </c>
      <c r="V10" s="39">
        <v>200</v>
      </c>
      <c r="W10" s="39">
        <v>200</v>
      </c>
      <c r="X10" s="39">
        <v>200</v>
      </c>
      <c r="Y10" s="39">
        <f>200+AJ10</f>
        <v>400</v>
      </c>
      <c r="Z10" s="39">
        <v>200</v>
      </c>
      <c r="AA10" s="372">
        <f ca="1">Y10+IF(NOT(ISBLANK(OFFSET(AA10,0,6))),N(OFFSET(AA10,0,6)),N(OFFSET(AA10,0,7)))-Z10</f>
        <v>200</v>
      </c>
      <c r="AB10" s="11"/>
      <c r="AC10" s="78"/>
      <c r="AD10" s="78"/>
      <c r="AE10" s="11"/>
      <c r="AF10" s="32">
        <v>200</v>
      </c>
      <c r="AG10" s="11"/>
      <c r="AH10" s="296">
        <v>0</v>
      </c>
      <c r="AI10" s="296"/>
      <c r="AJ10" s="296">
        <v>200</v>
      </c>
      <c r="AK10" s="296"/>
      <c r="AL10" s="117">
        <v>600</v>
      </c>
      <c r="AM10" s="19">
        <v>200</v>
      </c>
      <c r="AN10" s="19"/>
      <c r="AO10" s="19"/>
      <c r="AP10" s="19"/>
      <c r="AQ10" s="19"/>
      <c r="AR10" s="19"/>
      <c r="AS10" s="19"/>
      <c r="AT10" s="19">
        <v>400</v>
      </c>
      <c r="AU10" s="19"/>
      <c r="AV10" s="19">
        <v>200</v>
      </c>
      <c r="AX10" s="21" t="s">
        <v>138</v>
      </c>
      <c r="AY10" s="6">
        <v>200</v>
      </c>
      <c r="AZ10" s="39">
        <f>AL10</f>
        <v>600</v>
      </c>
      <c r="BA10" s="39">
        <v>400</v>
      </c>
      <c r="BB10" s="39">
        <v>400</v>
      </c>
      <c r="BC10" s="39">
        <v>300</v>
      </c>
      <c r="BD10" s="39">
        <v>200</v>
      </c>
      <c r="BE10" s="39">
        <v>0</v>
      </c>
      <c r="BF10" s="26">
        <f ca="1">BD10+IF(NOT(ISBLANK(OFFSET(BF10,0,6))),N(OFFSET(BF10,0,6)),N(OFFSET(BF10,0,7)))-BE10</f>
        <v>200</v>
      </c>
    </row>
    <row r="11" spans="1:58" s="3" customFormat="1" ht="18" customHeight="1" x14ac:dyDescent="0.3">
      <c r="A11" s="22" t="s">
        <v>139</v>
      </c>
      <c r="B11" s="6">
        <v>100</v>
      </c>
      <c r="C11" s="82">
        <v>184.57</v>
      </c>
      <c r="D11" s="234">
        <v>50</v>
      </c>
      <c r="E11" s="11"/>
      <c r="F11" s="39">
        <v>100</v>
      </c>
      <c r="G11" s="39">
        <v>60</v>
      </c>
      <c r="H11" s="39">
        <v>60</v>
      </c>
      <c r="I11" s="39">
        <v>40</v>
      </c>
      <c r="J11" s="39">
        <v>140</v>
      </c>
      <c r="K11" s="39">
        <v>140</v>
      </c>
      <c r="L11" s="39">
        <v>140</v>
      </c>
      <c r="M11" s="39">
        <v>140</v>
      </c>
      <c r="N11" s="39">
        <v>140</v>
      </c>
      <c r="O11" s="39">
        <v>120</v>
      </c>
      <c r="P11" s="39">
        <v>100</v>
      </c>
      <c r="Q11" s="39">
        <v>100</v>
      </c>
      <c r="R11" s="39">
        <v>100</v>
      </c>
      <c r="S11" s="39">
        <v>100</v>
      </c>
      <c r="T11" s="39">
        <v>100</v>
      </c>
      <c r="U11" s="39">
        <v>100</v>
      </c>
      <c r="V11" s="39">
        <v>100</v>
      </c>
      <c r="W11" s="39">
        <v>100</v>
      </c>
      <c r="X11" s="39">
        <v>100</v>
      </c>
      <c r="Y11" s="39">
        <f>100+AJ11</f>
        <v>200</v>
      </c>
      <c r="Z11" s="39">
        <v>50</v>
      </c>
      <c r="AA11" s="372">
        <f ca="1">Y11+IF(NOT(ISBLANK(OFFSET(AA11,0,6))),N(OFFSET(AA11,0,6)),N(OFFSET(AA11,0,7)))-Z11</f>
        <v>150</v>
      </c>
      <c r="AB11" s="11"/>
      <c r="AC11" s="78"/>
      <c r="AD11" s="78"/>
      <c r="AE11" s="11"/>
      <c r="AF11" s="32">
        <v>100</v>
      </c>
      <c r="AG11" s="11"/>
      <c r="AH11" s="296">
        <v>0</v>
      </c>
      <c r="AI11" s="296"/>
      <c r="AJ11" s="296">
        <v>100</v>
      </c>
      <c r="AK11" s="296"/>
      <c r="AL11" s="117">
        <v>100</v>
      </c>
      <c r="AM11" s="19"/>
      <c r="AN11" s="19"/>
      <c r="AO11" s="19"/>
      <c r="AP11" s="19"/>
      <c r="AQ11" s="19"/>
      <c r="AR11" s="19">
        <v>100</v>
      </c>
      <c r="AS11" s="19"/>
      <c r="AT11" s="19"/>
      <c r="AU11" s="19">
        <v>100</v>
      </c>
      <c r="AV11" s="19"/>
      <c r="AX11" s="22" t="s">
        <v>140</v>
      </c>
      <c r="AY11" s="6">
        <v>100</v>
      </c>
      <c r="AZ11" s="39">
        <f>AL11</f>
        <v>100</v>
      </c>
      <c r="BA11" s="39">
        <v>0</v>
      </c>
      <c r="BB11" s="39">
        <v>0</v>
      </c>
      <c r="BC11" s="39">
        <v>0</v>
      </c>
      <c r="BD11" s="39">
        <v>0</v>
      </c>
      <c r="BE11" s="39">
        <v>0</v>
      </c>
      <c r="BF11" s="26">
        <f ca="1">BD11+IF(NOT(ISBLANK(OFFSET(BF11,0,6))),N(OFFSET(BF11,0,6)),N(OFFSET(BF11,0,7)))-BE11</f>
        <v>0</v>
      </c>
    </row>
    <row r="12" spans="1:58" s="3" customFormat="1" ht="12" customHeight="1" x14ac:dyDescent="0.3">
      <c r="A12" s="23"/>
      <c r="B12" s="1"/>
      <c r="C12" s="64"/>
      <c r="D12" s="235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11"/>
      <c r="AC12" s="342"/>
      <c r="AD12" s="342"/>
      <c r="AE12" s="11"/>
      <c r="AF12" s="33"/>
      <c r="AG12" s="11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X12" s="23"/>
      <c r="AY12" s="1"/>
      <c r="AZ12" s="2"/>
      <c r="BA12" s="2"/>
      <c r="BB12" s="2"/>
      <c r="BC12" s="2"/>
      <c r="BD12" s="2"/>
      <c r="BE12" s="2"/>
    </row>
    <row r="13" spans="1:58" s="3" customFormat="1" x14ac:dyDescent="0.3">
      <c r="A13" s="24" t="s">
        <v>141</v>
      </c>
      <c r="B13" s="12"/>
      <c r="C13" s="65"/>
      <c r="D13" s="395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35" t="s">
        <v>129</v>
      </c>
      <c r="AB13" s="11"/>
      <c r="AC13" s="29" t="s">
        <v>126</v>
      </c>
      <c r="AD13" s="29" t="s">
        <v>126</v>
      </c>
      <c r="AE13" s="11"/>
      <c r="AF13" s="9" t="s">
        <v>127</v>
      </c>
      <c r="AG13" s="11"/>
      <c r="AH13" s="363"/>
      <c r="AI13" s="339">
        <v>46148</v>
      </c>
      <c r="AJ13" s="363">
        <v>46142</v>
      </c>
      <c r="AK13" s="339">
        <v>46146</v>
      </c>
      <c r="AL13" s="409">
        <v>46065</v>
      </c>
      <c r="AM13" s="363">
        <v>46092</v>
      </c>
      <c r="AN13" s="363">
        <v>46077</v>
      </c>
      <c r="AO13" s="363">
        <v>46048</v>
      </c>
      <c r="AP13" s="363">
        <v>46043</v>
      </c>
      <c r="AQ13" s="363">
        <v>46029</v>
      </c>
      <c r="AR13" s="363">
        <v>46024</v>
      </c>
      <c r="AS13" s="371">
        <v>46386</v>
      </c>
      <c r="AT13" s="363">
        <v>46007</v>
      </c>
      <c r="AU13" s="363">
        <v>46001</v>
      </c>
      <c r="AV13" s="363">
        <v>45994</v>
      </c>
      <c r="AX13" s="389" t="s">
        <v>141</v>
      </c>
      <c r="AY13" s="376" t="s">
        <v>123</v>
      </c>
      <c r="AZ13" s="13">
        <v>46118</v>
      </c>
      <c r="BA13" s="13">
        <v>46125</v>
      </c>
      <c r="BB13" s="13">
        <v>46132</v>
      </c>
      <c r="BC13" s="13">
        <v>46139</v>
      </c>
      <c r="BD13" s="13">
        <v>46146</v>
      </c>
      <c r="BE13" s="13">
        <v>46154</v>
      </c>
      <c r="BF13" s="35" t="s">
        <v>129</v>
      </c>
    </row>
    <row r="14" spans="1:58" s="3" customFormat="1" x14ac:dyDescent="0.3">
      <c r="A14" s="25" t="s">
        <v>142</v>
      </c>
      <c r="B14" s="6">
        <v>200</v>
      </c>
      <c r="C14" s="66">
        <v>38</v>
      </c>
      <c r="D14" s="234">
        <v>6</v>
      </c>
      <c r="E14" s="7"/>
      <c r="F14" s="39">
        <v>1</v>
      </c>
      <c r="G14" s="39">
        <v>6</v>
      </c>
      <c r="H14" s="39">
        <v>5</v>
      </c>
      <c r="I14" s="39">
        <v>4</v>
      </c>
      <c r="J14" s="39">
        <v>9</v>
      </c>
      <c r="K14" s="39">
        <v>8</v>
      </c>
      <c r="L14" s="39">
        <f>8+AO14</f>
        <v>10</v>
      </c>
      <c r="M14" s="39">
        <v>9</v>
      </c>
      <c r="N14" s="39">
        <v>8</v>
      </c>
      <c r="O14" s="39">
        <v>7</v>
      </c>
      <c r="P14" s="39">
        <f>7+AN14</f>
        <v>9</v>
      </c>
      <c r="Q14" s="39">
        <v>6</v>
      </c>
      <c r="R14" s="39">
        <f>6+AM14</f>
        <v>9</v>
      </c>
      <c r="S14" s="39">
        <v>9</v>
      </c>
      <c r="T14" s="39">
        <v>9</v>
      </c>
      <c r="U14" s="39">
        <v>9</v>
      </c>
      <c r="V14" s="39">
        <v>8</v>
      </c>
      <c r="W14" s="39">
        <v>8</v>
      </c>
      <c r="X14" s="39">
        <v>8</v>
      </c>
      <c r="Y14" s="39">
        <f>8+AJ14</f>
        <v>13</v>
      </c>
      <c r="Z14" s="39">
        <v>7</v>
      </c>
      <c r="AA14" s="372">
        <f ca="1">Y14+IF(NOT(ISBLANK(OFFSET(AA14,0,6))),N(OFFSET(AA14,0,6)),N(OFFSET(AA14,0,7)))-Z14</f>
        <v>6</v>
      </c>
      <c r="AB14" s="11"/>
      <c r="AC14" s="78"/>
      <c r="AD14" s="78"/>
      <c r="AE14" s="11"/>
      <c r="AF14" s="32"/>
      <c r="AG14" s="11"/>
      <c r="AH14" s="296">
        <v>0</v>
      </c>
      <c r="AI14" s="296"/>
      <c r="AJ14" s="296">
        <v>5</v>
      </c>
      <c r="AK14" s="296"/>
      <c r="AL14" s="117">
        <v>7</v>
      </c>
      <c r="AM14" s="19">
        <v>3</v>
      </c>
      <c r="AN14" s="19">
        <v>2</v>
      </c>
      <c r="AO14" s="19">
        <v>2</v>
      </c>
      <c r="AP14" s="19"/>
      <c r="AQ14" s="19"/>
      <c r="AR14" s="19">
        <v>6</v>
      </c>
      <c r="AS14" s="19"/>
      <c r="AT14" s="19">
        <v>4</v>
      </c>
      <c r="AU14" s="19">
        <v>2</v>
      </c>
      <c r="AV14" s="19"/>
      <c r="AX14" s="364" t="s">
        <v>143</v>
      </c>
      <c r="AY14" s="135">
        <v>200</v>
      </c>
      <c r="AZ14" s="39">
        <f>AL14</f>
        <v>7</v>
      </c>
      <c r="BA14" s="39">
        <v>5</v>
      </c>
      <c r="BB14" s="39">
        <v>3</v>
      </c>
      <c r="BC14" s="39">
        <v>3</v>
      </c>
      <c r="BD14" s="39">
        <v>2</v>
      </c>
      <c r="BE14" s="39">
        <v>0</v>
      </c>
      <c r="BF14" s="26">
        <f ca="1">BD14+IF(NOT(ISBLANK(OFFSET(BF14,0,6))),N(OFFSET(BF14,0,6)),N(OFFSET(BF14,0,7)))-BE14</f>
        <v>2</v>
      </c>
    </row>
    <row r="15" spans="1:58" s="3" customFormat="1" x14ac:dyDescent="0.3">
      <c r="A15" s="25" t="s">
        <v>144</v>
      </c>
      <c r="B15" s="6">
        <v>200</v>
      </c>
      <c r="C15" s="66">
        <v>18</v>
      </c>
      <c r="D15" s="234">
        <v>10</v>
      </c>
      <c r="E15" s="7"/>
      <c r="F15" s="39">
        <v>1</v>
      </c>
      <c r="G15" s="39">
        <v>8</v>
      </c>
      <c r="H15" s="39">
        <v>6</v>
      </c>
      <c r="I15" s="39">
        <v>6</v>
      </c>
      <c r="J15" s="39">
        <v>13</v>
      </c>
      <c r="K15" s="39">
        <v>13</v>
      </c>
      <c r="L15" s="39">
        <v>13</v>
      </c>
      <c r="M15" s="39">
        <v>13</v>
      </c>
      <c r="N15" s="39">
        <v>13</v>
      </c>
      <c r="O15" s="39">
        <v>13</v>
      </c>
      <c r="P15" s="39">
        <v>12</v>
      </c>
      <c r="Q15" s="39">
        <v>11</v>
      </c>
      <c r="R15" s="39">
        <v>11</v>
      </c>
      <c r="S15" s="39">
        <v>11</v>
      </c>
      <c r="T15" s="39">
        <v>11</v>
      </c>
      <c r="U15" s="39">
        <v>11</v>
      </c>
      <c r="V15" s="39">
        <v>11</v>
      </c>
      <c r="W15" s="39">
        <v>10</v>
      </c>
      <c r="X15" s="39">
        <v>10</v>
      </c>
      <c r="Y15" s="39">
        <v>10</v>
      </c>
      <c r="Z15" s="39">
        <v>10</v>
      </c>
      <c r="AA15" s="372">
        <f ca="1">Y15+IF(NOT(ISBLANK(OFFSET(AA15,0,6))),N(OFFSET(AA15,0,6)),N(OFFSET(AA15,0,7)))-Z15</f>
        <v>0</v>
      </c>
      <c r="AB15" s="11"/>
      <c r="AC15" s="78" t="s">
        <v>145</v>
      </c>
      <c r="AD15" s="78"/>
      <c r="AE15" s="11"/>
      <c r="AF15" s="32"/>
      <c r="AG15" s="11"/>
      <c r="AH15" s="296">
        <v>0</v>
      </c>
      <c r="AI15" s="296"/>
      <c r="AJ15" s="296">
        <v>0</v>
      </c>
      <c r="AK15" s="296"/>
      <c r="AL15" s="117">
        <v>3</v>
      </c>
      <c r="AM15" s="19"/>
      <c r="AN15" s="19"/>
      <c r="AO15" s="19"/>
      <c r="AP15" s="19"/>
      <c r="AQ15" s="19"/>
      <c r="AR15" s="19">
        <v>5</v>
      </c>
      <c r="AS15" s="19"/>
      <c r="AT15" s="19">
        <v>4</v>
      </c>
      <c r="AU15" s="19"/>
      <c r="AV15" s="19">
        <v>2</v>
      </c>
      <c r="AX15" s="21" t="s">
        <v>146</v>
      </c>
      <c r="AY15" s="6">
        <v>200</v>
      </c>
      <c r="AZ15" s="39">
        <f>AL15</f>
        <v>3</v>
      </c>
      <c r="BA15" s="39">
        <v>3</v>
      </c>
      <c r="BB15" s="39">
        <v>2</v>
      </c>
      <c r="BC15" s="39">
        <v>2</v>
      </c>
      <c r="BD15" s="39">
        <v>2</v>
      </c>
      <c r="BE15" s="39">
        <v>0</v>
      </c>
      <c r="BF15" s="26">
        <f ca="1">BD15+IF(NOT(ISBLANK(OFFSET(BF15,0,6))),N(OFFSET(BF15,0,6)),N(OFFSET(BF15,0,7)))-BE15</f>
        <v>2</v>
      </c>
    </row>
    <row r="16" spans="1:58" s="3" customFormat="1" x14ac:dyDescent="0.3">
      <c r="A16" s="25" t="s">
        <v>147</v>
      </c>
      <c r="B16" s="6">
        <v>200</v>
      </c>
      <c r="C16" s="66">
        <v>10.28</v>
      </c>
      <c r="D16" s="234">
        <v>4</v>
      </c>
      <c r="E16" s="1"/>
      <c r="F16" s="39">
        <v>10</v>
      </c>
      <c r="G16" s="39">
        <v>9</v>
      </c>
      <c r="H16" s="39">
        <v>9</v>
      </c>
      <c r="I16" s="39">
        <v>8</v>
      </c>
      <c r="J16" s="39">
        <v>8</v>
      </c>
      <c r="K16" s="39">
        <v>8</v>
      </c>
      <c r="L16" s="39">
        <v>8</v>
      </c>
      <c r="M16" s="39">
        <v>8</v>
      </c>
      <c r="N16" s="39">
        <v>7</v>
      </c>
      <c r="O16" s="39">
        <v>7</v>
      </c>
      <c r="P16" s="39">
        <v>6</v>
      </c>
      <c r="Q16" s="39">
        <v>6</v>
      </c>
      <c r="R16" s="39">
        <v>5</v>
      </c>
      <c r="S16" s="39">
        <v>5</v>
      </c>
      <c r="T16" s="39">
        <v>5</v>
      </c>
      <c r="U16" s="39">
        <v>5</v>
      </c>
      <c r="V16" s="39">
        <v>4</v>
      </c>
      <c r="W16" s="39">
        <v>4</v>
      </c>
      <c r="X16" s="39">
        <v>3</v>
      </c>
      <c r="Y16" s="39">
        <f>3+AJ16</f>
        <v>5</v>
      </c>
      <c r="Z16" s="39">
        <v>3</v>
      </c>
      <c r="AA16" s="372">
        <f ca="1">Y16+IF(NOT(ISBLANK(OFFSET(AA16,0,6))),N(OFFSET(AA16,0,6)),N(OFFSET(AA16,0,7)))-Z16</f>
        <v>2</v>
      </c>
      <c r="AB16" s="11"/>
      <c r="AC16" s="78"/>
      <c r="AD16" s="78"/>
      <c r="AE16" s="11"/>
      <c r="AF16" s="32"/>
      <c r="AG16" s="11"/>
      <c r="AH16" s="19">
        <v>0</v>
      </c>
      <c r="AI16" s="19"/>
      <c r="AJ16" s="19">
        <v>2</v>
      </c>
      <c r="AK16" s="19"/>
      <c r="AL16" s="19"/>
      <c r="AM16" s="19"/>
      <c r="AN16" s="19"/>
      <c r="AO16" s="19"/>
      <c r="AP16" s="19"/>
      <c r="AQ16" s="19"/>
      <c r="AR16" s="19"/>
      <c r="AS16" s="19"/>
      <c r="AT16" s="19">
        <v>3</v>
      </c>
      <c r="AU16" s="19">
        <v>4</v>
      </c>
      <c r="AV16" s="19"/>
    </row>
    <row r="17" spans="1:58" s="3" customFormat="1" x14ac:dyDescent="0.3">
      <c r="A17" s="25" t="s">
        <v>148</v>
      </c>
      <c r="B17" s="6">
        <v>3000</v>
      </c>
      <c r="C17" s="66">
        <v>71.8</v>
      </c>
      <c r="D17" s="234">
        <v>2</v>
      </c>
      <c r="E17" s="1"/>
      <c r="F17" s="39">
        <v>4</v>
      </c>
      <c r="G17" s="39">
        <v>4</v>
      </c>
      <c r="H17" s="39">
        <v>3</v>
      </c>
      <c r="I17" s="39">
        <v>3</v>
      </c>
      <c r="J17" s="39">
        <v>4</v>
      </c>
      <c r="K17" s="39">
        <v>4</v>
      </c>
      <c r="L17" s="39">
        <v>3</v>
      </c>
      <c r="M17" s="39">
        <v>3</v>
      </c>
      <c r="N17" s="39">
        <v>3</v>
      </c>
      <c r="O17" s="39">
        <v>3</v>
      </c>
      <c r="P17" s="39">
        <v>2</v>
      </c>
      <c r="Q17" s="39">
        <v>2</v>
      </c>
      <c r="R17" s="39">
        <v>2</v>
      </c>
      <c r="S17" s="39">
        <v>2</v>
      </c>
      <c r="T17" s="39">
        <v>2</v>
      </c>
      <c r="U17" s="39">
        <v>2</v>
      </c>
      <c r="V17" s="39">
        <v>1</v>
      </c>
      <c r="W17" s="39">
        <v>1</v>
      </c>
      <c r="X17" s="39">
        <v>0</v>
      </c>
      <c r="Y17" s="39">
        <f>0+AJ17+1</f>
        <v>3</v>
      </c>
      <c r="Z17" s="39">
        <v>1</v>
      </c>
      <c r="AA17" s="372">
        <f ca="1">Y17+IF(NOT(ISBLANK(OFFSET(AA17,0,6))),N(OFFSET(AA17,0,6)),N(OFFSET(AA17,0,7)))-Z17</f>
        <v>2</v>
      </c>
      <c r="AB17" s="11"/>
      <c r="AC17" s="78"/>
      <c r="AD17" s="78"/>
      <c r="AE17" s="11"/>
      <c r="AF17" s="32">
        <v>1</v>
      </c>
      <c r="AG17" s="11"/>
      <c r="AH17" s="19">
        <v>0</v>
      </c>
      <c r="AI17" s="19"/>
      <c r="AJ17" s="19">
        <v>2</v>
      </c>
      <c r="AK17" s="253" t="s">
        <v>149</v>
      </c>
      <c r="AL17" s="19"/>
      <c r="AM17" s="19"/>
      <c r="AN17" s="19"/>
      <c r="AO17" s="19"/>
      <c r="AP17" s="19"/>
      <c r="AQ17" s="19">
        <v>1</v>
      </c>
      <c r="AR17" s="19"/>
      <c r="AS17" s="19"/>
      <c r="AT17" s="19">
        <v>1</v>
      </c>
      <c r="AU17" s="19">
        <v>1</v>
      </c>
      <c r="AV17" s="19">
        <v>3</v>
      </c>
    </row>
    <row r="18" spans="1:58" s="3" customFormat="1" ht="15" customHeight="1" x14ac:dyDescent="0.3">
      <c r="A18" s="23"/>
      <c r="C18" s="67"/>
      <c r="D18" s="235"/>
      <c r="AB18" s="11"/>
      <c r="AC18" s="390"/>
      <c r="AD18" s="390"/>
      <c r="AE18" s="11"/>
      <c r="AF18" s="344"/>
      <c r="AG18" s="388"/>
      <c r="AH18" s="388"/>
      <c r="AI18" s="388"/>
      <c r="AJ18" s="388"/>
      <c r="AK18" s="388"/>
      <c r="AL18" s="388"/>
      <c r="AM18" s="388"/>
      <c r="AN18" s="388"/>
      <c r="AO18" s="388"/>
      <c r="AP18" s="388"/>
      <c r="AQ18" s="388"/>
      <c r="AR18" s="388"/>
      <c r="AS18" s="388"/>
      <c r="AT18" s="388"/>
      <c r="AU18" s="388"/>
      <c r="AV18" s="388"/>
    </row>
    <row r="19" spans="1:58" s="3" customFormat="1" ht="19.5" customHeight="1" x14ac:dyDescent="0.3">
      <c r="A19" s="24" t="s">
        <v>150</v>
      </c>
      <c r="B19" s="12" t="s">
        <v>151</v>
      </c>
      <c r="C19" s="65" t="s">
        <v>152</v>
      </c>
      <c r="D19" s="395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35" t="s">
        <v>129</v>
      </c>
      <c r="AB19" s="11"/>
      <c r="AC19" s="29" t="s">
        <v>126</v>
      </c>
      <c r="AD19" s="29" t="s">
        <v>126</v>
      </c>
      <c r="AE19" s="11"/>
      <c r="AF19" s="9" t="s">
        <v>127</v>
      </c>
      <c r="AG19" s="11"/>
      <c r="AH19" s="363"/>
      <c r="AI19" s="339">
        <v>46148</v>
      </c>
      <c r="AJ19" s="363">
        <v>46142</v>
      </c>
      <c r="AK19" s="339">
        <v>46146</v>
      </c>
      <c r="AL19" s="409">
        <v>46065</v>
      </c>
      <c r="AM19" s="363">
        <v>46092</v>
      </c>
      <c r="AN19" s="363">
        <v>46077</v>
      </c>
      <c r="AO19" s="363">
        <v>46048</v>
      </c>
      <c r="AP19" s="363">
        <v>46043</v>
      </c>
      <c r="AQ19" s="363">
        <v>46029</v>
      </c>
      <c r="AR19" s="363">
        <v>46024</v>
      </c>
      <c r="AS19" s="371">
        <v>46386</v>
      </c>
      <c r="AT19" s="363">
        <v>46007</v>
      </c>
      <c r="AU19" s="363">
        <v>46001</v>
      </c>
      <c r="AV19" s="363">
        <v>45994</v>
      </c>
      <c r="AX19" s="389" t="s">
        <v>150</v>
      </c>
      <c r="AY19" s="376" t="s">
        <v>123</v>
      </c>
      <c r="AZ19" s="13">
        <v>46118</v>
      </c>
      <c r="BA19" s="13">
        <v>46125</v>
      </c>
      <c r="BB19" s="13">
        <v>46132</v>
      </c>
      <c r="BC19" s="13">
        <v>46139</v>
      </c>
      <c r="BD19" s="13">
        <v>46146</v>
      </c>
      <c r="BE19" s="13">
        <v>46154</v>
      </c>
      <c r="BF19" s="35" t="s">
        <v>129</v>
      </c>
    </row>
    <row r="20" spans="1:58" s="3" customFormat="1" ht="19.5" customHeight="1" x14ac:dyDescent="0.3">
      <c r="A20" s="25" t="s">
        <v>153</v>
      </c>
      <c r="B20" s="6">
        <v>150</v>
      </c>
      <c r="C20" s="82">
        <v>334.31</v>
      </c>
      <c r="D20" s="234">
        <v>120</v>
      </c>
      <c r="E20" s="1"/>
      <c r="F20" s="39">
        <v>195</v>
      </c>
      <c r="G20" s="39">
        <v>156</v>
      </c>
      <c r="H20" s="39">
        <v>142</v>
      </c>
      <c r="I20" s="39">
        <v>93</v>
      </c>
      <c r="J20" s="39">
        <v>72</v>
      </c>
      <c r="K20" s="39">
        <f>50+AP20</f>
        <v>200</v>
      </c>
      <c r="L20" s="39">
        <v>176</v>
      </c>
      <c r="M20" s="39">
        <v>147</v>
      </c>
      <c r="N20" s="39">
        <v>143</v>
      </c>
      <c r="O20" s="39">
        <v>138</v>
      </c>
      <c r="P20" s="39">
        <v>137</v>
      </c>
      <c r="Q20" s="39">
        <v>130</v>
      </c>
      <c r="R20" s="39">
        <v>120</v>
      </c>
      <c r="S20" s="39">
        <v>115</v>
      </c>
      <c r="T20" s="39">
        <v>112</v>
      </c>
      <c r="U20" s="39"/>
      <c r="V20" s="39"/>
      <c r="W20" s="39"/>
      <c r="X20" s="39">
        <v>83</v>
      </c>
      <c r="Y20" s="39">
        <v>76</v>
      </c>
      <c r="Z20" s="39">
        <v>60</v>
      </c>
      <c r="AA20" s="372">
        <f ca="1">Y20+IF(NOT(ISBLANK(OFFSET(AA20,0,6))),N(OFFSET(AA20,0,6)),N(OFFSET(AA20,0,7)))-Z20</f>
        <v>16</v>
      </c>
      <c r="AB20" s="11"/>
      <c r="AC20" s="78"/>
      <c r="AD20" s="78"/>
      <c r="AE20" s="11"/>
      <c r="AF20" s="32"/>
      <c r="AG20" s="11"/>
      <c r="AH20" s="19">
        <v>0</v>
      </c>
      <c r="AI20" s="19"/>
      <c r="AJ20" s="19">
        <v>0</v>
      </c>
      <c r="AK20" s="19"/>
      <c r="AL20" s="19"/>
      <c r="AM20" s="19"/>
      <c r="AN20" s="19"/>
      <c r="AO20" s="19"/>
      <c r="AP20" s="19">
        <v>150</v>
      </c>
      <c r="AQ20" s="19"/>
      <c r="AR20" s="19"/>
      <c r="AS20" s="19"/>
      <c r="AT20" s="19"/>
      <c r="AU20" s="19"/>
      <c r="AV20" s="19"/>
      <c r="AX20" s="364" t="s">
        <v>154</v>
      </c>
      <c r="AY20" s="135">
        <v>150</v>
      </c>
      <c r="AZ20" s="39">
        <v>0</v>
      </c>
      <c r="BA20" s="39">
        <v>0</v>
      </c>
      <c r="BB20" s="39">
        <v>0</v>
      </c>
      <c r="BC20" s="39">
        <v>0</v>
      </c>
      <c r="BD20" s="39">
        <v>0</v>
      </c>
      <c r="BE20" s="39">
        <v>0</v>
      </c>
      <c r="BF20" s="26">
        <f ca="1">BD20+IF(NOT(ISBLANK(OFFSET(BF20,0,6))),N(OFFSET(BF20,0,6)),N(OFFSET(BF20,0,7)))-BE20</f>
        <v>0</v>
      </c>
    </row>
    <row r="21" spans="1:58" s="3" customFormat="1" x14ac:dyDescent="0.3">
      <c r="A21" s="25" t="s">
        <v>155</v>
      </c>
      <c r="B21" s="6">
        <v>100</v>
      </c>
      <c r="C21" s="81">
        <v>292.25</v>
      </c>
      <c r="D21" s="236">
        <v>120</v>
      </c>
      <c r="E21" s="1"/>
      <c r="F21" s="39">
        <v>195</v>
      </c>
      <c r="G21" s="39">
        <v>156</v>
      </c>
      <c r="H21" s="39">
        <v>148</v>
      </c>
      <c r="I21" s="39">
        <v>132</v>
      </c>
      <c r="J21" s="39">
        <v>105</v>
      </c>
      <c r="K21" s="39">
        <f>88+AP21</f>
        <v>188</v>
      </c>
      <c r="L21" s="39">
        <v>187</v>
      </c>
      <c r="M21" s="39">
        <v>182</v>
      </c>
      <c r="N21" s="39">
        <v>162</v>
      </c>
      <c r="O21" s="39">
        <v>148</v>
      </c>
      <c r="P21" s="39">
        <v>131</v>
      </c>
      <c r="Q21" s="39">
        <v>138</v>
      </c>
      <c r="R21" s="39">
        <v>128</v>
      </c>
      <c r="S21" s="39">
        <v>117</v>
      </c>
      <c r="T21" s="39">
        <v>112</v>
      </c>
      <c r="U21" s="39"/>
      <c r="V21" s="39"/>
      <c r="W21" s="39"/>
      <c r="X21" s="39">
        <v>79</v>
      </c>
      <c r="Y21" s="39">
        <v>79</v>
      </c>
      <c r="Z21" s="39">
        <v>72</v>
      </c>
      <c r="AA21" s="372">
        <f ca="1">Y21+IF(NOT(ISBLANK(OFFSET(AA21,0,6))),N(OFFSET(AA21,0,6)),N(OFFSET(AA21,0,7)))-Z21</f>
        <v>7</v>
      </c>
      <c r="AB21" s="11"/>
      <c r="AC21" s="78"/>
      <c r="AD21" s="78"/>
      <c r="AE21" s="11"/>
      <c r="AF21" s="32"/>
      <c r="AG21" s="11"/>
      <c r="AH21" s="19">
        <v>0</v>
      </c>
      <c r="AI21" s="19"/>
      <c r="AJ21" s="19">
        <v>0</v>
      </c>
      <c r="AK21" s="19"/>
      <c r="AL21" s="117">
        <v>100</v>
      </c>
      <c r="AM21" s="19"/>
      <c r="AN21" s="19"/>
      <c r="AO21" s="19"/>
      <c r="AP21" s="19">
        <v>100</v>
      </c>
      <c r="AQ21" s="19"/>
      <c r="AR21" s="19"/>
      <c r="AS21" s="117"/>
      <c r="AT21" s="19"/>
      <c r="AU21" s="19"/>
      <c r="AV21" s="19"/>
      <c r="AX21" s="21" t="s">
        <v>156</v>
      </c>
      <c r="AY21" s="6">
        <v>100</v>
      </c>
      <c r="AZ21" s="39">
        <f>AL21</f>
        <v>100</v>
      </c>
      <c r="BA21" s="39"/>
      <c r="BB21" s="39"/>
      <c r="BC21" s="39">
        <v>38</v>
      </c>
      <c r="BD21" s="39">
        <v>35</v>
      </c>
      <c r="BE21" s="39">
        <v>25</v>
      </c>
      <c r="BF21" s="26">
        <f ca="1">BD21+IF(NOT(ISBLANK(OFFSET(BF21,0,6))),N(OFFSET(BF21,0,6)),N(OFFSET(BF21,0,7)))-BE21</f>
        <v>10</v>
      </c>
    </row>
    <row r="22" spans="1:58" s="3" customFormat="1" x14ac:dyDescent="0.3">
      <c r="A22" s="25" t="s">
        <v>157</v>
      </c>
      <c r="B22" s="6">
        <v>75</v>
      </c>
      <c r="C22" s="66">
        <v>425.38</v>
      </c>
      <c r="D22" s="234">
        <v>25</v>
      </c>
      <c r="E22" s="7"/>
      <c r="F22" s="39">
        <v>24</v>
      </c>
      <c r="G22" s="39">
        <v>24</v>
      </c>
      <c r="H22" s="39">
        <v>24</v>
      </c>
      <c r="I22" s="39">
        <v>24</v>
      </c>
      <c r="J22" s="39">
        <v>19</v>
      </c>
      <c r="K22" s="39">
        <v>19</v>
      </c>
      <c r="L22" s="39">
        <v>19</v>
      </c>
      <c r="M22" s="39">
        <v>18</v>
      </c>
      <c r="N22" s="39">
        <v>17</v>
      </c>
      <c r="O22" s="39">
        <v>17</v>
      </c>
      <c r="P22" s="39">
        <v>17</v>
      </c>
      <c r="Q22" s="39">
        <v>17</v>
      </c>
      <c r="R22" s="39">
        <v>17</v>
      </c>
      <c r="S22" s="39">
        <v>17</v>
      </c>
      <c r="T22" s="39">
        <v>17</v>
      </c>
      <c r="U22" s="39">
        <v>17</v>
      </c>
      <c r="V22" s="39">
        <v>17</v>
      </c>
      <c r="W22" s="39">
        <v>15</v>
      </c>
      <c r="X22" s="39">
        <v>15</v>
      </c>
      <c r="Y22" s="39">
        <v>15</v>
      </c>
      <c r="Z22" s="39">
        <v>4</v>
      </c>
      <c r="AA22" s="372">
        <f ca="1">Y22+IF(NOT(ISBLANK(OFFSET(AA22,0,6))),N(OFFSET(AA22,0,6)),N(OFFSET(AA22,0,7)))-Z22</f>
        <v>11</v>
      </c>
      <c r="AB22" s="11"/>
      <c r="AC22" s="279"/>
      <c r="AD22" s="279"/>
      <c r="AE22" s="11"/>
      <c r="AF22" s="32"/>
      <c r="AG22" s="11"/>
      <c r="AH22" s="19">
        <v>0</v>
      </c>
      <c r="AI22" s="19"/>
      <c r="AJ22" s="19">
        <v>0</v>
      </c>
      <c r="AK22" s="19"/>
      <c r="AL22" s="117">
        <v>200</v>
      </c>
      <c r="AM22" s="19"/>
      <c r="AN22" s="19"/>
      <c r="AO22" s="19"/>
      <c r="AP22" s="19"/>
      <c r="AQ22" s="19"/>
      <c r="AR22" s="19"/>
      <c r="AS22" s="117"/>
      <c r="AT22" s="19"/>
      <c r="AU22" s="19"/>
      <c r="AV22" s="19"/>
      <c r="AX22" s="22" t="s">
        <v>158</v>
      </c>
      <c r="AY22" s="6">
        <v>200</v>
      </c>
      <c r="AZ22" s="39">
        <f>AL22</f>
        <v>200</v>
      </c>
      <c r="BA22" s="39"/>
      <c r="BB22" s="39"/>
      <c r="BC22" s="39">
        <v>63</v>
      </c>
      <c r="BD22" s="39">
        <v>53</v>
      </c>
      <c r="BE22" s="39">
        <v>0</v>
      </c>
      <c r="BF22" s="26">
        <f ca="1">BD22+IF(NOT(ISBLANK(OFFSET(BF22,0,6))),N(OFFSET(BF22,0,6)),N(OFFSET(BF22,0,7)))-BE22</f>
        <v>53</v>
      </c>
    </row>
    <row r="23" spans="1:58" s="3" customFormat="1" x14ac:dyDescent="0.3">
      <c r="A23" s="25" t="s">
        <v>159</v>
      </c>
      <c r="B23" s="6">
        <v>150</v>
      </c>
      <c r="C23" s="66">
        <v>427.5</v>
      </c>
      <c r="D23" s="234">
        <v>150</v>
      </c>
      <c r="E23" s="7"/>
      <c r="F23" s="2"/>
      <c r="G23" s="2"/>
      <c r="H23" s="2"/>
      <c r="I23" s="39"/>
      <c r="J23" s="39">
        <v>0</v>
      </c>
      <c r="K23" s="39">
        <v>0</v>
      </c>
      <c r="L23" s="39">
        <f>0+AO23</f>
        <v>150</v>
      </c>
      <c r="M23" s="39">
        <v>119</v>
      </c>
      <c r="N23" s="39">
        <v>105</v>
      </c>
      <c r="O23" s="39">
        <v>104</v>
      </c>
      <c r="P23" s="39">
        <v>95</v>
      </c>
      <c r="Q23" s="39">
        <v>65</v>
      </c>
      <c r="R23" s="39">
        <f>49+AM23</f>
        <v>199</v>
      </c>
      <c r="S23" s="39">
        <v>186</v>
      </c>
      <c r="T23" s="39">
        <v>176</v>
      </c>
      <c r="U23" s="39"/>
      <c r="V23" s="39"/>
      <c r="W23" s="39"/>
      <c r="X23" s="39">
        <v>95</v>
      </c>
      <c r="Y23" s="39">
        <v>95</v>
      </c>
      <c r="Z23" s="39">
        <v>95</v>
      </c>
      <c r="AA23" s="372">
        <f ca="1">Y23+IF(NOT(ISBLANK(OFFSET(AA23,0,6))),N(OFFSET(AA23,0,6)),N(OFFSET(AA23,0,7)))-Z23</f>
        <v>0</v>
      </c>
      <c r="AB23" s="11"/>
      <c r="AC23" s="78"/>
      <c r="AD23" s="78"/>
      <c r="AE23" s="11"/>
      <c r="AF23" s="32"/>
      <c r="AG23" s="11"/>
      <c r="AH23" s="19">
        <v>0</v>
      </c>
      <c r="AI23" s="19"/>
      <c r="AJ23" s="19">
        <v>0</v>
      </c>
      <c r="AK23" s="19"/>
      <c r="AL23" s="117">
        <v>150</v>
      </c>
      <c r="AM23" s="19">
        <v>150</v>
      </c>
      <c r="AN23" s="19"/>
      <c r="AO23" s="19">
        <v>150</v>
      </c>
      <c r="AP23" s="19"/>
      <c r="AQ23" s="19"/>
      <c r="AR23" s="19"/>
      <c r="AS23" s="117"/>
      <c r="AT23" s="19"/>
      <c r="AU23" s="19"/>
      <c r="AV23" s="19"/>
      <c r="AX23" s="22" t="s">
        <v>160</v>
      </c>
      <c r="AY23" s="6">
        <v>150</v>
      </c>
      <c r="AZ23" s="39">
        <f>AL23</f>
        <v>150</v>
      </c>
      <c r="BA23" s="39"/>
      <c r="BB23" s="39"/>
      <c r="BC23" s="39">
        <v>127</v>
      </c>
      <c r="BD23" s="39">
        <v>122</v>
      </c>
      <c r="BE23" s="39">
        <v>19</v>
      </c>
      <c r="BF23" s="26">
        <f ca="1">BD23+IF(NOT(ISBLANK(OFFSET(BF23,0,6))),N(OFFSET(BF23,0,6)),N(OFFSET(BF23,0,7)))-BE23</f>
        <v>103</v>
      </c>
    </row>
    <row r="24" spans="1:58" x14ac:dyDescent="0.3"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</row>
    <row r="25" spans="1:58" x14ac:dyDescent="0.3">
      <c r="A25" s="378" t="s">
        <v>161</v>
      </c>
      <c r="B25" s="379" t="s">
        <v>123</v>
      </c>
      <c r="C25" s="379" t="s">
        <v>124</v>
      </c>
      <c r="D25" s="379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35" t="s">
        <v>129</v>
      </c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</row>
    <row r="26" spans="1:58" x14ac:dyDescent="0.3">
      <c r="A26" s="384" t="s">
        <v>162</v>
      </c>
      <c r="B26" s="385">
        <v>100</v>
      </c>
      <c r="C26" s="199">
        <v>790</v>
      </c>
      <c r="D26" s="396"/>
      <c r="F26" s="39">
        <v>100</v>
      </c>
      <c r="G26" s="39">
        <v>85</v>
      </c>
      <c r="H26" s="39">
        <v>59</v>
      </c>
      <c r="I26" s="39">
        <v>59</v>
      </c>
      <c r="J26" s="39">
        <v>59</v>
      </c>
      <c r="K26" s="39">
        <v>57</v>
      </c>
      <c r="L26" s="39">
        <v>43</v>
      </c>
      <c r="M26" s="39">
        <v>56</v>
      </c>
      <c r="N26" s="39">
        <v>56</v>
      </c>
      <c r="O26" s="39">
        <v>55</v>
      </c>
      <c r="P26" s="39">
        <v>55</v>
      </c>
      <c r="Q26" s="39">
        <v>55</v>
      </c>
      <c r="R26" s="39">
        <v>54</v>
      </c>
      <c r="S26" s="39">
        <v>54</v>
      </c>
      <c r="T26" s="39">
        <v>54</v>
      </c>
      <c r="U26" s="39">
        <v>54</v>
      </c>
      <c r="V26" s="39">
        <v>54</v>
      </c>
      <c r="W26" s="39">
        <v>43</v>
      </c>
      <c r="X26" s="39">
        <v>43</v>
      </c>
      <c r="Y26" s="39">
        <v>41</v>
      </c>
      <c r="Z26" s="39">
        <v>51</v>
      </c>
      <c r="AA26" s="372">
        <f t="shared" ref="AA26:AA37" ca="1" si="0">Y26+IF(NOT(ISBLANK(OFFSET(AA26,0,6))),N(OFFSET(AA26,0,6)),N(OFFSET(AA26,0,7)))-Z26</f>
        <v>-10</v>
      </c>
      <c r="AC26" s="347"/>
      <c r="AD26" s="347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</row>
    <row r="27" spans="1:58" hidden="1" x14ac:dyDescent="0.3">
      <c r="A27" s="386" t="s">
        <v>163</v>
      </c>
      <c r="B27" s="159">
        <v>100</v>
      </c>
      <c r="C27" s="200">
        <v>295</v>
      </c>
      <c r="D27" s="396"/>
      <c r="F27" s="39">
        <v>2</v>
      </c>
      <c r="G27" s="39">
        <v>2</v>
      </c>
      <c r="H27" s="39">
        <v>2</v>
      </c>
      <c r="I27" s="39">
        <v>0</v>
      </c>
      <c r="J27" s="39">
        <v>0</v>
      </c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72">
        <f t="shared" ca="1" si="0"/>
        <v>0</v>
      </c>
      <c r="AC27" s="347"/>
      <c r="AD27" s="347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</row>
    <row r="28" spans="1:58" hidden="1" x14ac:dyDescent="0.3">
      <c r="A28" s="386" t="s">
        <v>164</v>
      </c>
      <c r="B28" s="159">
        <v>100</v>
      </c>
      <c r="C28" s="200">
        <v>283</v>
      </c>
      <c r="D28" s="396"/>
      <c r="F28" s="39">
        <v>2</v>
      </c>
      <c r="G28" s="39">
        <v>2</v>
      </c>
      <c r="H28" s="39">
        <v>2</v>
      </c>
      <c r="I28" s="39">
        <v>0</v>
      </c>
      <c r="J28" s="39">
        <v>0</v>
      </c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72">
        <f t="shared" ca="1" si="0"/>
        <v>0</v>
      </c>
      <c r="AC28" s="347"/>
      <c r="AD28" s="347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</row>
    <row r="29" spans="1:58" x14ac:dyDescent="0.3">
      <c r="A29" s="397" t="s">
        <v>165</v>
      </c>
      <c r="B29" s="398">
        <v>25</v>
      </c>
      <c r="C29" s="254">
        <v>249.25</v>
      </c>
      <c r="D29" s="396"/>
      <c r="F29" s="6">
        <v>15</v>
      </c>
      <c r="G29" s="6">
        <v>15</v>
      </c>
      <c r="H29" s="6">
        <v>15</v>
      </c>
      <c r="I29" s="6">
        <v>15</v>
      </c>
      <c r="J29" s="6">
        <v>15</v>
      </c>
      <c r="K29" s="6">
        <v>15</v>
      </c>
      <c r="L29" s="6">
        <v>15</v>
      </c>
      <c r="M29" s="6">
        <v>15</v>
      </c>
      <c r="N29" s="6">
        <v>15</v>
      </c>
      <c r="O29" s="6">
        <v>15</v>
      </c>
      <c r="P29" s="6">
        <v>15</v>
      </c>
      <c r="Q29" s="6">
        <v>15</v>
      </c>
      <c r="R29" s="6">
        <v>15</v>
      </c>
      <c r="S29" s="6">
        <v>15</v>
      </c>
      <c r="T29" s="6">
        <v>15</v>
      </c>
      <c r="U29" s="6">
        <v>15</v>
      </c>
      <c r="V29" s="6">
        <v>15</v>
      </c>
      <c r="W29" s="6">
        <v>15</v>
      </c>
      <c r="X29" s="6">
        <v>15</v>
      </c>
      <c r="Y29" s="6">
        <v>15</v>
      </c>
      <c r="Z29" s="6">
        <v>15</v>
      </c>
      <c r="AA29" s="372">
        <f t="shared" ca="1" si="0"/>
        <v>0</v>
      </c>
      <c r="AC29" s="347"/>
      <c r="AD29" s="347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</row>
    <row r="30" spans="1:58" x14ac:dyDescent="0.3">
      <c r="A30" s="397" t="s">
        <v>166</v>
      </c>
      <c r="B30" s="398">
        <v>25</v>
      </c>
      <c r="C30" s="254">
        <v>249.25</v>
      </c>
      <c r="D30" s="396"/>
      <c r="F30" s="6">
        <v>10</v>
      </c>
      <c r="G30" s="6">
        <v>10</v>
      </c>
      <c r="H30" s="6">
        <v>10</v>
      </c>
      <c r="I30" s="6">
        <v>10</v>
      </c>
      <c r="J30" s="6">
        <v>10</v>
      </c>
      <c r="K30" s="6">
        <v>10</v>
      </c>
      <c r="L30" s="6">
        <v>10</v>
      </c>
      <c r="M30" s="6">
        <v>10</v>
      </c>
      <c r="N30" s="6">
        <v>10</v>
      </c>
      <c r="O30" s="6">
        <v>10</v>
      </c>
      <c r="P30" s="6">
        <v>10</v>
      </c>
      <c r="Q30" s="6">
        <v>10</v>
      </c>
      <c r="R30" s="6">
        <v>10</v>
      </c>
      <c r="S30" s="6">
        <v>10</v>
      </c>
      <c r="T30" s="6">
        <v>10</v>
      </c>
      <c r="U30" s="6">
        <v>10</v>
      </c>
      <c r="V30" s="6">
        <v>10</v>
      </c>
      <c r="W30" s="6">
        <v>10</v>
      </c>
      <c r="X30" s="6">
        <v>10</v>
      </c>
      <c r="Y30" s="6">
        <v>10</v>
      </c>
      <c r="Z30" s="6">
        <v>10</v>
      </c>
      <c r="AA30" s="372">
        <f t="shared" ca="1" si="0"/>
        <v>0</v>
      </c>
      <c r="AC30" s="347"/>
      <c r="AD30" s="347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</row>
    <row r="31" spans="1:58" x14ac:dyDescent="0.3">
      <c r="A31" s="397" t="s">
        <v>167</v>
      </c>
      <c r="B31" s="398">
        <v>25</v>
      </c>
      <c r="C31" s="254">
        <v>249.25</v>
      </c>
      <c r="D31" s="396"/>
      <c r="F31" s="6">
        <v>13</v>
      </c>
      <c r="G31" s="6">
        <v>13</v>
      </c>
      <c r="H31" s="6">
        <v>13</v>
      </c>
      <c r="I31" s="6">
        <v>13</v>
      </c>
      <c r="J31" s="6">
        <v>13</v>
      </c>
      <c r="K31" s="6">
        <v>13</v>
      </c>
      <c r="L31" s="6">
        <v>13</v>
      </c>
      <c r="M31" s="6">
        <v>13</v>
      </c>
      <c r="N31" s="6">
        <v>13</v>
      </c>
      <c r="O31" s="6">
        <v>13</v>
      </c>
      <c r="P31" s="6">
        <v>13</v>
      </c>
      <c r="Q31" s="6">
        <v>13</v>
      </c>
      <c r="R31" s="6">
        <v>13</v>
      </c>
      <c r="S31" s="6">
        <v>13</v>
      </c>
      <c r="T31" s="6">
        <v>13</v>
      </c>
      <c r="U31" s="6">
        <v>13</v>
      </c>
      <c r="V31" s="6">
        <v>13</v>
      </c>
      <c r="W31" s="6">
        <v>13</v>
      </c>
      <c r="X31" s="6">
        <v>13</v>
      </c>
      <c r="Y31" s="6">
        <v>13</v>
      </c>
      <c r="Z31" s="6">
        <v>13</v>
      </c>
      <c r="AA31" s="372">
        <f t="shared" ca="1" si="0"/>
        <v>0</v>
      </c>
      <c r="AC31" s="347"/>
      <c r="AD31" s="347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</row>
    <row r="32" spans="1:58" x14ac:dyDescent="0.3">
      <c r="A32" s="283" t="s">
        <v>168</v>
      </c>
      <c r="B32" s="284">
        <v>100</v>
      </c>
      <c r="C32" s="285">
        <v>1490</v>
      </c>
      <c r="D32" s="396"/>
      <c r="F32" s="6">
        <v>5</v>
      </c>
      <c r="G32" s="6">
        <v>5</v>
      </c>
      <c r="H32" s="6">
        <v>5</v>
      </c>
      <c r="I32" s="6">
        <v>1</v>
      </c>
      <c r="J32" s="6">
        <v>1</v>
      </c>
      <c r="K32" s="6">
        <v>1</v>
      </c>
      <c r="L32" s="6">
        <v>1</v>
      </c>
      <c r="M32" s="6">
        <v>1</v>
      </c>
      <c r="N32" s="6">
        <v>1</v>
      </c>
      <c r="O32" s="6">
        <v>1</v>
      </c>
      <c r="P32" s="6">
        <v>1</v>
      </c>
      <c r="Q32" s="6">
        <v>1</v>
      </c>
      <c r="R32" s="6">
        <v>1</v>
      </c>
      <c r="S32" s="6">
        <v>1</v>
      </c>
      <c r="T32" s="6">
        <v>1</v>
      </c>
      <c r="U32" s="6">
        <v>1</v>
      </c>
      <c r="V32" s="6">
        <v>1</v>
      </c>
      <c r="W32" s="6">
        <v>1</v>
      </c>
      <c r="X32" s="6">
        <v>1</v>
      </c>
      <c r="Y32" s="6">
        <v>1</v>
      </c>
      <c r="Z32" s="6">
        <v>1</v>
      </c>
      <c r="AA32" s="372">
        <f t="shared" ca="1" si="0"/>
        <v>0</v>
      </c>
      <c r="AC32" s="347"/>
      <c r="AD32" s="347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</row>
    <row r="33" spans="1:227" x14ac:dyDescent="0.3">
      <c r="A33" s="25" t="s">
        <v>169</v>
      </c>
      <c r="B33" s="6">
        <v>150</v>
      </c>
      <c r="C33" s="77">
        <v>805.35</v>
      </c>
      <c r="D33" s="396"/>
      <c r="F33" s="6">
        <v>236</v>
      </c>
      <c r="G33" s="6">
        <v>169</v>
      </c>
      <c r="H33" s="6">
        <v>152</v>
      </c>
      <c r="I33" s="6">
        <v>95</v>
      </c>
      <c r="J33" s="6">
        <v>95</v>
      </c>
      <c r="K33" s="6">
        <v>95</v>
      </c>
      <c r="L33" s="6">
        <v>95</v>
      </c>
      <c r="M33" s="6">
        <v>95</v>
      </c>
      <c r="N33" s="6">
        <v>95</v>
      </c>
      <c r="O33" s="6">
        <v>95</v>
      </c>
      <c r="P33" s="6">
        <v>95</v>
      </c>
      <c r="Q33" s="6">
        <v>93</v>
      </c>
      <c r="R33" s="6">
        <v>93</v>
      </c>
      <c r="S33" s="6">
        <v>93</v>
      </c>
      <c r="T33" s="6">
        <v>93</v>
      </c>
      <c r="U33" s="6">
        <v>93</v>
      </c>
      <c r="V33" s="6">
        <v>93</v>
      </c>
      <c r="W33" s="6">
        <v>93</v>
      </c>
      <c r="X33" s="6">
        <v>93</v>
      </c>
      <c r="Y33" s="6">
        <v>87</v>
      </c>
      <c r="Z33" s="6">
        <v>84</v>
      </c>
      <c r="AA33" s="372">
        <f t="shared" ca="1" si="0"/>
        <v>3</v>
      </c>
      <c r="AC33" s="347"/>
      <c r="AD33" s="347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</row>
    <row r="34" spans="1:227" x14ac:dyDescent="0.3">
      <c r="A34" s="25" t="s">
        <v>170</v>
      </c>
      <c r="B34" s="6">
        <v>100</v>
      </c>
      <c r="C34" s="77">
        <v>792.2</v>
      </c>
      <c r="D34" s="396"/>
      <c r="F34" s="6">
        <v>232</v>
      </c>
      <c r="G34" s="6">
        <v>184</v>
      </c>
      <c r="H34" s="6">
        <v>177</v>
      </c>
      <c r="I34" s="6">
        <v>179</v>
      </c>
      <c r="J34" s="6">
        <v>179</v>
      </c>
      <c r="K34" s="6">
        <v>179</v>
      </c>
      <c r="L34" s="6">
        <v>178</v>
      </c>
      <c r="M34" s="6">
        <v>175</v>
      </c>
      <c r="N34" s="6">
        <v>175</v>
      </c>
      <c r="O34" s="6">
        <v>174</v>
      </c>
      <c r="P34" s="6">
        <v>174</v>
      </c>
      <c r="Q34" s="6">
        <v>174</v>
      </c>
      <c r="R34" s="6">
        <v>174</v>
      </c>
      <c r="S34" s="6">
        <v>174</v>
      </c>
      <c r="T34" s="6">
        <v>174</v>
      </c>
      <c r="U34" s="6">
        <v>174</v>
      </c>
      <c r="V34" s="6">
        <v>174</v>
      </c>
      <c r="W34" s="6">
        <v>174</v>
      </c>
      <c r="X34" s="6">
        <v>166</v>
      </c>
      <c r="Y34" s="6">
        <v>159</v>
      </c>
      <c r="Z34" s="6">
        <v>148</v>
      </c>
      <c r="AA34" s="372">
        <f t="shared" ca="1" si="0"/>
        <v>11</v>
      </c>
      <c r="AC34" s="347"/>
      <c r="AD34" s="347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</row>
    <row r="35" spans="1:227" hidden="1" x14ac:dyDescent="0.3">
      <c r="A35" s="25" t="s">
        <v>171</v>
      </c>
      <c r="B35" s="6">
        <v>200</v>
      </c>
      <c r="C35" s="77">
        <v>487.2</v>
      </c>
      <c r="D35" s="396"/>
      <c r="F35" s="6">
        <v>-3</v>
      </c>
      <c r="G35" s="6">
        <v>-3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/>
      <c r="V35" s="6"/>
      <c r="W35" s="6"/>
      <c r="X35" s="6"/>
      <c r="Y35" s="6"/>
      <c r="Z35" s="6"/>
      <c r="AA35" s="372">
        <f t="shared" ca="1" si="0"/>
        <v>0</v>
      </c>
      <c r="AC35" s="347"/>
      <c r="AD35" s="347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</row>
    <row r="36" spans="1:227" hidden="1" x14ac:dyDescent="0.3">
      <c r="A36" s="25" t="s">
        <v>172</v>
      </c>
      <c r="B36" s="6">
        <v>150</v>
      </c>
      <c r="C36" s="77">
        <v>460.35</v>
      </c>
      <c r="D36" s="396"/>
      <c r="F36" s="6">
        <v>22</v>
      </c>
      <c r="G36" s="6">
        <v>-2</v>
      </c>
      <c r="H36" s="6">
        <v>0</v>
      </c>
      <c r="I36" s="6">
        <v>0</v>
      </c>
      <c r="J36" s="6">
        <v>-1</v>
      </c>
      <c r="K36" s="6">
        <v>-1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/>
      <c r="V36" s="6"/>
      <c r="W36" s="6"/>
      <c r="X36" s="6"/>
      <c r="Y36" s="6"/>
      <c r="Z36" s="6"/>
      <c r="AA36" s="372">
        <f t="shared" ca="1" si="0"/>
        <v>0</v>
      </c>
      <c r="AC36" s="347"/>
      <c r="AD36" s="34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401"/>
      <c r="AT36" s="11"/>
      <c r="AU36" s="11"/>
      <c r="AV36" s="11"/>
    </row>
    <row r="37" spans="1:227" x14ac:dyDescent="0.3">
      <c r="A37" s="25" t="s">
        <v>173</v>
      </c>
      <c r="B37" s="6">
        <v>10</v>
      </c>
      <c r="C37" s="77">
        <v>120</v>
      </c>
      <c r="D37" s="396"/>
      <c r="F37" s="6">
        <v>9</v>
      </c>
      <c r="G37" s="6">
        <v>-1</v>
      </c>
      <c r="H37" s="6">
        <v>1</v>
      </c>
      <c r="I37" s="6">
        <v>1</v>
      </c>
      <c r="J37" s="6">
        <v>1</v>
      </c>
      <c r="K37" s="6">
        <v>1</v>
      </c>
      <c r="L37" s="6">
        <v>1</v>
      </c>
      <c r="M37" s="6">
        <v>1</v>
      </c>
      <c r="N37" s="6">
        <v>1</v>
      </c>
      <c r="O37" s="6">
        <v>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>
        <v>1</v>
      </c>
      <c r="V37" s="6">
        <v>1</v>
      </c>
      <c r="W37" s="6">
        <v>1</v>
      </c>
      <c r="X37" s="6">
        <v>1</v>
      </c>
      <c r="Y37" s="6">
        <v>1</v>
      </c>
      <c r="Z37" s="6">
        <v>1</v>
      </c>
      <c r="AA37" s="372">
        <f t="shared" ca="1" si="0"/>
        <v>0</v>
      </c>
      <c r="AC37" s="347"/>
      <c r="AD37" s="347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401"/>
      <c r="AT37" s="11"/>
      <c r="AU37" s="11"/>
      <c r="AV37" s="11"/>
    </row>
    <row r="38" spans="1:227" x14ac:dyDescent="0.3">
      <c r="AC38" s="347"/>
      <c r="AD38" s="347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41"/>
      <c r="AT38" s="11"/>
      <c r="AU38" s="11"/>
      <c r="AV38" s="11"/>
    </row>
    <row r="39" spans="1:227" ht="21" customHeight="1" x14ac:dyDescent="0.3">
      <c r="A39" s="394" t="s">
        <v>174</v>
      </c>
      <c r="B39" s="394"/>
      <c r="C39" s="394"/>
      <c r="AE39" s="362"/>
      <c r="AH39" s="11"/>
      <c r="AI39" s="401"/>
      <c r="AJ39" s="401"/>
      <c r="AK39" s="401"/>
      <c r="AL39" s="401"/>
      <c r="AM39" s="401"/>
      <c r="AN39" s="401"/>
      <c r="AO39" s="401"/>
      <c r="AP39" s="401"/>
      <c r="AQ39" s="401"/>
      <c r="AR39" s="401"/>
      <c r="AS39" s="41"/>
      <c r="AT39" s="401"/>
      <c r="AU39" s="401"/>
      <c r="AV39" s="401"/>
    </row>
    <row r="40" spans="1:227" ht="20.25" customHeight="1" x14ac:dyDescent="0.3">
      <c r="A40" s="361" t="s">
        <v>175</v>
      </c>
      <c r="B40" s="361"/>
      <c r="C40" s="361" t="s">
        <v>176</v>
      </c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E40" s="41"/>
      <c r="AG40" s="41"/>
      <c r="AH40" s="401"/>
      <c r="AI40" s="401"/>
      <c r="AJ40" s="401"/>
      <c r="AK40" s="401"/>
      <c r="AL40" s="401"/>
      <c r="AM40" s="401"/>
      <c r="AN40" s="401"/>
      <c r="AO40" s="401"/>
      <c r="AP40" s="401"/>
      <c r="AQ40" s="401"/>
      <c r="AR40" s="401"/>
      <c r="AS40" s="41"/>
      <c r="AT40" s="401"/>
      <c r="AU40" s="401"/>
      <c r="AV40" s="401"/>
    </row>
    <row r="41" spans="1:227" x14ac:dyDescent="0.3">
      <c r="A41" s="286"/>
      <c r="B41" s="370"/>
      <c r="C41" s="357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0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41"/>
      <c r="CC41" s="1"/>
      <c r="CD41" s="41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62"/>
      <c r="EN41" s="41"/>
      <c r="EO41" s="34"/>
      <c r="EP41" s="41"/>
      <c r="EQ41" s="150"/>
      <c r="ER41" s="150"/>
      <c r="ES41" s="34"/>
      <c r="ET41" s="150"/>
      <c r="EU41" s="34"/>
      <c r="EV41" s="34"/>
      <c r="EW41" s="150"/>
      <c r="EX41" s="150"/>
      <c r="EY41" s="34"/>
      <c r="EZ41" s="34"/>
      <c r="FA41" s="34"/>
      <c r="FB41" s="150"/>
      <c r="FC41" s="34"/>
      <c r="FD41" s="150"/>
      <c r="FE41" s="150"/>
      <c r="FF41" s="150"/>
      <c r="FG41" s="34"/>
      <c r="FH41" s="150"/>
      <c r="FI41" s="34"/>
      <c r="FJ41" s="150"/>
      <c r="FK41" s="150"/>
      <c r="FL41" s="150"/>
      <c r="FM41" s="150"/>
      <c r="FN41" s="150"/>
      <c r="FO41" s="350"/>
      <c r="FP41" s="150"/>
      <c r="FQ41" s="150"/>
      <c r="FR41" s="150"/>
      <c r="FS41" s="150"/>
      <c r="FT41" s="150"/>
      <c r="FU41" s="150"/>
      <c r="FV41" s="150"/>
      <c r="FW41" s="150"/>
      <c r="FX41" s="150"/>
      <c r="FY41" s="150"/>
      <c r="FZ41" s="150"/>
      <c r="GA41" s="150"/>
      <c r="GB41" s="150"/>
      <c r="GC41" s="150"/>
      <c r="GD41" s="150"/>
      <c r="GE41" s="150"/>
      <c r="GF41" s="150"/>
      <c r="GG41" s="150"/>
      <c r="GH41" s="150"/>
      <c r="GI41" s="150"/>
      <c r="GJ41" s="150"/>
      <c r="GK41" s="34"/>
      <c r="GL41" s="150"/>
      <c r="GM41" s="150"/>
      <c r="GN41" s="150"/>
      <c r="GO41" s="150"/>
      <c r="GP41" s="150"/>
      <c r="GQ41" s="150"/>
      <c r="GR41" s="150"/>
      <c r="GS41" s="150"/>
      <c r="GT41" s="150"/>
      <c r="GU41" s="150"/>
      <c r="GV41" s="150"/>
      <c r="GW41" s="150"/>
      <c r="GX41" s="150"/>
      <c r="GY41" s="150"/>
      <c r="GZ41" s="150"/>
      <c r="HA41" s="150"/>
      <c r="HB41" s="150"/>
      <c r="HC41" s="150"/>
      <c r="HD41" s="150"/>
      <c r="HE41" s="150"/>
      <c r="HF41" s="150"/>
      <c r="HG41" s="150"/>
      <c r="HH41" s="150"/>
      <c r="HI41" s="150"/>
      <c r="HJ41" s="150"/>
      <c r="HK41" s="150"/>
      <c r="HL41" s="150"/>
      <c r="HM41" s="150"/>
      <c r="HN41" s="150"/>
      <c r="HO41" s="150"/>
      <c r="HP41" s="150"/>
      <c r="HQ41" s="150"/>
      <c r="HR41" s="150"/>
      <c r="HS41" s="150"/>
    </row>
    <row r="42" spans="1:227" x14ac:dyDescent="0.3">
      <c r="A42" s="462"/>
      <c r="B42" s="463"/>
      <c r="C42" s="464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1"/>
      <c r="CD42" s="41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  <c r="EE42" s="34"/>
      <c r="EF42" s="34"/>
      <c r="EG42" s="34"/>
      <c r="EH42" s="34"/>
      <c r="EI42" s="34"/>
      <c r="EJ42" s="34"/>
      <c r="EK42" s="34"/>
      <c r="EL42" s="34"/>
      <c r="EM42" s="362"/>
      <c r="EN42" s="41"/>
      <c r="EO42" s="34"/>
      <c r="EP42" s="41"/>
      <c r="EQ42" s="150"/>
      <c r="ER42" s="150"/>
      <c r="ES42" s="34"/>
      <c r="ET42" s="150"/>
      <c r="EU42" s="34"/>
      <c r="EV42" s="34"/>
      <c r="EW42" s="150"/>
      <c r="EX42" s="150"/>
      <c r="EY42" s="34"/>
      <c r="EZ42" s="34"/>
      <c r="FA42" s="34"/>
      <c r="FB42" s="150"/>
      <c r="FC42" s="34"/>
      <c r="FD42" s="150"/>
      <c r="FE42" s="150"/>
      <c r="FF42" s="150"/>
      <c r="FG42" s="34"/>
      <c r="FH42" s="150"/>
      <c r="FI42" s="34"/>
      <c r="FJ42" s="150"/>
      <c r="FK42" s="150"/>
      <c r="FL42" s="150"/>
      <c r="FM42" s="150"/>
      <c r="FN42" s="150"/>
      <c r="FO42" s="365"/>
      <c r="FP42" s="150"/>
      <c r="FQ42" s="150"/>
      <c r="FR42" s="150"/>
      <c r="FS42" s="150"/>
      <c r="FT42" s="150"/>
      <c r="FU42" s="150"/>
      <c r="FV42" s="150"/>
      <c r="FW42" s="150"/>
      <c r="FX42" s="150"/>
      <c r="FY42" s="150"/>
      <c r="FZ42" s="150"/>
      <c r="GA42" s="150"/>
      <c r="GB42" s="150"/>
      <c r="GC42" s="150"/>
      <c r="GD42" s="150"/>
      <c r="GE42" s="150"/>
      <c r="GF42" s="150"/>
      <c r="GG42" s="150"/>
      <c r="GH42" s="150"/>
      <c r="GI42" s="150"/>
      <c r="GJ42" s="150"/>
      <c r="GK42" s="151">
        <v>45008</v>
      </c>
      <c r="GL42" s="150"/>
      <c r="GM42" s="150"/>
      <c r="GN42" s="150"/>
      <c r="GO42" s="150"/>
      <c r="GP42" s="150"/>
      <c r="GQ42" s="150"/>
      <c r="GR42" s="150"/>
      <c r="GS42" s="150"/>
      <c r="GT42" s="150"/>
      <c r="GU42" s="150"/>
      <c r="GV42" s="150"/>
      <c r="GW42" s="150"/>
      <c r="GX42" s="150"/>
      <c r="GY42" s="150"/>
      <c r="GZ42" s="150"/>
      <c r="HA42" s="150"/>
      <c r="HB42" s="150"/>
      <c r="HC42" s="150"/>
      <c r="HD42" s="150"/>
      <c r="HE42" s="150"/>
      <c r="HF42" s="150"/>
      <c r="HG42" s="150"/>
      <c r="HH42" s="150"/>
      <c r="HI42" s="150"/>
      <c r="HJ42" s="150"/>
      <c r="HK42" s="150"/>
      <c r="HL42" s="150"/>
      <c r="HM42" s="150"/>
      <c r="HN42" s="150"/>
      <c r="HO42" s="150"/>
      <c r="HP42" s="150"/>
      <c r="HQ42" s="150"/>
      <c r="HR42" s="150"/>
      <c r="HS42" s="150"/>
    </row>
    <row r="43" spans="1:227" x14ac:dyDescent="0.3">
      <c r="A43" s="286"/>
      <c r="B43" s="370"/>
      <c r="C43" s="357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41"/>
      <c r="CC43" s="1"/>
      <c r="CD43" s="41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  <c r="EE43" s="34"/>
      <c r="EF43" s="34"/>
      <c r="EG43" s="34"/>
      <c r="EH43" s="34"/>
      <c r="EI43" s="34"/>
      <c r="EJ43" s="34"/>
      <c r="EK43" s="34"/>
      <c r="EL43" s="34"/>
      <c r="EM43" s="362"/>
      <c r="EN43" s="41"/>
      <c r="EO43" s="34"/>
      <c r="EP43" s="41"/>
      <c r="EQ43" s="150"/>
      <c r="ER43" s="150"/>
      <c r="ES43" s="34"/>
      <c r="ET43" s="150"/>
      <c r="EU43" s="34"/>
      <c r="EV43" s="34"/>
      <c r="EW43" s="150"/>
      <c r="EX43" s="150"/>
      <c r="EY43" s="34"/>
      <c r="EZ43" s="34"/>
      <c r="FA43" s="34"/>
      <c r="FB43" s="150"/>
      <c r="FC43" s="34"/>
      <c r="FD43" s="150"/>
      <c r="FE43" s="150"/>
      <c r="FF43" s="150"/>
      <c r="FG43" s="34"/>
      <c r="FH43" s="150"/>
      <c r="FI43" s="34"/>
      <c r="FJ43" s="150"/>
      <c r="FK43" s="150"/>
      <c r="FL43" s="150"/>
      <c r="FM43" s="150"/>
      <c r="FN43" s="150"/>
      <c r="FO43" s="365"/>
      <c r="FP43" s="150"/>
      <c r="FQ43" s="150"/>
      <c r="FR43" s="150"/>
      <c r="FS43" s="150"/>
      <c r="FT43" s="150"/>
      <c r="FU43" s="150"/>
      <c r="FV43" s="150"/>
      <c r="FW43" s="150"/>
      <c r="FX43" s="150"/>
      <c r="FY43" s="150"/>
      <c r="FZ43" s="150"/>
      <c r="GA43" s="150"/>
      <c r="GB43" s="150"/>
      <c r="GC43" s="150"/>
      <c r="GD43" s="150"/>
      <c r="GE43" s="150"/>
      <c r="GF43" s="150"/>
      <c r="GG43" s="150"/>
      <c r="GH43" s="150"/>
      <c r="GI43" s="150"/>
      <c r="GJ43" s="150"/>
      <c r="GK43" s="75"/>
      <c r="GL43" s="150"/>
      <c r="GM43" s="150"/>
      <c r="GN43" s="150"/>
      <c r="GO43" s="150"/>
      <c r="GP43" s="150"/>
      <c r="GQ43" s="150"/>
      <c r="GR43" s="150"/>
      <c r="GS43" s="150"/>
      <c r="GT43" s="150"/>
      <c r="GU43" s="150"/>
      <c r="GV43" s="150"/>
      <c r="GW43" s="150"/>
      <c r="GX43" s="150"/>
      <c r="GY43" s="150"/>
      <c r="GZ43" s="150"/>
      <c r="HA43" s="150"/>
      <c r="HB43" s="150"/>
      <c r="HC43" s="150"/>
      <c r="HD43" s="150"/>
      <c r="HE43" s="150"/>
      <c r="HF43" s="150"/>
      <c r="HG43" s="150"/>
      <c r="HH43" s="150"/>
      <c r="HI43" s="150"/>
      <c r="HJ43" s="150"/>
      <c r="HK43" s="150"/>
      <c r="HL43" s="150"/>
      <c r="HM43" s="150"/>
      <c r="HN43" s="150"/>
      <c r="HO43" s="150"/>
      <c r="HP43" s="150"/>
      <c r="HQ43" s="150"/>
      <c r="HR43" s="150"/>
      <c r="HS43" s="150"/>
    </row>
    <row r="44" spans="1:227" s="34" customFormat="1" x14ac:dyDescent="0.3">
      <c r="A44" s="286"/>
      <c r="B44" s="370"/>
      <c r="C44" s="357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T44" s="41"/>
      <c r="AU44" s="41"/>
      <c r="AV44" s="41"/>
      <c r="AW44" s="41"/>
      <c r="AX44" s="41"/>
      <c r="AY44" s="41"/>
      <c r="AZ44" s="41"/>
      <c r="BA44" s="41"/>
      <c r="BB44" s="41"/>
      <c r="BC44" s="41"/>
      <c r="BD44" s="41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41"/>
      <c r="CC44" s="1"/>
      <c r="CD44" s="41"/>
      <c r="DH44" s="362"/>
      <c r="DI44" s="362"/>
      <c r="DJ44" s="362"/>
      <c r="DK44" s="362"/>
      <c r="DL44" s="362"/>
      <c r="DM44" s="362"/>
      <c r="DN44" s="362"/>
      <c r="DO44" s="362"/>
      <c r="DP44" s="362"/>
      <c r="DQ44" s="362"/>
      <c r="DR44" s="362"/>
      <c r="DS44" s="362"/>
      <c r="DT44" s="362"/>
      <c r="DU44" s="362"/>
      <c r="DV44" s="362"/>
      <c r="DW44" s="362"/>
      <c r="DX44" s="362"/>
      <c r="DY44" s="362"/>
      <c r="DZ44" s="362"/>
      <c r="EA44" s="362"/>
      <c r="EB44" s="362"/>
      <c r="EC44" s="362"/>
      <c r="ED44" s="362"/>
      <c r="EE44" s="362"/>
      <c r="EF44" s="362"/>
      <c r="EG44" s="362"/>
      <c r="EH44" s="362"/>
      <c r="EI44" s="362"/>
      <c r="EJ44" s="362"/>
      <c r="EK44" s="362"/>
      <c r="EL44" s="362"/>
      <c r="EN44" s="41"/>
      <c r="EP44" s="41"/>
      <c r="EQ44" s="71"/>
      <c r="ER44" s="71"/>
      <c r="ES44" s="11"/>
      <c r="ET44" s="71"/>
      <c r="EV44" s="11"/>
      <c r="EW44" s="71"/>
      <c r="EX44" s="71"/>
      <c r="EY44" s="11"/>
      <c r="EZ44" s="11"/>
      <c r="FA44" s="11"/>
      <c r="FB44" s="71"/>
      <c r="FC44" s="11"/>
      <c r="FD44" s="71"/>
      <c r="FE44" s="71"/>
      <c r="FF44" s="71"/>
      <c r="FG44" s="11"/>
      <c r="FH44" s="71"/>
      <c r="FI44" s="11"/>
      <c r="FJ44" s="71"/>
      <c r="FK44" s="71"/>
      <c r="FL44" s="71"/>
      <c r="FM44" s="71"/>
      <c r="FN44" s="71"/>
      <c r="FP44" s="71"/>
      <c r="FQ44" s="71"/>
      <c r="FR44" s="71"/>
      <c r="FS44" s="71"/>
      <c r="FT44" s="71"/>
      <c r="FU44" s="71"/>
      <c r="FV44" s="71"/>
      <c r="FW44" s="71"/>
      <c r="FX44" s="71"/>
      <c r="FY44" s="71"/>
      <c r="FZ44" s="71"/>
      <c r="GA44" s="71"/>
      <c r="GB44" s="71"/>
      <c r="GC44" s="71"/>
      <c r="GD44" s="71"/>
      <c r="GE44" s="71"/>
      <c r="GF44" s="71"/>
      <c r="GG44" s="71"/>
      <c r="GH44" s="71"/>
      <c r="GI44" s="71"/>
      <c r="GJ44" s="71"/>
      <c r="GK44" s="341"/>
      <c r="GL44" s="71"/>
      <c r="GM44" s="71"/>
      <c r="GN44" s="71"/>
      <c r="GO44" s="71"/>
      <c r="GP44" s="71"/>
      <c r="GQ44" s="71"/>
      <c r="GR44" s="71"/>
      <c r="GS44" s="71"/>
      <c r="GT44" s="71"/>
      <c r="GU44" s="71"/>
      <c r="GV44" s="71"/>
      <c r="GW44" s="71"/>
      <c r="GX44" s="71"/>
      <c r="GY44" s="71"/>
      <c r="GZ44" s="71"/>
      <c r="HA44" s="71"/>
      <c r="HB44" s="71"/>
      <c r="HC44" s="71"/>
      <c r="HD44" s="71"/>
      <c r="HE44" s="71"/>
      <c r="HF44" s="71"/>
      <c r="HG44" s="71"/>
      <c r="HH44" s="71"/>
      <c r="HI44" s="71"/>
      <c r="HJ44" s="71"/>
      <c r="HK44" s="71"/>
      <c r="HL44" s="71"/>
      <c r="HM44" s="71"/>
      <c r="HN44" s="71"/>
      <c r="HO44" s="71"/>
      <c r="HP44" s="71"/>
      <c r="HQ44" s="71"/>
      <c r="HR44" s="71"/>
      <c r="HS44" s="71"/>
    </row>
    <row r="45" spans="1:227" x14ac:dyDescent="0.3">
      <c r="A45" s="468"/>
      <c r="B45" s="467"/>
      <c r="C45" s="469"/>
      <c r="AC45" s="347"/>
      <c r="AD45" s="347"/>
      <c r="AH45" s="41"/>
    </row>
    <row r="46" spans="1:227" x14ac:dyDescent="0.3">
      <c r="A46" s="177"/>
      <c r="C46" s="178"/>
      <c r="D46" s="178"/>
      <c r="AC46" s="347"/>
      <c r="AD46" s="347"/>
    </row>
    <row r="47" spans="1:227" x14ac:dyDescent="0.3">
      <c r="A47" s="472" t="s">
        <v>177</v>
      </c>
      <c r="B47" s="467"/>
      <c r="C47" s="467"/>
      <c r="D47" s="469"/>
      <c r="F47" s="356">
        <v>46013</v>
      </c>
      <c r="G47" s="356">
        <v>46020</v>
      </c>
      <c r="H47" s="356">
        <v>46027</v>
      </c>
      <c r="I47" s="356">
        <v>46034</v>
      </c>
      <c r="J47" s="356">
        <v>46041</v>
      </c>
      <c r="K47" s="356">
        <v>46048</v>
      </c>
      <c r="L47" s="356">
        <v>46055</v>
      </c>
      <c r="M47" s="356">
        <v>46062</v>
      </c>
      <c r="N47" s="356">
        <v>46069</v>
      </c>
      <c r="O47" s="356">
        <v>46076</v>
      </c>
      <c r="P47" s="356">
        <v>46083</v>
      </c>
      <c r="Q47" s="356">
        <v>46090</v>
      </c>
      <c r="R47" s="356">
        <v>46097</v>
      </c>
      <c r="S47" s="356">
        <v>46104</v>
      </c>
      <c r="T47" s="356">
        <v>46111</v>
      </c>
      <c r="U47" s="356">
        <v>46118</v>
      </c>
      <c r="V47" s="356">
        <v>46125</v>
      </c>
      <c r="W47" s="356">
        <v>46132</v>
      </c>
      <c r="X47" s="356">
        <v>46139</v>
      </c>
      <c r="Y47" s="356">
        <v>46146</v>
      </c>
      <c r="Z47" s="356">
        <v>46154</v>
      </c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T47" s="11"/>
      <c r="AU47" s="11"/>
      <c r="AV47" s="11"/>
    </row>
    <row r="48" spans="1:227" x14ac:dyDescent="0.3">
      <c r="A48" s="470" t="s">
        <v>178</v>
      </c>
      <c r="B48" s="467"/>
      <c r="C48" s="467"/>
      <c r="D48" s="469"/>
      <c r="F48" s="358">
        <v>29</v>
      </c>
      <c r="G48" s="358">
        <v>28</v>
      </c>
      <c r="H48" s="358">
        <v>28</v>
      </c>
      <c r="I48" s="358">
        <v>16</v>
      </c>
      <c r="J48" s="358">
        <v>14</v>
      </c>
      <c r="K48" s="358">
        <v>0</v>
      </c>
      <c r="L48" s="358">
        <v>0</v>
      </c>
      <c r="M48" s="358">
        <v>0</v>
      </c>
      <c r="N48" s="358">
        <v>0</v>
      </c>
      <c r="O48" s="358">
        <v>0</v>
      </c>
      <c r="P48" s="358">
        <v>0</v>
      </c>
      <c r="Q48" s="358">
        <v>0</v>
      </c>
      <c r="R48" s="358">
        <v>0</v>
      </c>
      <c r="S48" s="358">
        <v>0</v>
      </c>
      <c r="T48" s="358">
        <v>0</v>
      </c>
      <c r="U48" s="358">
        <v>0</v>
      </c>
      <c r="V48" s="358">
        <v>0</v>
      </c>
      <c r="W48" s="358">
        <v>0</v>
      </c>
      <c r="X48" s="358">
        <v>0</v>
      </c>
      <c r="Y48" s="358">
        <v>0</v>
      </c>
      <c r="Z48" s="358">
        <v>0</v>
      </c>
      <c r="AH48" s="11"/>
    </row>
    <row r="49" spans="1:26" x14ac:dyDescent="0.3">
      <c r="A49" s="470" t="s">
        <v>179</v>
      </c>
      <c r="B49" s="467"/>
      <c r="C49" s="467"/>
      <c r="D49" s="469"/>
      <c r="F49" s="358">
        <v>0</v>
      </c>
      <c r="G49" s="358">
        <v>0</v>
      </c>
      <c r="H49" s="358">
        <v>0</v>
      </c>
      <c r="I49" s="358">
        <v>0</v>
      </c>
      <c r="J49" s="358">
        <v>0</v>
      </c>
      <c r="K49" s="358">
        <v>0</v>
      </c>
      <c r="L49" s="358">
        <v>0</v>
      </c>
      <c r="M49" s="358">
        <v>0</v>
      </c>
      <c r="N49" s="358">
        <v>0</v>
      </c>
      <c r="O49" s="358">
        <v>0</v>
      </c>
      <c r="P49" s="358">
        <v>0</v>
      </c>
      <c r="Q49" s="358">
        <v>0</v>
      </c>
      <c r="R49" s="358">
        <v>0</v>
      </c>
      <c r="S49" s="358">
        <v>0</v>
      </c>
      <c r="T49" s="358">
        <v>0</v>
      </c>
      <c r="U49" s="358">
        <v>0</v>
      </c>
      <c r="V49" s="358">
        <v>0</v>
      </c>
      <c r="W49" s="358">
        <v>0</v>
      </c>
      <c r="X49" s="358">
        <v>0</v>
      </c>
      <c r="Y49" s="358">
        <v>0</v>
      </c>
      <c r="Z49" s="358">
        <v>0</v>
      </c>
    </row>
  </sheetData>
  <mergeCells count="12">
    <mergeCell ref="B2:D2"/>
    <mergeCell ref="D5:D6"/>
    <mergeCell ref="A48:D48"/>
    <mergeCell ref="C5:C6"/>
    <mergeCell ref="A49:D49"/>
    <mergeCell ref="A47:D47"/>
    <mergeCell ref="B5:B6"/>
    <mergeCell ref="A5:A6"/>
    <mergeCell ref="A42:C42"/>
    <mergeCell ref="AX7:BF7"/>
    <mergeCell ref="B3:D3"/>
    <mergeCell ref="A45:C45"/>
  </mergeCells>
  <printOptions horizontalCentered="1" verticalCentered="1"/>
  <pageMargins left="0.15748031496062989" right="0.23622047244094491" top="0.74803149606299213" bottom="0.74803149606299213" header="0.31496062992125978" footer="0.31496062992125978"/>
  <pageSetup paperSize="9" scale="61" fitToHeight="0" orientation="landscape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42">
    <tabColor theme="9"/>
  </sheetPr>
  <dimension ref="A1:GW64"/>
  <sheetViews>
    <sheetView showGridLines="0" topLeftCell="A4" zoomScale="80" zoomScaleNormal="80" zoomScaleSheetLayoutView="50" workbookViewId="0">
      <selection activeCell="AF17" sqref="AF17"/>
    </sheetView>
  </sheetViews>
  <sheetFormatPr defaultColWidth="9.140625" defaultRowHeight="15" x14ac:dyDescent="0.25"/>
  <cols>
    <col min="1" max="1" width="28.28515625" customWidth="1"/>
    <col min="2" max="2" width="9" customWidth="1"/>
    <col min="3" max="3" width="15.140625" customWidth="1"/>
    <col min="4" max="4" width="14.42578125" customWidth="1"/>
    <col min="5" max="5" width="2" customWidth="1"/>
    <col min="6" max="6" width="8.28515625" hidden="1" customWidth="1"/>
    <col min="7" max="25" width="13" hidden="1" customWidth="1"/>
    <col min="26" max="26" width="8.28515625" hidden="1" customWidth="1"/>
    <col min="27" max="29" width="13" hidden="1" customWidth="1"/>
    <col min="30" max="31" width="13" customWidth="1"/>
    <col min="32" max="32" width="9.28515625" customWidth="1"/>
    <col min="33" max="33" width="1.28515625" customWidth="1"/>
    <col min="34" max="34" width="22.7109375" customWidth="1"/>
    <col min="35" max="35" width="1.28515625" customWidth="1"/>
    <col min="36" max="36" width="15.5703125" customWidth="1"/>
    <col min="37" max="37" width="1.140625" customWidth="1"/>
    <col min="38" max="38" width="8.7109375" customWidth="1"/>
    <col min="39" max="39" width="14.42578125" customWidth="1"/>
    <col min="40" max="40" width="8.7109375" hidden="1" customWidth="1"/>
    <col min="41" max="41" width="14.42578125" hidden="1" customWidth="1"/>
    <col min="42" max="42" width="8.7109375" hidden="1" customWidth="1"/>
    <col min="43" max="44" width="13" hidden="1" customWidth="1"/>
    <col min="45" max="45" width="8.7109375" hidden="1" customWidth="1"/>
    <col min="46" max="50" width="13" hidden="1" customWidth="1"/>
    <col min="51" max="51" width="12.85546875" hidden="1" customWidth="1"/>
    <col min="52" max="52" width="8.7109375" hidden="1" customWidth="1"/>
    <col min="53" max="53" width="12.85546875" hidden="1" customWidth="1"/>
    <col min="54" max="54" width="8.7109375" hidden="1" customWidth="1"/>
    <col min="55" max="56" width="13" hidden="1" customWidth="1"/>
    <col min="57" max="57" width="9.140625" customWidth="1"/>
    <col min="58" max="58" width="21.85546875" customWidth="1"/>
    <col min="59" max="59" width="9.140625" customWidth="1"/>
    <col min="60" max="64" width="13" hidden="1" customWidth="1"/>
    <col min="65" max="65" width="9.140625" hidden="1" customWidth="1"/>
    <col min="66" max="68" width="13" hidden="1" customWidth="1"/>
    <col min="69" max="70" width="13" customWidth="1"/>
  </cols>
  <sheetData>
    <row r="1" spans="1:71" ht="23.25" customHeight="1" x14ac:dyDescent="0.25">
      <c r="A1" s="477" t="s">
        <v>117</v>
      </c>
      <c r="B1" s="478"/>
      <c r="C1" s="478"/>
      <c r="D1" s="478"/>
      <c r="E1" s="478"/>
      <c r="F1" s="478"/>
      <c r="G1" s="478"/>
      <c r="H1" s="478"/>
      <c r="I1" s="478"/>
      <c r="J1" s="478"/>
      <c r="K1" s="478"/>
      <c r="L1" s="478"/>
      <c r="M1" s="478"/>
      <c r="N1" s="478"/>
      <c r="O1" s="478"/>
      <c r="P1" s="478"/>
      <c r="Q1" s="478"/>
      <c r="R1" s="478"/>
      <c r="S1" s="478"/>
      <c r="T1" s="478"/>
      <c r="U1" s="478"/>
      <c r="V1" s="478"/>
      <c r="W1" s="478"/>
      <c r="X1" s="478"/>
      <c r="Y1" s="478"/>
      <c r="Z1" s="478"/>
      <c r="AA1" s="478"/>
      <c r="AB1" s="478"/>
      <c r="AG1" s="338"/>
      <c r="AH1" s="353"/>
      <c r="AI1" s="353"/>
      <c r="AJ1" s="353"/>
      <c r="AK1" s="353"/>
      <c r="AL1" s="353"/>
      <c r="AM1" s="353"/>
      <c r="AN1" s="353"/>
      <c r="AO1" s="353"/>
      <c r="AP1" s="353"/>
      <c r="AQ1" s="353"/>
      <c r="AR1" s="353"/>
      <c r="AS1" s="353"/>
      <c r="AT1" s="353"/>
      <c r="AU1" s="353"/>
      <c r="AV1" s="353"/>
      <c r="AW1" s="353"/>
      <c r="AX1" s="353"/>
      <c r="AY1" s="353"/>
      <c r="AZ1" s="353"/>
      <c r="BA1" s="353"/>
      <c r="BB1" s="353"/>
      <c r="BC1" s="353"/>
      <c r="BD1" s="353"/>
    </row>
    <row r="2" spans="1:71" ht="18.75" x14ac:dyDescent="0.3">
      <c r="A2" s="28" t="s">
        <v>118</v>
      </c>
      <c r="B2" s="473" t="s">
        <v>181</v>
      </c>
      <c r="C2" s="463"/>
      <c r="D2" s="464"/>
      <c r="AG2" s="11"/>
      <c r="AH2" s="11"/>
    </row>
    <row r="3" spans="1:71" ht="18.75" x14ac:dyDescent="0.3">
      <c r="A3" s="28" t="s">
        <v>120</v>
      </c>
      <c r="B3" s="465" t="s">
        <v>182</v>
      </c>
      <c r="C3" s="463"/>
      <c r="D3" s="464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442"/>
      <c r="AC3" s="442"/>
      <c r="AD3" s="442"/>
      <c r="AE3" s="442"/>
      <c r="AF3" s="7"/>
      <c r="AG3" s="7"/>
      <c r="AH3" s="11"/>
      <c r="AI3" s="7"/>
    </row>
    <row r="4" spans="1:71" ht="18.75" x14ac:dyDescent="0.3">
      <c r="AG4" s="74"/>
      <c r="AK4" s="154"/>
      <c r="AL4" s="387"/>
      <c r="AM4" s="387"/>
      <c r="AN4" s="387"/>
      <c r="AO4" s="387"/>
      <c r="AP4" s="387"/>
      <c r="AQ4" s="387"/>
      <c r="AR4" s="387"/>
      <c r="AS4" s="387"/>
      <c r="AT4" s="387"/>
      <c r="AU4" s="387"/>
      <c r="AV4" s="387"/>
      <c r="AW4" s="387"/>
      <c r="AX4" s="387"/>
      <c r="AY4" s="387"/>
      <c r="AZ4" s="387"/>
      <c r="BA4" s="387"/>
      <c r="BB4" s="387"/>
      <c r="BC4" s="387"/>
      <c r="BD4" s="387"/>
    </row>
    <row r="5" spans="1:71" ht="21.75" customHeight="1" x14ac:dyDescent="0.3">
      <c r="A5" s="476" t="s">
        <v>122</v>
      </c>
      <c r="B5" s="471" t="s">
        <v>123</v>
      </c>
      <c r="C5" s="471" t="s">
        <v>124</v>
      </c>
      <c r="D5" s="474" t="s">
        <v>125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116"/>
      <c r="AH5" s="29" t="s">
        <v>126</v>
      </c>
      <c r="AJ5" s="9" t="s">
        <v>127</v>
      </c>
      <c r="AK5" s="363">
        <v>46161.483284357688</v>
      </c>
      <c r="AL5" s="363">
        <v>46156</v>
      </c>
      <c r="AM5" s="339" t="s">
        <v>128</v>
      </c>
      <c r="AN5" s="363">
        <v>46142</v>
      </c>
      <c r="AO5" s="339" t="s">
        <v>128</v>
      </c>
      <c r="AP5" s="363">
        <v>46114</v>
      </c>
      <c r="AQ5" s="409">
        <v>46065</v>
      </c>
      <c r="AR5" s="363">
        <v>46092</v>
      </c>
      <c r="AS5" s="363">
        <v>46056</v>
      </c>
      <c r="AT5" s="363">
        <v>46048</v>
      </c>
      <c r="AU5" s="363">
        <v>46043</v>
      </c>
      <c r="AV5" s="363">
        <v>46035</v>
      </c>
      <c r="AW5" s="363">
        <v>46024</v>
      </c>
      <c r="AX5" s="363">
        <v>46017</v>
      </c>
      <c r="AY5" s="371" t="s">
        <v>128</v>
      </c>
      <c r="AZ5" s="363">
        <v>46007</v>
      </c>
      <c r="BA5" s="371" t="s">
        <v>128</v>
      </c>
      <c r="BB5" s="363">
        <v>46001</v>
      </c>
      <c r="BC5" s="363">
        <v>45994</v>
      </c>
      <c r="BD5" s="363">
        <v>45986</v>
      </c>
    </row>
    <row r="6" spans="1:71" s="3" customFormat="1" ht="18.75" x14ac:dyDescent="0.3">
      <c r="A6" s="461"/>
      <c r="B6" s="461"/>
      <c r="C6" s="461"/>
      <c r="D6" s="461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13">
        <v>46160</v>
      </c>
      <c r="AB6" s="13">
        <v>46161.480125300928</v>
      </c>
      <c r="AC6" s="13">
        <v>46161.480798888893</v>
      </c>
      <c r="AD6" s="13">
        <v>46161.482956643522</v>
      </c>
      <c r="AE6" s="13">
        <v>46161.483285241527</v>
      </c>
      <c r="AF6" s="35" t="s">
        <v>129</v>
      </c>
      <c r="AG6" s="116"/>
      <c r="AH6" s="180">
        <v>46156</v>
      </c>
      <c r="AI6" s="31"/>
      <c r="AJ6" s="179"/>
      <c r="AK6" s="363"/>
      <c r="AL6" s="363"/>
      <c r="AM6" s="339">
        <v>46148</v>
      </c>
      <c r="AN6" s="363">
        <v>46153</v>
      </c>
      <c r="AO6" s="339">
        <v>46146</v>
      </c>
      <c r="AP6" s="363">
        <v>46125</v>
      </c>
      <c r="AQ6" s="409">
        <v>46112</v>
      </c>
      <c r="AR6" s="363">
        <v>46100</v>
      </c>
      <c r="AS6" s="363">
        <v>46062</v>
      </c>
      <c r="AT6" s="363">
        <v>46056</v>
      </c>
      <c r="AU6" s="363">
        <v>46048</v>
      </c>
      <c r="AV6" s="363">
        <v>46041</v>
      </c>
      <c r="AW6" s="363">
        <v>46037</v>
      </c>
      <c r="AX6" s="363">
        <v>46028</v>
      </c>
      <c r="AY6" s="371">
        <v>46386</v>
      </c>
      <c r="AZ6" s="363">
        <v>46014</v>
      </c>
      <c r="BA6" s="371">
        <v>46014</v>
      </c>
      <c r="BB6" s="363">
        <v>46009</v>
      </c>
      <c r="BC6" s="363">
        <v>46003</v>
      </c>
      <c r="BD6" s="363">
        <v>45994</v>
      </c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</row>
    <row r="7" spans="1:71" s="3" customFormat="1" ht="21.75" customHeight="1" x14ac:dyDescent="0.3">
      <c r="A7" s="4" t="s">
        <v>130</v>
      </c>
      <c r="B7" s="4"/>
      <c r="C7" s="5"/>
      <c r="D7" s="233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1"/>
      <c r="AH7" s="84"/>
      <c r="AI7" s="11"/>
      <c r="AJ7" s="111"/>
      <c r="AK7" s="12"/>
      <c r="AL7" s="12"/>
      <c r="AM7" s="12"/>
      <c r="AN7" s="12"/>
      <c r="AO7" s="12"/>
      <c r="AP7" s="12"/>
      <c r="AQ7" s="12" t="s">
        <v>131</v>
      </c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466"/>
      <c r="BC7" s="466"/>
      <c r="BD7" s="467"/>
      <c r="BE7" s="467"/>
      <c r="BF7" s="467"/>
      <c r="BG7" s="467"/>
      <c r="BH7" s="467"/>
      <c r="BI7" s="467"/>
      <c r="BJ7" s="467"/>
      <c r="BK7" s="447"/>
      <c r="BL7" s="447"/>
      <c r="BM7" s="452"/>
      <c r="BN7" s="443"/>
      <c r="BO7" s="444"/>
      <c r="BP7" s="444"/>
      <c r="BQ7" s="444"/>
      <c r="BR7" s="444"/>
      <c r="BS7" s="412"/>
    </row>
    <row r="8" spans="1:71" s="3" customFormat="1" ht="19.5" customHeight="1" x14ac:dyDescent="0.3">
      <c r="A8" s="21" t="s">
        <v>132</v>
      </c>
      <c r="B8" s="6">
        <v>300</v>
      </c>
      <c r="C8" s="82">
        <v>187.12</v>
      </c>
      <c r="D8" s="234">
        <v>250</v>
      </c>
      <c r="E8" s="11"/>
      <c r="F8" s="39">
        <v>430</v>
      </c>
      <c r="G8" s="39">
        <v>717</v>
      </c>
      <c r="H8" s="39">
        <f>570+AT8</f>
        <v>570</v>
      </c>
      <c r="I8" s="39">
        <v>817</v>
      </c>
      <c r="J8" s="39">
        <v>800</v>
      </c>
      <c r="K8" s="39">
        <v>720</v>
      </c>
      <c r="L8" s="39">
        <v>720</v>
      </c>
      <c r="M8" s="39">
        <v>670</v>
      </c>
      <c r="N8" s="39">
        <v>600</v>
      </c>
      <c r="O8" s="39">
        <v>600</v>
      </c>
      <c r="P8" s="39">
        <v>550</v>
      </c>
      <c r="Q8" s="39">
        <v>500</v>
      </c>
      <c r="R8" s="39">
        <v>450</v>
      </c>
      <c r="S8" s="39">
        <v>420</v>
      </c>
      <c r="T8" s="39">
        <v>340</v>
      </c>
      <c r="U8" s="39">
        <v>300</v>
      </c>
      <c r="V8" s="39">
        <v>270</v>
      </c>
      <c r="W8" s="39">
        <v>270</v>
      </c>
      <c r="X8" s="39">
        <v>210</v>
      </c>
      <c r="Y8" s="39">
        <f>190+AJ8300</f>
        <v>190</v>
      </c>
      <c r="Z8" s="39">
        <v>280</v>
      </c>
      <c r="AA8" s="39"/>
      <c r="AB8" s="6"/>
      <c r="AC8" s="6"/>
      <c r="AD8" s="6"/>
      <c r="AE8" s="6"/>
      <c r="AF8" s="372">
        <f ca="1">AD8+IF(NOT(ISBLANK(OFFSET(AF8,0,6))),N(OFFSET(AF8,0,6)),N(OFFSET(AF8,0,7)))-AE8</f>
        <v>0</v>
      </c>
      <c r="AG8" s="355"/>
      <c r="AH8" s="78"/>
      <c r="AI8" s="11"/>
      <c r="AJ8" s="32"/>
      <c r="AK8" s="445">
        <v>0</v>
      </c>
      <c r="AL8" s="19">
        <v>0</v>
      </c>
      <c r="AM8" s="253" t="s">
        <v>183</v>
      </c>
      <c r="AN8" s="19">
        <v>300</v>
      </c>
      <c r="AO8" s="296"/>
      <c r="AP8" s="19"/>
      <c r="AQ8" s="19"/>
      <c r="AR8" s="19"/>
      <c r="AS8" s="19"/>
      <c r="AT8" s="19"/>
      <c r="AU8" s="19"/>
      <c r="AV8" s="19"/>
      <c r="AW8" s="19"/>
      <c r="AX8" s="19">
        <v>300</v>
      </c>
      <c r="AY8" s="19"/>
      <c r="AZ8" s="19"/>
      <c r="BA8" s="19"/>
      <c r="BB8" s="19">
        <v>300</v>
      </c>
      <c r="BC8" s="19">
        <v>300</v>
      </c>
      <c r="BD8" s="19"/>
      <c r="BF8" s="389" t="s">
        <v>130</v>
      </c>
      <c r="BG8" s="376" t="s">
        <v>123</v>
      </c>
      <c r="BH8" s="13">
        <v>46118</v>
      </c>
      <c r="BI8" s="13">
        <v>46125</v>
      </c>
      <c r="BJ8" s="13">
        <v>46132</v>
      </c>
      <c r="BK8" s="13">
        <v>46139</v>
      </c>
      <c r="BL8" s="13">
        <v>46146</v>
      </c>
      <c r="BM8" s="13">
        <v>46154</v>
      </c>
      <c r="BN8" s="13">
        <v>46160</v>
      </c>
      <c r="BO8" s="13">
        <v>46161.480124791669</v>
      </c>
      <c r="BP8" s="13">
        <v>46161.480798356482</v>
      </c>
      <c r="BQ8" s="13">
        <v>46161.482956192129</v>
      </c>
      <c r="BR8" s="13">
        <v>46161.48328473897</v>
      </c>
      <c r="BS8" s="35" t="s">
        <v>129</v>
      </c>
    </row>
    <row r="9" spans="1:71" s="3" customFormat="1" ht="19.5" customHeight="1" x14ac:dyDescent="0.3">
      <c r="A9" s="21" t="s">
        <v>134</v>
      </c>
      <c r="B9" s="6">
        <v>200</v>
      </c>
      <c r="C9" s="82">
        <v>193.08</v>
      </c>
      <c r="D9" s="234">
        <v>500</v>
      </c>
      <c r="E9" s="11"/>
      <c r="F9" s="39">
        <f>160+AV9+200</f>
        <v>760</v>
      </c>
      <c r="G9" s="39">
        <f>0+200</f>
        <v>200</v>
      </c>
      <c r="H9" s="39">
        <f>110+AT9</f>
        <v>510</v>
      </c>
      <c r="I9" s="39">
        <v>740</v>
      </c>
      <c r="J9" s="39">
        <f>560+AR9</f>
        <v>960</v>
      </c>
      <c r="K9" s="39">
        <v>780</v>
      </c>
      <c r="L9" s="39">
        <f>740+AP9</f>
        <v>940</v>
      </c>
      <c r="M9" s="39">
        <v>1120</v>
      </c>
      <c r="N9" s="39">
        <v>800</v>
      </c>
      <c r="O9" s="39">
        <v>740</v>
      </c>
      <c r="P9" s="39">
        <v>600</v>
      </c>
      <c r="Q9" s="39">
        <v>420</v>
      </c>
      <c r="R9" s="39">
        <f>300+AN9</f>
        <v>700</v>
      </c>
      <c r="S9" s="39">
        <v>600</v>
      </c>
      <c r="T9" s="39">
        <v>460</v>
      </c>
      <c r="U9" s="39">
        <v>340</v>
      </c>
      <c r="V9" s="39">
        <v>340</v>
      </c>
      <c r="W9" s="39">
        <v>340</v>
      </c>
      <c r="X9" s="39">
        <v>340</v>
      </c>
      <c r="Y9" s="39">
        <f>340+AJ9</f>
        <v>340</v>
      </c>
      <c r="Z9" s="39">
        <v>460</v>
      </c>
      <c r="AA9" s="39"/>
      <c r="AB9" s="6"/>
      <c r="AC9" s="6"/>
      <c r="AD9" s="6"/>
      <c r="AE9" s="6"/>
      <c r="AF9" s="372">
        <f ca="1">AD9+IF(NOT(ISBLANK(OFFSET(AF9,0,6))),N(OFFSET(AF9,0,6)),N(OFFSET(AF9,0,7)))-AE9</f>
        <v>0</v>
      </c>
      <c r="AG9" s="109"/>
      <c r="AH9" s="78"/>
      <c r="AI9" s="11"/>
      <c r="AJ9" s="32"/>
      <c r="AK9" s="446">
        <v>0</v>
      </c>
      <c r="AL9" s="296">
        <v>0</v>
      </c>
      <c r="AM9" s="296"/>
      <c r="AN9" s="296">
        <v>400</v>
      </c>
      <c r="AO9" s="296"/>
      <c r="AP9" s="19">
        <v>200</v>
      </c>
      <c r="AQ9" s="117">
        <v>1000</v>
      </c>
      <c r="AR9" s="19">
        <v>400</v>
      </c>
      <c r="AS9" s="19"/>
      <c r="AT9" s="19">
        <v>400</v>
      </c>
      <c r="AU9" s="19"/>
      <c r="AV9" s="19">
        <v>400</v>
      </c>
      <c r="AW9" s="19"/>
      <c r="AX9" s="19">
        <v>800</v>
      </c>
      <c r="AY9" s="253" t="s">
        <v>184</v>
      </c>
      <c r="AZ9" s="19">
        <v>400</v>
      </c>
      <c r="BA9" s="253" t="s">
        <v>185</v>
      </c>
      <c r="BB9" s="19">
        <v>200</v>
      </c>
      <c r="BC9" s="19"/>
      <c r="BD9" s="19">
        <v>200</v>
      </c>
      <c r="BF9" s="364" t="s">
        <v>136</v>
      </c>
      <c r="BG9" s="135">
        <v>200</v>
      </c>
      <c r="BH9" s="39">
        <f>AM9</f>
        <v>0</v>
      </c>
      <c r="BI9" s="39">
        <v>880</v>
      </c>
      <c r="BJ9" s="39">
        <v>800</v>
      </c>
      <c r="BK9" s="39">
        <v>620</v>
      </c>
      <c r="BL9" s="39">
        <v>535</v>
      </c>
      <c r="BM9" s="39">
        <v>160</v>
      </c>
      <c r="BN9" s="39"/>
      <c r="BO9" s="6"/>
      <c r="BP9" s="6"/>
      <c r="BQ9" s="6"/>
      <c r="BR9" s="6"/>
      <c r="BS9" s="26">
        <f ca="1">BQ9+IF(NOT(ISBLANK(OFFSET(BS9,0,6))),N(OFFSET(BS9,0,6)),N(OFFSET(BS9,0,7)))-BR9</f>
        <v>0</v>
      </c>
    </row>
    <row r="10" spans="1:71" s="3" customFormat="1" ht="19.5" customHeight="1" x14ac:dyDescent="0.3">
      <c r="A10" s="21" t="s">
        <v>137</v>
      </c>
      <c r="B10" s="6">
        <v>200</v>
      </c>
      <c r="C10" s="82">
        <v>253.83</v>
      </c>
      <c r="D10" s="234">
        <v>350</v>
      </c>
      <c r="E10" s="11"/>
      <c r="F10" s="39">
        <f>200+AV10</f>
        <v>200</v>
      </c>
      <c r="G10" s="39">
        <v>297</v>
      </c>
      <c r="H10" s="39">
        <f>260+AT10</f>
        <v>260</v>
      </c>
      <c r="I10" s="39">
        <v>580</v>
      </c>
      <c r="J10" s="39">
        <v>530</v>
      </c>
      <c r="K10" s="39">
        <v>460</v>
      </c>
      <c r="L10" s="39">
        <v>380</v>
      </c>
      <c r="M10" s="39">
        <v>500</v>
      </c>
      <c r="N10" s="39">
        <v>400</v>
      </c>
      <c r="O10" s="39">
        <v>340</v>
      </c>
      <c r="P10" s="39">
        <v>260</v>
      </c>
      <c r="Q10" s="39">
        <v>200</v>
      </c>
      <c r="R10" s="39">
        <f>100+AN10</f>
        <v>300</v>
      </c>
      <c r="S10" s="39">
        <v>240</v>
      </c>
      <c r="T10" s="39">
        <v>180</v>
      </c>
      <c r="U10" s="39">
        <v>100</v>
      </c>
      <c r="V10" s="39">
        <v>148</v>
      </c>
      <c r="W10" s="39">
        <v>148</v>
      </c>
      <c r="X10" s="39">
        <v>148</v>
      </c>
      <c r="Y10" s="39">
        <f>148+AJ10</f>
        <v>148</v>
      </c>
      <c r="Z10" s="39">
        <v>260</v>
      </c>
      <c r="AA10" s="39"/>
      <c r="AB10" s="6"/>
      <c r="AC10" s="6"/>
      <c r="AD10" s="6"/>
      <c r="AE10" s="6"/>
      <c r="AF10" s="372">
        <f ca="1">AD10+IF(NOT(ISBLANK(OFFSET(AF10,0,6))),N(OFFSET(AF10,0,6)),N(OFFSET(AF10,0,7)))-AE10</f>
        <v>0</v>
      </c>
      <c r="AG10" s="109"/>
      <c r="AH10" s="78">
        <v>200</v>
      </c>
      <c r="AI10" s="11"/>
      <c r="AJ10" s="32"/>
      <c r="AK10" s="446">
        <v>0</v>
      </c>
      <c r="AL10" s="296">
        <v>0</v>
      </c>
      <c r="AM10" s="296"/>
      <c r="AN10" s="296">
        <v>200</v>
      </c>
      <c r="AO10" s="296"/>
      <c r="AP10" s="19">
        <v>200</v>
      </c>
      <c r="AQ10" s="117">
        <v>600</v>
      </c>
      <c r="AR10" s="19">
        <v>200</v>
      </c>
      <c r="AS10" s="19">
        <v>200</v>
      </c>
      <c r="AT10" s="19"/>
      <c r="AU10" s="19"/>
      <c r="AV10" s="19"/>
      <c r="AW10" s="19"/>
      <c r="AX10" s="19">
        <v>400</v>
      </c>
      <c r="AY10" s="19"/>
      <c r="AZ10" s="19">
        <v>400</v>
      </c>
      <c r="BA10" s="19"/>
      <c r="BB10" s="19"/>
      <c r="BC10" s="19"/>
      <c r="BD10" s="19"/>
      <c r="BF10" s="21" t="s">
        <v>138</v>
      </c>
      <c r="BG10" s="6">
        <v>200</v>
      </c>
      <c r="BH10" s="39">
        <f>AM10</f>
        <v>0</v>
      </c>
      <c r="BI10" s="39">
        <v>460</v>
      </c>
      <c r="BJ10" s="39">
        <v>400</v>
      </c>
      <c r="BK10" s="39">
        <v>320</v>
      </c>
      <c r="BL10" s="39">
        <v>260</v>
      </c>
      <c r="BM10" s="39">
        <v>0</v>
      </c>
      <c r="BN10" s="39"/>
      <c r="BO10" s="6"/>
      <c r="BP10" s="6"/>
      <c r="BQ10" s="6"/>
      <c r="BR10" s="6"/>
      <c r="BS10" s="26">
        <f ca="1">BQ10+IF(NOT(ISBLANK(OFFSET(BS10,0,6))),N(OFFSET(BS10,0,6)),N(OFFSET(BS10,0,7)))-BR10</f>
        <v>0</v>
      </c>
    </row>
    <row r="11" spans="1:71" s="3" customFormat="1" ht="19.5" customHeight="1" x14ac:dyDescent="0.3">
      <c r="A11" s="22" t="s">
        <v>139</v>
      </c>
      <c r="B11" s="6">
        <v>100</v>
      </c>
      <c r="C11" s="82">
        <v>184.57</v>
      </c>
      <c r="D11" s="234">
        <v>50</v>
      </c>
      <c r="E11" s="11"/>
      <c r="F11" s="39">
        <f>0+100</f>
        <v>100</v>
      </c>
      <c r="G11" s="39">
        <v>24</v>
      </c>
      <c r="H11" s="39">
        <f>24+AT11</f>
        <v>24</v>
      </c>
      <c r="I11" s="39">
        <v>79</v>
      </c>
      <c r="J11" s="39">
        <v>55</v>
      </c>
      <c r="K11" s="39">
        <v>35</v>
      </c>
      <c r="L11" s="39">
        <v>15</v>
      </c>
      <c r="M11" s="39">
        <v>115</v>
      </c>
      <c r="N11" s="39">
        <v>115</v>
      </c>
      <c r="O11" s="39">
        <v>100</v>
      </c>
      <c r="P11" s="39">
        <v>60</v>
      </c>
      <c r="Q11" s="39">
        <v>60</v>
      </c>
      <c r="R11" s="39">
        <v>60</v>
      </c>
      <c r="S11" s="39">
        <v>60</v>
      </c>
      <c r="T11" s="39">
        <v>60</v>
      </c>
      <c r="U11" s="39">
        <v>40</v>
      </c>
      <c r="V11" s="39">
        <v>87</v>
      </c>
      <c r="W11" s="39">
        <v>60</v>
      </c>
      <c r="X11" s="39">
        <v>60</v>
      </c>
      <c r="Y11" s="39">
        <f>60+AJ11</f>
        <v>60</v>
      </c>
      <c r="Z11" s="39">
        <v>0</v>
      </c>
      <c r="AA11" s="39"/>
      <c r="AB11" s="6"/>
      <c r="AC11" s="6"/>
      <c r="AD11" s="6"/>
      <c r="AE11" s="6"/>
      <c r="AF11" s="372">
        <f ca="1">AD11+IF(NOT(ISBLANK(OFFSET(AF11,0,6))),N(OFFSET(AF11,0,6)),N(OFFSET(AF11,0,7)))-AE11</f>
        <v>0</v>
      </c>
      <c r="AG11" s="109"/>
      <c r="AH11" s="411" t="s">
        <v>186</v>
      </c>
      <c r="AI11" s="11"/>
      <c r="AJ11" s="32"/>
      <c r="AK11" s="446">
        <v>0</v>
      </c>
      <c r="AL11" s="296">
        <v>0</v>
      </c>
      <c r="AM11" s="296"/>
      <c r="AN11" s="296">
        <v>100</v>
      </c>
      <c r="AO11" s="296"/>
      <c r="AP11" s="19"/>
      <c r="AQ11" s="117">
        <v>100</v>
      </c>
      <c r="AR11" s="19"/>
      <c r="AS11" s="19">
        <v>100</v>
      </c>
      <c r="AT11" s="19"/>
      <c r="AU11" s="19"/>
      <c r="AV11" s="19"/>
      <c r="AW11" s="19"/>
      <c r="AX11" s="19">
        <v>100</v>
      </c>
      <c r="AY11" s="19"/>
      <c r="AZ11" s="19"/>
      <c r="BA11" s="253" t="s">
        <v>187</v>
      </c>
      <c r="BB11" s="19">
        <v>100</v>
      </c>
      <c r="BC11" s="19"/>
      <c r="BD11" s="19"/>
      <c r="BF11" s="22" t="s">
        <v>140</v>
      </c>
      <c r="BG11" s="6">
        <v>100</v>
      </c>
      <c r="BH11" s="39">
        <f>AM11</f>
        <v>0</v>
      </c>
      <c r="BI11" s="39">
        <v>0</v>
      </c>
      <c r="BJ11" s="39">
        <v>0</v>
      </c>
      <c r="BK11" s="39">
        <v>0</v>
      </c>
      <c r="BL11" s="39">
        <v>0</v>
      </c>
      <c r="BM11" s="39">
        <v>0</v>
      </c>
      <c r="BN11" s="39"/>
      <c r="BO11" s="6"/>
      <c r="BP11" s="6"/>
      <c r="BQ11" s="6"/>
      <c r="BR11" s="6"/>
      <c r="BS11" s="26">
        <f ca="1">BQ11+IF(NOT(ISBLANK(OFFSET(BS11,0,6))),N(OFFSET(BS11,0,6)),N(OFFSET(BS11,0,7)))-BR11</f>
        <v>0</v>
      </c>
    </row>
    <row r="12" spans="1:71" s="3" customFormat="1" ht="16.5" customHeight="1" x14ac:dyDescent="0.3">
      <c r="A12" s="1"/>
      <c r="B12" s="1"/>
      <c r="C12" s="64"/>
      <c r="D12" s="235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1"/>
      <c r="AC12" s="1"/>
      <c r="AD12" s="1"/>
      <c r="AE12" s="1"/>
      <c r="AF12" s="2"/>
      <c r="AH12" s="342"/>
      <c r="AI12" s="11"/>
      <c r="AJ12" s="33"/>
      <c r="AK12" s="388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A12" s="75"/>
      <c r="BB12" s="75"/>
      <c r="BC12" s="75"/>
      <c r="BD12" s="75"/>
      <c r="BF12" s="23"/>
      <c r="BG12" s="1"/>
      <c r="BH12" s="2"/>
      <c r="BI12" s="2"/>
      <c r="BJ12" s="2"/>
      <c r="BK12" s="2"/>
      <c r="BL12" s="2"/>
      <c r="BM12" s="2"/>
      <c r="BN12" s="2"/>
      <c r="BO12" s="1"/>
      <c r="BP12" s="1"/>
      <c r="BQ12" s="1"/>
      <c r="BR12" s="1"/>
    </row>
    <row r="13" spans="1:71" s="3" customFormat="1" ht="18.75" x14ac:dyDescent="0.3">
      <c r="A13" s="12" t="s">
        <v>141</v>
      </c>
      <c r="B13" s="12"/>
      <c r="C13" s="65"/>
      <c r="D13" s="395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13">
        <v>46160</v>
      </c>
      <c r="AB13" s="13">
        <v>46161.480125300928</v>
      </c>
      <c r="AC13" s="13">
        <v>46161.480798888893</v>
      </c>
      <c r="AD13" s="13">
        <v>46161.482956643522</v>
      </c>
      <c r="AE13" s="13">
        <v>46161.483285241833</v>
      </c>
      <c r="AF13" s="35" t="s">
        <v>129</v>
      </c>
      <c r="AH13" s="29" t="s">
        <v>126</v>
      </c>
      <c r="AI13" s="11"/>
      <c r="AJ13" s="9" t="s">
        <v>127</v>
      </c>
      <c r="AK13" s="449">
        <v>46161.483284358197</v>
      </c>
      <c r="AL13" s="363">
        <v>46156</v>
      </c>
      <c r="AM13" s="339">
        <v>46148</v>
      </c>
      <c r="AN13" s="363">
        <v>46142</v>
      </c>
      <c r="AO13" s="339">
        <v>46146</v>
      </c>
      <c r="AP13" s="363">
        <v>46114</v>
      </c>
      <c r="AQ13" s="409">
        <v>46065</v>
      </c>
      <c r="AR13" s="363">
        <v>46092</v>
      </c>
      <c r="AS13" s="363">
        <v>46056</v>
      </c>
      <c r="AT13" s="363">
        <v>46048</v>
      </c>
      <c r="AU13" s="363">
        <v>46043</v>
      </c>
      <c r="AV13" s="363">
        <v>46035</v>
      </c>
      <c r="AW13" s="363">
        <v>46024</v>
      </c>
      <c r="AX13" s="363">
        <v>46017</v>
      </c>
      <c r="AY13" s="371">
        <v>46386</v>
      </c>
      <c r="AZ13" s="363">
        <v>46007</v>
      </c>
      <c r="BA13" s="371">
        <v>46014</v>
      </c>
      <c r="BB13" s="363">
        <v>46001</v>
      </c>
      <c r="BC13" s="363">
        <v>45994</v>
      </c>
      <c r="BD13" s="363">
        <v>45986</v>
      </c>
      <c r="BF13" s="389" t="s">
        <v>141</v>
      </c>
      <c r="BG13" s="376" t="s">
        <v>123</v>
      </c>
      <c r="BH13" s="13">
        <v>46118</v>
      </c>
      <c r="BI13" s="13">
        <v>46125</v>
      </c>
      <c r="BJ13" s="13">
        <v>46132</v>
      </c>
      <c r="BK13" s="13">
        <v>46139</v>
      </c>
      <c r="BL13" s="13">
        <v>46146</v>
      </c>
      <c r="BM13" s="13">
        <v>46154</v>
      </c>
      <c r="BN13" s="13">
        <v>46160</v>
      </c>
      <c r="BO13" s="13">
        <v>46161.480124791669</v>
      </c>
      <c r="BP13" s="13">
        <v>46161.480798356482</v>
      </c>
      <c r="BQ13" s="13">
        <v>46161.482956192129</v>
      </c>
      <c r="BR13" s="13">
        <v>46161.483284739268</v>
      </c>
      <c r="BS13" s="35" t="s">
        <v>129</v>
      </c>
    </row>
    <row r="14" spans="1:71" s="3" customFormat="1" ht="18.75" x14ac:dyDescent="0.3">
      <c r="A14" s="25" t="s">
        <v>142</v>
      </c>
      <c r="B14" s="6">
        <v>200</v>
      </c>
      <c r="C14" s="66">
        <v>38</v>
      </c>
      <c r="D14" s="234">
        <v>6</v>
      </c>
      <c r="E14" s="7"/>
      <c r="F14" s="39">
        <v>0</v>
      </c>
      <c r="G14" s="39">
        <v>5</v>
      </c>
      <c r="H14" s="39">
        <v>4</v>
      </c>
      <c r="I14" s="39">
        <v>3</v>
      </c>
      <c r="J14" s="39">
        <f>5+AR14</f>
        <v>7</v>
      </c>
      <c r="K14" s="39">
        <v>8</v>
      </c>
      <c r="L14" s="39">
        <v>6</v>
      </c>
      <c r="M14" s="39">
        <v>7</v>
      </c>
      <c r="N14" s="39">
        <v>6</v>
      </c>
      <c r="O14" s="39">
        <v>6</v>
      </c>
      <c r="P14" s="39">
        <v>4</v>
      </c>
      <c r="Q14" s="39">
        <v>3</v>
      </c>
      <c r="R14" s="39">
        <f>3+AN14</f>
        <v>8</v>
      </c>
      <c r="S14" s="39">
        <v>4</v>
      </c>
      <c r="T14" s="39">
        <v>4</v>
      </c>
      <c r="U14" s="39">
        <v>3</v>
      </c>
      <c r="V14" s="39">
        <v>3</v>
      </c>
      <c r="W14" s="39">
        <v>3</v>
      </c>
      <c r="X14" s="39">
        <v>3</v>
      </c>
      <c r="Y14" s="39">
        <f>3+AJ14</f>
        <v>3</v>
      </c>
      <c r="Z14" s="39">
        <v>3</v>
      </c>
      <c r="AA14" s="39"/>
      <c r="AB14" s="6"/>
      <c r="AC14" s="6"/>
      <c r="AD14" s="6"/>
      <c r="AE14" s="6"/>
      <c r="AF14" s="372">
        <f ca="1">AD14+IF(NOT(ISBLANK(OFFSET(AF14,0,6))),N(OFFSET(AF14,0,6)),N(OFFSET(AF14,0,7)))-AE14</f>
        <v>0</v>
      </c>
      <c r="AH14" s="78">
        <v>3</v>
      </c>
      <c r="AI14" s="7"/>
      <c r="AJ14" s="32"/>
      <c r="AK14" s="450">
        <v>0</v>
      </c>
      <c r="AL14" s="296">
        <v>0</v>
      </c>
      <c r="AM14" s="296"/>
      <c r="AN14" s="296">
        <v>5</v>
      </c>
      <c r="AO14" s="296"/>
      <c r="AP14" s="19"/>
      <c r="AQ14" s="117">
        <v>8</v>
      </c>
      <c r="AR14" s="19">
        <v>2</v>
      </c>
      <c r="AS14" s="19">
        <v>3</v>
      </c>
      <c r="AT14" s="19"/>
      <c r="AU14" s="19"/>
      <c r="AV14" s="19">
        <v>3</v>
      </c>
      <c r="AW14" s="19"/>
      <c r="AX14" s="19"/>
      <c r="AY14" s="19"/>
      <c r="AZ14" s="19"/>
      <c r="BA14" s="19"/>
      <c r="BB14" s="19"/>
      <c r="BC14" s="19"/>
      <c r="BD14" s="19"/>
      <c r="BF14" s="364" t="s">
        <v>143</v>
      </c>
      <c r="BG14" s="135">
        <v>200</v>
      </c>
      <c r="BH14" s="39">
        <f>AM14</f>
        <v>0</v>
      </c>
      <c r="BI14" s="39">
        <v>7</v>
      </c>
      <c r="BJ14" s="39">
        <v>6</v>
      </c>
      <c r="BK14" s="39">
        <v>6</v>
      </c>
      <c r="BL14" s="39">
        <v>5</v>
      </c>
      <c r="BM14" s="39">
        <v>0</v>
      </c>
      <c r="BN14" s="39"/>
      <c r="BO14" s="6"/>
      <c r="BP14" s="6"/>
      <c r="BQ14" s="6"/>
      <c r="BR14" s="6"/>
      <c r="BS14" s="26">
        <f ca="1">BQ14+IF(NOT(ISBLANK(OFFSET(BS14,0,6))),N(OFFSET(BS14,0,6)),N(OFFSET(BS14,0,7)))-BR14</f>
        <v>0</v>
      </c>
    </row>
    <row r="15" spans="1:71" s="3" customFormat="1" ht="18.75" x14ac:dyDescent="0.3">
      <c r="A15" s="25" t="s">
        <v>144</v>
      </c>
      <c r="B15" s="6">
        <v>200</v>
      </c>
      <c r="C15" s="66">
        <v>18</v>
      </c>
      <c r="D15" s="234">
        <v>10</v>
      </c>
      <c r="E15" s="7"/>
      <c r="F15" s="39">
        <v>5</v>
      </c>
      <c r="G15" s="39">
        <v>5</v>
      </c>
      <c r="H15" s="39">
        <v>4</v>
      </c>
      <c r="I15" s="39">
        <v>5</v>
      </c>
      <c r="J15" s="39">
        <v>5</v>
      </c>
      <c r="K15" s="39">
        <v>5</v>
      </c>
      <c r="L15" s="39">
        <v>5</v>
      </c>
      <c r="M15" s="39">
        <v>5</v>
      </c>
      <c r="N15" s="39">
        <v>6</v>
      </c>
      <c r="O15" s="39">
        <v>6</v>
      </c>
      <c r="P15" s="39">
        <v>6</v>
      </c>
      <c r="Q15" s="39">
        <v>5</v>
      </c>
      <c r="R15" s="39">
        <v>5</v>
      </c>
      <c r="S15" s="39">
        <v>5</v>
      </c>
      <c r="T15" s="39">
        <v>4</v>
      </c>
      <c r="U15" s="39">
        <v>3</v>
      </c>
      <c r="V15" s="39">
        <v>4</v>
      </c>
      <c r="W15" s="39">
        <v>4</v>
      </c>
      <c r="X15" s="39">
        <v>4</v>
      </c>
      <c r="Y15" s="39">
        <v>4</v>
      </c>
      <c r="Z15" s="39">
        <v>3</v>
      </c>
      <c r="AA15" s="39"/>
      <c r="AB15" s="6"/>
      <c r="AC15" s="6"/>
      <c r="AD15" s="6"/>
      <c r="AE15" s="6"/>
      <c r="AF15" s="372">
        <f ca="1">AD15+IF(NOT(ISBLANK(OFFSET(AF15,0,6))),N(OFFSET(AF15,0,6)),N(OFFSET(AF15,0,7)))-AE15</f>
        <v>0</v>
      </c>
      <c r="AH15" s="78"/>
      <c r="AI15" s="7"/>
      <c r="AJ15" s="32"/>
      <c r="AK15" s="450">
        <v>0</v>
      </c>
      <c r="AL15" s="296">
        <v>0</v>
      </c>
      <c r="AM15" s="296"/>
      <c r="AN15" s="296">
        <v>0</v>
      </c>
      <c r="AO15" s="296"/>
      <c r="AP15" s="19"/>
      <c r="AQ15" s="117">
        <v>3</v>
      </c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>
        <v>4</v>
      </c>
      <c r="BF15" s="21" t="s">
        <v>146</v>
      </c>
      <c r="BG15" s="6">
        <v>200</v>
      </c>
      <c r="BH15" s="39">
        <f>AM15</f>
        <v>0</v>
      </c>
      <c r="BI15" s="39">
        <v>2</v>
      </c>
      <c r="BJ15" s="39">
        <v>2</v>
      </c>
      <c r="BK15" s="39">
        <v>2</v>
      </c>
      <c r="BL15" s="39">
        <v>2</v>
      </c>
      <c r="BM15" s="39">
        <v>0</v>
      </c>
      <c r="BN15" s="39"/>
      <c r="BO15" s="6"/>
      <c r="BP15" s="6"/>
      <c r="BQ15" s="6"/>
      <c r="BR15" s="6"/>
      <c r="BS15" s="26">
        <f ca="1">BQ15+IF(NOT(ISBLANK(OFFSET(BS15,0,6))),N(OFFSET(BS15,0,6)),N(OFFSET(BS15,0,7)))-BR15</f>
        <v>0</v>
      </c>
    </row>
    <row r="16" spans="1:71" s="3" customFormat="1" ht="18.75" x14ac:dyDescent="0.25">
      <c r="A16" s="25" t="s">
        <v>147</v>
      </c>
      <c r="B16" s="6">
        <v>200</v>
      </c>
      <c r="C16" s="66">
        <v>10.28</v>
      </c>
      <c r="D16" s="234">
        <v>4</v>
      </c>
      <c r="E16" s="1"/>
      <c r="F16" s="39">
        <v>5</v>
      </c>
      <c r="G16" s="39">
        <v>5</v>
      </c>
      <c r="H16" s="39">
        <f>5+AT16</f>
        <v>5</v>
      </c>
      <c r="I16" s="39">
        <v>8</v>
      </c>
      <c r="J16" s="39">
        <v>7</v>
      </c>
      <c r="K16" s="39">
        <v>7</v>
      </c>
      <c r="L16" s="39">
        <v>7</v>
      </c>
      <c r="M16" s="39">
        <v>6</v>
      </c>
      <c r="N16" s="39">
        <v>5</v>
      </c>
      <c r="O16" s="39">
        <v>5</v>
      </c>
      <c r="P16" s="39">
        <v>5</v>
      </c>
      <c r="Q16" s="39">
        <v>4</v>
      </c>
      <c r="R16" s="39">
        <v>4</v>
      </c>
      <c r="S16" s="39">
        <v>3</v>
      </c>
      <c r="T16" s="39">
        <v>3</v>
      </c>
      <c r="U16" s="39">
        <v>3</v>
      </c>
      <c r="V16" s="39">
        <v>2</v>
      </c>
      <c r="W16" s="39">
        <v>1</v>
      </c>
      <c r="X16" s="39">
        <v>0</v>
      </c>
      <c r="Y16" s="39">
        <f>0+AJ16</f>
        <v>0</v>
      </c>
      <c r="Z16" s="39">
        <v>0</v>
      </c>
      <c r="AA16" s="39"/>
      <c r="AB16" s="6"/>
      <c r="AC16" s="6"/>
      <c r="AD16" s="6"/>
      <c r="AE16" s="6"/>
      <c r="AF16" s="372">
        <f ca="1">AD16+IF(NOT(ISBLANK(OFFSET(AF16,0,6))),N(OFFSET(AF16,0,6)),N(OFFSET(AF16,0,7)))-AE16</f>
        <v>0</v>
      </c>
      <c r="AH16" s="78" t="s">
        <v>188</v>
      </c>
      <c r="AI16" s="1"/>
      <c r="AJ16" s="32"/>
      <c r="AK16" s="445">
        <v>0</v>
      </c>
      <c r="AL16" s="19">
        <v>0</v>
      </c>
      <c r="AM16" s="19"/>
      <c r="AN16" s="19">
        <v>4</v>
      </c>
      <c r="AO16" s="19"/>
      <c r="AP16" s="19"/>
      <c r="AQ16" s="19"/>
      <c r="AR16" s="19"/>
      <c r="AS16" s="19"/>
      <c r="AT16" s="19"/>
      <c r="AU16" s="19"/>
      <c r="AV16" s="19"/>
      <c r="AW16" s="19"/>
      <c r="AX16" s="19">
        <v>3</v>
      </c>
      <c r="AY16" s="19"/>
      <c r="AZ16" s="19"/>
      <c r="BA16" s="19"/>
      <c r="BB16" s="19">
        <v>2</v>
      </c>
      <c r="BC16" s="19"/>
      <c r="BD16" s="19">
        <v>4</v>
      </c>
    </row>
    <row r="17" spans="1:71" s="3" customFormat="1" ht="18.75" x14ac:dyDescent="0.25">
      <c r="A17" s="25" t="s">
        <v>148</v>
      </c>
      <c r="B17" s="6">
        <v>3000</v>
      </c>
      <c r="C17" s="66">
        <v>71.8</v>
      </c>
      <c r="D17" s="234">
        <v>2</v>
      </c>
      <c r="E17" s="1"/>
      <c r="F17" s="39">
        <f>0+AV17</f>
        <v>0</v>
      </c>
      <c r="G17" s="39">
        <v>7</v>
      </c>
      <c r="H17" s="39">
        <f>6+AT17</f>
        <v>6</v>
      </c>
      <c r="I17" s="39">
        <v>8</v>
      </c>
      <c r="J17" s="39">
        <v>8</v>
      </c>
      <c r="K17" s="39">
        <v>8</v>
      </c>
      <c r="L17" s="39">
        <v>8</v>
      </c>
      <c r="M17" s="39">
        <v>8</v>
      </c>
      <c r="N17" s="39">
        <v>7</v>
      </c>
      <c r="O17" s="39">
        <v>7</v>
      </c>
      <c r="P17" s="39">
        <v>7</v>
      </c>
      <c r="Q17" s="39">
        <v>7</v>
      </c>
      <c r="R17" s="39">
        <v>7</v>
      </c>
      <c r="S17" s="39">
        <v>6</v>
      </c>
      <c r="T17" s="39">
        <v>6</v>
      </c>
      <c r="U17" s="39">
        <v>4</v>
      </c>
      <c r="V17" s="39">
        <v>3</v>
      </c>
      <c r="W17" s="39">
        <v>3</v>
      </c>
      <c r="X17" s="39">
        <v>3</v>
      </c>
      <c r="Y17" s="39">
        <f>2-1</f>
        <v>1</v>
      </c>
      <c r="Z17" s="39">
        <v>1</v>
      </c>
      <c r="AA17" s="39"/>
      <c r="AB17" s="6"/>
      <c r="AC17" s="6"/>
      <c r="AD17" s="6"/>
      <c r="AE17" s="6"/>
      <c r="AF17" s="372">
        <f ca="1">AD17+IF(NOT(ISBLANK(OFFSET(AF17,0,6))),N(OFFSET(AF17,0,6)),N(OFFSET(AF17,0,7)))-AE17</f>
        <v>0</v>
      </c>
      <c r="AH17" s="411" t="s">
        <v>189</v>
      </c>
      <c r="AI17" s="1"/>
      <c r="AJ17" s="393"/>
      <c r="AK17" s="445">
        <v>0</v>
      </c>
      <c r="AL17" s="19">
        <v>0</v>
      </c>
      <c r="AM17" s="19"/>
      <c r="AN17" s="19">
        <v>0</v>
      </c>
      <c r="AO17" s="253" t="s">
        <v>190</v>
      </c>
      <c r="AP17" s="19"/>
      <c r="AQ17" s="19"/>
      <c r="AR17" s="19"/>
      <c r="AS17" s="19"/>
      <c r="AT17" s="19"/>
      <c r="AU17" s="19"/>
      <c r="AV17" s="19"/>
      <c r="AW17" s="19"/>
      <c r="AX17" s="19">
        <v>2</v>
      </c>
      <c r="AY17" s="19"/>
      <c r="AZ17" s="19">
        <v>5</v>
      </c>
      <c r="BA17" s="19"/>
      <c r="BB17" s="19">
        <v>1</v>
      </c>
      <c r="BC17" s="19">
        <v>2</v>
      </c>
      <c r="BD17" s="19"/>
    </row>
    <row r="18" spans="1:71" s="3" customFormat="1" ht="14.25" customHeight="1" x14ac:dyDescent="0.25">
      <c r="A18" s="23"/>
      <c r="C18" s="67"/>
      <c r="D18" s="235"/>
      <c r="F18" s="390"/>
      <c r="G18" s="390"/>
      <c r="H18" s="390"/>
      <c r="I18" s="390"/>
      <c r="J18" s="390"/>
      <c r="K18" s="390"/>
      <c r="L18" s="390"/>
      <c r="M18" s="390"/>
      <c r="N18" s="390"/>
      <c r="O18" s="390"/>
      <c r="P18" s="390"/>
      <c r="Q18" s="390"/>
      <c r="R18" s="390"/>
      <c r="S18" s="390"/>
      <c r="T18" s="390"/>
      <c r="U18" s="390"/>
      <c r="V18" s="390"/>
      <c r="W18" s="390"/>
      <c r="X18" s="390"/>
      <c r="Y18" s="390"/>
      <c r="Z18" s="390"/>
      <c r="AA18" s="390"/>
      <c r="AB18" s="390"/>
      <c r="AC18" s="390"/>
      <c r="AD18" s="390"/>
      <c r="AE18" s="390"/>
      <c r="AF18" s="390"/>
      <c r="AH18" s="390"/>
      <c r="AJ18" s="344"/>
      <c r="AK18" s="388"/>
      <c r="AL18" s="388"/>
      <c r="AM18" s="388"/>
      <c r="AN18" s="388"/>
      <c r="AO18" s="388"/>
      <c r="AP18" s="388"/>
      <c r="AQ18" s="388"/>
      <c r="AR18" s="388"/>
      <c r="AS18" s="388"/>
      <c r="AT18" s="388"/>
      <c r="AU18" s="388"/>
      <c r="AV18" s="388"/>
      <c r="AW18" s="388"/>
      <c r="AX18" s="388"/>
      <c r="AY18" s="388"/>
      <c r="AZ18" s="388"/>
      <c r="BA18" s="388"/>
      <c r="BB18" s="388"/>
      <c r="BC18" s="388"/>
      <c r="BD18" s="388"/>
    </row>
    <row r="19" spans="1:71" s="3" customFormat="1" ht="18.75" x14ac:dyDescent="0.3">
      <c r="A19" s="24" t="s">
        <v>150</v>
      </c>
      <c r="B19" s="12" t="s">
        <v>151</v>
      </c>
      <c r="C19" s="65" t="s">
        <v>152</v>
      </c>
      <c r="D19" s="395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13">
        <v>46160</v>
      </c>
      <c r="AB19" s="13">
        <v>46161.480125300928</v>
      </c>
      <c r="AC19" s="13">
        <v>46161.480798888893</v>
      </c>
      <c r="AD19" s="13">
        <v>46161.482956643522</v>
      </c>
      <c r="AE19" s="13">
        <v>46161.483285241993</v>
      </c>
      <c r="AF19" s="35" t="s">
        <v>129</v>
      </c>
      <c r="AH19" s="29" t="s">
        <v>126</v>
      </c>
      <c r="AI19" s="11"/>
      <c r="AJ19" s="9" t="s">
        <v>127</v>
      </c>
      <c r="AK19" s="363">
        <v>46161.483284358503</v>
      </c>
      <c r="AL19" s="363">
        <v>46156</v>
      </c>
      <c r="AM19" s="339">
        <v>46148</v>
      </c>
      <c r="AN19" s="363">
        <v>46142</v>
      </c>
      <c r="AO19" s="339">
        <v>46146</v>
      </c>
      <c r="AP19" s="363">
        <v>46114</v>
      </c>
      <c r="AQ19" s="409">
        <v>46065</v>
      </c>
      <c r="AR19" s="363">
        <v>46092</v>
      </c>
      <c r="AS19" s="363">
        <v>46056</v>
      </c>
      <c r="AT19" s="363">
        <v>46048</v>
      </c>
      <c r="AU19" s="363">
        <v>46043</v>
      </c>
      <c r="AV19" s="363">
        <v>46035</v>
      </c>
      <c r="AW19" s="363">
        <v>46024</v>
      </c>
      <c r="AX19" s="363">
        <v>46017</v>
      </c>
      <c r="AY19" s="371">
        <v>46386</v>
      </c>
      <c r="AZ19" s="363">
        <v>46007</v>
      </c>
      <c r="BA19" s="371">
        <v>46014</v>
      </c>
      <c r="BB19" s="363">
        <v>46001</v>
      </c>
      <c r="BC19" s="363">
        <v>45994</v>
      </c>
      <c r="BD19" s="363">
        <v>45986</v>
      </c>
      <c r="BF19" s="389" t="s">
        <v>150</v>
      </c>
      <c r="BG19" s="376" t="s">
        <v>123</v>
      </c>
      <c r="BH19" s="13">
        <v>46118</v>
      </c>
      <c r="BI19" s="13">
        <v>46125</v>
      </c>
      <c r="BJ19" s="13">
        <v>46132</v>
      </c>
      <c r="BK19" s="13">
        <v>46139</v>
      </c>
      <c r="BL19" s="13">
        <v>46146</v>
      </c>
      <c r="BM19" s="13">
        <v>46154</v>
      </c>
      <c r="BN19" s="13">
        <v>46160</v>
      </c>
      <c r="BO19" s="13">
        <v>46161.480124791669</v>
      </c>
      <c r="BP19" s="13">
        <v>46161.480798356482</v>
      </c>
      <c r="BQ19" s="13">
        <v>46161.482956192129</v>
      </c>
      <c r="BR19" s="13">
        <v>46161.483284739406</v>
      </c>
      <c r="BS19" s="35" t="s">
        <v>129</v>
      </c>
    </row>
    <row r="20" spans="1:71" s="3" customFormat="1" ht="18.75" x14ac:dyDescent="0.3">
      <c r="A20" s="25" t="s">
        <v>153</v>
      </c>
      <c r="B20" s="6">
        <v>150</v>
      </c>
      <c r="C20" s="82">
        <v>334.31</v>
      </c>
      <c r="D20" s="234">
        <v>150</v>
      </c>
      <c r="E20" s="1"/>
      <c r="F20" s="27">
        <v>37</v>
      </c>
      <c r="G20" s="27">
        <v>0</v>
      </c>
      <c r="H20" s="27">
        <v>0</v>
      </c>
      <c r="I20" s="27">
        <v>0</v>
      </c>
      <c r="J20" s="27">
        <v>150</v>
      </c>
      <c r="K20" s="27">
        <v>144</v>
      </c>
      <c r="L20" s="27">
        <f>138+AP20</f>
        <v>138</v>
      </c>
      <c r="M20" s="27">
        <v>276</v>
      </c>
      <c r="N20" s="27">
        <v>274</v>
      </c>
      <c r="O20" s="27">
        <v>263</v>
      </c>
      <c r="P20" s="27">
        <v>258</v>
      </c>
      <c r="Q20" s="27">
        <v>252</v>
      </c>
      <c r="R20" s="27">
        <v>239</v>
      </c>
      <c r="S20" s="27">
        <v>235</v>
      </c>
      <c r="T20" s="27">
        <v>227</v>
      </c>
      <c r="U20" s="27"/>
      <c r="V20" s="27"/>
      <c r="W20" s="27"/>
      <c r="X20" s="27">
        <v>227</v>
      </c>
      <c r="Y20" s="27">
        <v>225</v>
      </c>
      <c r="Z20" s="27">
        <v>217</v>
      </c>
      <c r="AA20" s="27">
        <v>208</v>
      </c>
      <c r="AB20" s="451">
        <v>208</v>
      </c>
      <c r="AC20" s="451">
        <v>208</v>
      </c>
      <c r="AD20" s="451">
        <v>208</v>
      </c>
      <c r="AE20" s="451">
        <v>208</v>
      </c>
      <c r="AF20" s="372">
        <f ca="1">AD20+IF(NOT(ISBLANK(OFFSET(AF20,0,6))),N(OFFSET(AF20,0,6)),N(OFFSET(AF20,0,7)))-AE20</f>
        <v>0</v>
      </c>
      <c r="AG20" s="362"/>
      <c r="AH20" s="78"/>
      <c r="AI20" s="1"/>
      <c r="AJ20" s="32"/>
      <c r="AK20" s="445">
        <v>0</v>
      </c>
      <c r="AL20" s="19">
        <v>0</v>
      </c>
      <c r="AM20" s="19"/>
      <c r="AN20" s="19">
        <v>0</v>
      </c>
      <c r="AO20" s="19"/>
      <c r="AP20" s="19"/>
      <c r="AQ20" s="19"/>
      <c r="AR20" s="19"/>
      <c r="AS20" s="19"/>
      <c r="AT20" s="19">
        <v>150</v>
      </c>
      <c r="AU20" s="19"/>
      <c r="AV20" s="19"/>
      <c r="AW20" s="19">
        <v>150</v>
      </c>
      <c r="AX20" s="19"/>
      <c r="AY20" s="19"/>
      <c r="AZ20" s="19"/>
      <c r="BA20" s="19"/>
      <c r="BB20" s="19"/>
      <c r="BC20" s="19"/>
      <c r="BD20" s="19"/>
      <c r="BF20" s="364" t="s">
        <v>154</v>
      </c>
      <c r="BG20" s="135">
        <v>150</v>
      </c>
      <c r="BH20" s="39">
        <v>0</v>
      </c>
      <c r="BI20" s="39">
        <v>0</v>
      </c>
      <c r="BJ20" s="39">
        <v>0</v>
      </c>
      <c r="BK20" s="39">
        <v>0</v>
      </c>
      <c r="BL20" s="39">
        <v>0</v>
      </c>
      <c r="BM20" s="39">
        <v>0</v>
      </c>
      <c r="BN20" s="39">
        <v>0</v>
      </c>
      <c r="BO20" s="6"/>
      <c r="BP20" s="6"/>
      <c r="BQ20" s="6"/>
      <c r="BR20" s="6"/>
      <c r="BS20" s="26">
        <f ca="1">BQ20+IF(NOT(ISBLANK(OFFSET(BS20,0,6))),N(OFFSET(BS20,0,6)),N(OFFSET(BS20,0,7)))-BR20</f>
        <v>0</v>
      </c>
    </row>
    <row r="21" spans="1:71" s="3" customFormat="1" ht="18.75" x14ac:dyDescent="0.3">
      <c r="A21" s="25" t="s">
        <v>155</v>
      </c>
      <c r="B21" s="6">
        <v>100</v>
      </c>
      <c r="C21" s="81">
        <v>292.25</v>
      </c>
      <c r="D21" s="236">
        <v>150</v>
      </c>
      <c r="E21" s="1"/>
      <c r="F21" s="39">
        <v>169</v>
      </c>
      <c r="G21" s="39">
        <v>134</v>
      </c>
      <c r="H21" s="39">
        <v>129</v>
      </c>
      <c r="I21" s="39">
        <v>109</v>
      </c>
      <c r="J21" s="39">
        <v>98</v>
      </c>
      <c r="K21" s="39">
        <v>175</v>
      </c>
      <c r="L21" s="39">
        <f>169+AP21</f>
        <v>269</v>
      </c>
      <c r="M21" s="39">
        <v>263</v>
      </c>
      <c r="N21" s="39">
        <v>250</v>
      </c>
      <c r="O21" s="39">
        <v>240</v>
      </c>
      <c r="P21" s="39">
        <v>231</v>
      </c>
      <c r="Q21" s="39">
        <v>211</v>
      </c>
      <c r="R21" s="39">
        <v>196</v>
      </c>
      <c r="S21" s="39">
        <v>187</v>
      </c>
      <c r="T21" s="39">
        <v>173</v>
      </c>
      <c r="U21" s="39"/>
      <c r="V21" s="39"/>
      <c r="W21" s="39"/>
      <c r="X21" s="39">
        <v>263</v>
      </c>
      <c r="Y21" s="39">
        <v>263</v>
      </c>
      <c r="Z21" s="39">
        <v>255</v>
      </c>
      <c r="AA21" s="39">
        <v>253</v>
      </c>
      <c r="AB21" s="6">
        <v>253</v>
      </c>
      <c r="AC21" s="6">
        <v>253</v>
      </c>
      <c r="AD21" s="6">
        <v>253</v>
      </c>
      <c r="AE21" s="6">
        <v>253</v>
      </c>
      <c r="AF21" s="372">
        <f ca="1">AD21+IF(NOT(ISBLANK(OFFSET(AF21,0,6))),N(OFFSET(AF21,0,6)),N(OFFSET(AF21,0,7)))-AE21</f>
        <v>0</v>
      </c>
      <c r="AG21" s="362"/>
      <c r="AH21" s="78"/>
      <c r="AI21" s="1"/>
      <c r="AJ21" s="32"/>
      <c r="AK21" s="445">
        <v>0</v>
      </c>
      <c r="AL21" s="19">
        <v>0</v>
      </c>
      <c r="AM21" s="19"/>
      <c r="AN21" s="19">
        <v>0</v>
      </c>
      <c r="AO21" s="19"/>
      <c r="AP21" s="19">
        <v>100</v>
      </c>
      <c r="AQ21" s="117"/>
      <c r="AR21" s="19"/>
      <c r="AS21" s="19"/>
      <c r="AT21" s="19">
        <v>100</v>
      </c>
      <c r="AU21" s="19">
        <v>100</v>
      </c>
      <c r="AV21" s="19"/>
      <c r="AW21" s="19"/>
      <c r="AX21" s="19"/>
      <c r="AY21" s="117"/>
      <c r="AZ21" s="19"/>
      <c r="BA21" s="117"/>
      <c r="BB21" s="19"/>
      <c r="BC21" s="19"/>
      <c r="BD21" s="19"/>
      <c r="BF21" s="21" t="s">
        <v>156</v>
      </c>
      <c r="BG21" s="6">
        <v>100</v>
      </c>
      <c r="BH21" s="39">
        <v>0</v>
      </c>
      <c r="BI21" s="39"/>
      <c r="BJ21" s="39"/>
      <c r="BK21" s="39">
        <v>48</v>
      </c>
      <c r="BL21" s="39">
        <v>45</v>
      </c>
      <c r="BM21" s="39">
        <v>10</v>
      </c>
      <c r="BN21" s="39">
        <v>8</v>
      </c>
      <c r="BO21" s="6"/>
      <c r="BP21" s="6"/>
      <c r="BQ21" s="6"/>
      <c r="BR21" s="6"/>
      <c r="BS21" s="26">
        <f ca="1">BQ21+IF(NOT(ISBLANK(OFFSET(BS21,0,6))),N(OFFSET(BS21,0,6)),N(OFFSET(BS21,0,7)))-BR21</f>
        <v>0</v>
      </c>
    </row>
    <row r="22" spans="1:71" s="3" customFormat="1" ht="18.75" x14ac:dyDescent="0.3">
      <c r="A22" s="25" t="s">
        <v>157</v>
      </c>
      <c r="B22" s="6">
        <v>75</v>
      </c>
      <c r="C22" s="66">
        <v>425.38</v>
      </c>
      <c r="D22" s="234">
        <v>25</v>
      </c>
      <c r="E22" s="7"/>
      <c r="F22" s="39">
        <v>18</v>
      </c>
      <c r="G22" s="39">
        <v>17</v>
      </c>
      <c r="H22" s="39">
        <v>17</v>
      </c>
      <c r="I22" s="39">
        <v>17</v>
      </c>
      <c r="J22" s="39">
        <v>17</v>
      </c>
      <c r="K22" s="39">
        <v>17</v>
      </c>
      <c r="L22" s="39">
        <v>16</v>
      </c>
      <c r="M22" s="39">
        <v>15</v>
      </c>
      <c r="N22" s="39">
        <v>15</v>
      </c>
      <c r="O22" s="39">
        <v>15</v>
      </c>
      <c r="P22" s="39">
        <v>15</v>
      </c>
      <c r="Q22" s="39">
        <v>15</v>
      </c>
      <c r="R22" s="39">
        <v>15</v>
      </c>
      <c r="S22" s="39">
        <v>15</v>
      </c>
      <c r="T22" s="39">
        <v>15</v>
      </c>
      <c r="U22" s="39">
        <v>15</v>
      </c>
      <c r="V22" s="39">
        <v>15</v>
      </c>
      <c r="W22" s="39">
        <v>15</v>
      </c>
      <c r="X22" s="39">
        <v>15</v>
      </c>
      <c r="Y22" s="39">
        <v>15</v>
      </c>
      <c r="Z22" s="39">
        <v>13</v>
      </c>
      <c r="AA22" s="39">
        <v>13</v>
      </c>
      <c r="AB22" s="6">
        <v>13</v>
      </c>
      <c r="AC22" s="6">
        <v>13</v>
      </c>
      <c r="AD22" s="6">
        <v>13</v>
      </c>
      <c r="AE22" s="6">
        <v>13</v>
      </c>
      <c r="AF22" s="372">
        <f ca="1">AD22+IF(NOT(ISBLANK(OFFSET(AF22,0,6))),N(OFFSET(AF22,0,6)),N(OFFSET(AF22,0,7)))-AE22</f>
        <v>0</v>
      </c>
      <c r="AG22" s="362"/>
      <c r="AH22" s="78"/>
      <c r="AI22" s="7"/>
      <c r="AJ22" s="392"/>
      <c r="AK22" s="112">
        <v>0</v>
      </c>
      <c r="AL22" s="19">
        <v>0</v>
      </c>
      <c r="AM22" s="19"/>
      <c r="AN22" s="19">
        <v>0</v>
      </c>
      <c r="AO22" s="19"/>
      <c r="AP22" s="19"/>
      <c r="AQ22" s="117"/>
      <c r="AR22" s="19"/>
      <c r="AS22" s="19"/>
      <c r="AT22" s="19"/>
      <c r="AU22" s="19"/>
      <c r="AV22" s="19"/>
      <c r="AW22" s="19"/>
      <c r="AX22" s="19"/>
      <c r="AY22" s="117"/>
      <c r="AZ22" s="19"/>
      <c r="BA22" s="117"/>
      <c r="BB22" s="19"/>
      <c r="BC22" s="19"/>
      <c r="BD22" s="19"/>
      <c r="BF22" s="22" t="s">
        <v>158</v>
      </c>
      <c r="BG22" s="6">
        <v>200</v>
      </c>
      <c r="BH22" s="39">
        <v>0</v>
      </c>
      <c r="BI22" s="39"/>
      <c r="BJ22" s="39"/>
      <c r="BK22" s="39">
        <v>46</v>
      </c>
      <c r="BL22" s="39">
        <v>22</v>
      </c>
      <c r="BM22" s="39">
        <v>1</v>
      </c>
      <c r="BN22" s="39">
        <v>0</v>
      </c>
      <c r="BO22" s="6"/>
      <c r="BP22" s="6"/>
      <c r="BQ22" s="6"/>
      <c r="BR22" s="6"/>
      <c r="BS22" s="26">
        <f ca="1">BQ22+IF(NOT(ISBLANK(OFFSET(BS22,0,6))),N(OFFSET(BS22,0,6)),N(OFFSET(BS22,0,7)))-BR22</f>
        <v>0</v>
      </c>
    </row>
    <row r="23" spans="1:71" s="3" customFormat="1" ht="18.75" x14ac:dyDescent="0.3">
      <c r="A23" s="25" t="s">
        <v>159</v>
      </c>
      <c r="B23" s="6">
        <v>150</v>
      </c>
      <c r="C23" s="66">
        <v>427.5</v>
      </c>
      <c r="D23" s="234">
        <v>150</v>
      </c>
      <c r="E23" s="7"/>
      <c r="F23" s="2"/>
      <c r="G23" s="2"/>
      <c r="H23" s="2"/>
      <c r="I23" s="39"/>
      <c r="J23" s="39">
        <v>0</v>
      </c>
      <c r="K23" s="39">
        <v>149</v>
      </c>
      <c r="L23" s="39">
        <v>119</v>
      </c>
      <c r="M23" s="39">
        <v>211</v>
      </c>
      <c r="N23" s="39">
        <v>185</v>
      </c>
      <c r="O23" s="39">
        <v>172</v>
      </c>
      <c r="P23" s="39">
        <v>147</v>
      </c>
      <c r="Q23" s="39">
        <v>91</v>
      </c>
      <c r="R23" s="39">
        <f>41+AN23</f>
        <v>41</v>
      </c>
      <c r="S23" s="39">
        <v>135</v>
      </c>
      <c r="T23" s="39">
        <v>113</v>
      </c>
      <c r="U23" s="39"/>
      <c r="V23" s="39"/>
      <c r="W23" s="39"/>
      <c r="X23" s="39">
        <v>219</v>
      </c>
      <c r="Y23" s="39">
        <v>219</v>
      </c>
      <c r="Z23" s="39">
        <v>149</v>
      </c>
      <c r="AA23" s="39">
        <v>111</v>
      </c>
      <c r="AB23" s="6">
        <v>111</v>
      </c>
      <c r="AC23" s="6">
        <v>111</v>
      </c>
      <c r="AD23" s="6">
        <v>111</v>
      </c>
      <c r="AE23" s="6">
        <v>111</v>
      </c>
      <c r="AF23" s="372">
        <f ca="1">AD23+IF(NOT(ISBLANK(OFFSET(AF23,0,6))),N(OFFSET(AF23,0,6)),N(OFFSET(AF23,0,7)))-AE23</f>
        <v>0</v>
      </c>
      <c r="AG23" s="362"/>
      <c r="AH23" s="78"/>
      <c r="AI23" s="7"/>
      <c r="AJ23" s="32"/>
      <c r="AK23" s="112">
        <v>0</v>
      </c>
      <c r="AL23" s="19">
        <v>0</v>
      </c>
      <c r="AM23" s="19"/>
      <c r="AN23" s="19">
        <v>0</v>
      </c>
      <c r="AO23" s="19"/>
      <c r="AP23" s="19">
        <v>150</v>
      </c>
      <c r="AQ23" s="117">
        <v>150</v>
      </c>
      <c r="AR23" s="19">
        <v>150</v>
      </c>
      <c r="AS23" s="19">
        <v>150</v>
      </c>
      <c r="AT23" s="19"/>
      <c r="AU23" s="19">
        <v>150</v>
      </c>
      <c r="AV23" s="19"/>
      <c r="AW23" s="19"/>
      <c r="AX23" s="19"/>
      <c r="AY23" s="117"/>
      <c r="AZ23" s="19"/>
      <c r="BA23" s="117"/>
      <c r="BB23" s="19"/>
      <c r="BC23" s="75"/>
      <c r="BD23" s="75"/>
      <c r="BF23" s="22" t="s">
        <v>160</v>
      </c>
      <c r="BG23" s="6">
        <v>150</v>
      </c>
      <c r="BH23" s="39">
        <f>AM23</f>
        <v>0</v>
      </c>
      <c r="BI23" s="39"/>
      <c r="BJ23" s="39"/>
      <c r="BK23" s="39">
        <v>122</v>
      </c>
      <c r="BL23" s="39">
        <v>108</v>
      </c>
      <c r="BM23" s="39">
        <v>3</v>
      </c>
      <c r="BN23" s="39">
        <v>0</v>
      </c>
      <c r="BO23" s="6"/>
      <c r="BP23" s="6"/>
      <c r="BQ23" s="6"/>
      <c r="BR23" s="6"/>
      <c r="BS23" s="26">
        <f ca="1">BQ23+IF(NOT(ISBLANK(OFFSET(BS23,0,6))),N(OFFSET(BS23,0,6)),N(OFFSET(BS23,0,7)))-BR23</f>
        <v>0</v>
      </c>
    </row>
    <row r="24" spans="1:71" ht="18.75" x14ac:dyDescent="0.3">
      <c r="A24" s="118"/>
      <c r="B24" s="119"/>
      <c r="AG24" s="362"/>
      <c r="AI24" s="347"/>
      <c r="AJ24" s="347"/>
      <c r="AK24" s="34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</row>
    <row r="25" spans="1:71" ht="18.75" x14ac:dyDescent="0.3">
      <c r="A25" s="378" t="s">
        <v>161</v>
      </c>
      <c r="B25" s="379" t="s">
        <v>123</v>
      </c>
      <c r="C25" s="379" t="s">
        <v>124</v>
      </c>
      <c r="D25" s="379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13">
        <v>46160</v>
      </c>
      <c r="AB25" s="13">
        <v>46161.480125300928</v>
      </c>
      <c r="AC25" s="13">
        <v>46161.480798888893</v>
      </c>
      <c r="AD25" s="13">
        <v>46161.482956643522</v>
      </c>
      <c r="AE25" s="13">
        <v>46161.483285242248</v>
      </c>
      <c r="AF25" s="35" t="s">
        <v>129</v>
      </c>
      <c r="AG25" s="362"/>
      <c r="AI25" s="347"/>
      <c r="AJ25" s="347"/>
      <c r="AK25" s="34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</row>
    <row r="26" spans="1:71" ht="18.75" hidden="1" x14ac:dyDescent="0.3">
      <c r="A26" s="384" t="s">
        <v>162</v>
      </c>
      <c r="B26" s="385">
        <v>100</v>
      </c>
      <c r="C26" s="199">
        <v>790</v>
      </c>
      <c r="D26" s="396"/>
      <c r="F26" s="39">
        <v>37</v>
      </c>
      <c r="G26" s="39">
        <v>4</v>
      </c>
      <c r="H26" s="39">
        <v>4</v>
      </c>
      <c r="I26" s="39">
        <v>4</v>
      </c>
      <c r="J26" s="39">
        <v>5</v>
      </c>
      <c r="K26" s="39">
        <v>3</v>
      </c>
      <c r="L26" s="39">
        <v>0</v>
      </c>
      <c r="M26" s="39">
        <v>0</v>
      </c>
      <c r="N26" s="39">
        <v>0</v>
      </c>
      <c r="O26" s="39">
        <v>0</v>
      </c>
      <c r="P26" s="39">
        <v>0</v>
      </c>
      <c r="Q26" s="39">
        <v>0</v>
      </c>
      <c r="R26" s="39">
        <v>0</v>
      </c>
      <c r="S26" s="39">
        <v>0</v>
      </c>
      <c r="T26" s="39"/>
      <c r="U26" s="39"/>
      <c r="V26" s="39"/>
      <c r="W26" s="39"/>
      <c r="X26" s="39"/>
      <c r="Y26" s="39"/>
      <c r="Z26" s="39">
        <v>1</v>
      </c>
      <c r="AA26" s="39">
        <v>0</v>
      </c>
      <c r="AB26" s="6">
        <v>0</v>
      </c>
      <c r="AC26" s="6">
        <v>0</v>
      </c>
      <c r="AD26" s="6">
        <v>0</v>
      </c>
      <c r="AE26" s="6">
        <v>0</v>
      </c>
      <c r="AF26" s="26">
        <f t="shared" ref="AF26:AF34" ca="1" si="0">AD26+IF(NOT(ISBLANK(OFFSET(AF26,0,6))),N(OFFSET(AF26,0,6)),N(OFFSET(AF26,0,7)))-AE26</f>
        <v>0</v>
      </c>
      <c r="AG26" s="362"/>
      <c r="AH26" s="347"/>
      <c r="AI26" s="347"/>
      <c r="AJ26" s="347"/>
      <c r="AK26" s="34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</row>
    <row r="27" spans="1:71" ht="18.75" hidden="1" x14ac:dyDescent="0.3">
      <c r="A27" s="386" t="s">
        <v>163</v>
      </c>
      <c r="B27" s="159">
        <v>100</v>
      </c>
      <c r="C27" s="200">
        <v>295</v>
      </c>
      <c r="D27" s="396"/>
      <c r="F27" s="39">
        <v>2</v>
      </c>
      <c r="G27" s="39">
        <v>2</v>
      </c>
      <c r="H27" s="39">
        <v>2</v>
      </c>
      <c r="I27" s="39">
        <v>2</v>
      </c>
      <c r="J27" s="39">
        <v>0</v>
      </c>
      <c r="K27" s="39">
        <v>0</v>
      </c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6"/>
      <c r="AC27" s="6"/>
      <c r="AD27" s="6"/>
      <c r="AE27" s="6"/>
      <c r="AF27" s="26">
        <f t="shared" ca="1" si="0"/>
        <v>0</v>
      </c>
      <c r="AG27" s="362"/>
      <c r="AH27" s="347"/>
      <c r="AI27" s="347"/>
      <c r="AJ27" s="347"/>
      <c r="AK27" s="34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</row>
    <row r="28" spans="1:71" ht="18.75" hidden="1" x14ac:dyDescent="0.3">
      <c r="A28" s="386" t="s">
        <v>164</v>
      </c>
      <c r="B28" s="159">
        <v>100</v>
      </c>
      <c r="C28" s="200">
        <v>283</v>
      </c>
      <c r="D28" s="396"/>
      <c r="F28" s="39">
        <v>1</v>
      </c>
      <c r="G28" s="39">
        <v>1</v>
      </c>
      <c r="H28" s="39">
        <v>1</v>
      </c>
      <c r="I28" s="39">
        <v>1</v>
      </c>
      <c r="J28" s="39">
        <v>0</v>
      </c>
      <c r="K28" s="39">
        <v>0</v>
      </c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6"/>
      <c r="AC28" s="6"/>
      <c r="AD28" s="6"/>
      <c r="AE28" s="6"/>
      <c r="AF28" s="26">
        <f t="shared" ca="1" si="0"/>
        <v>0</v>
      </c>
      <c r="AG28" s="362"/>
      <c r="AH28" s="347"/>
      <c r="AI28" s="347"/>
      <c r="AJ28" s="347"/>
      <c r="AK28" s="34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</row>
    <row r="29" spans="1:71" ht="18.75" hidden="1" x14ac:dyDescent="0.3">
      <c r="A29" s="283" t="s">
        <v>168</v>
      </c>
      <c r="B29" s="284">
        <v>100</v>
      </c>
      <c r="C29" s="285">
        <v>1490</v>
      </c>
      <c r="D29" s="396"/>
      <c r="F29" s="39"/>
      <c r="G29" s="39"/>
      <c r="H29" s="39">
        <v>2</v>
      </c>
      <c r="I29" s="39">
        <v>2</v>
      </c>
      <c r="J29" s="39">
        <v>0</v>
      </c>
      <c r="K29" s="39">
        <v>0</v>
      </c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6"/>
      <c r="AC29" s="6"/>
      <c r="AD29" s="6"/>
      <c r="AE29" s="6"/>
      <c r="AF29" s="26">
        <f t="shared" ca="1" si="0"/>
        <v>0</v>
      </c>
      <c r="AG29" s="362"/>
      <c r="AH29" s="347"/>
      <c r="AI29" s="347"/>
      <c r="AJ29" s="347"/>
      <c r="AK29" s="34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</row>
    <row r="30" spans="1:71" ht="18.75" x14ac:dyDescent="0.3">
      <c r="A30" s="25" t="s">
        <v>169</v>
      </c>
      <c r="B30" s="6">
        <v>150</v>
      </c>
      <c r="C30" s="77">
        <v>805.35</v>
      </c>
      <c r="D30" s="396"/>
      <c r="F30" s="6">
        <v>201</v>
      </c>
      <c r="G30" s="6">
        <v>50</v>
      </c>
      <c r="H30" s="6">
        <v>19</v>
      </c>
      <c r="I30" s="6">
        <v>30</v>
      </c>
      <c r="J30" s="6">
        <v>20</v>
      </c>
      <c r="K30" s="6">
        <v>12</v>
      </c>
      <c r="L30" s="6">
        <v>9</v>
      </c>
      <c r="M30" s="6">
        <v>9</v>
      </c>
      <c r="N30" s="6">
        <v>9</v>
      </c>
      <c r="O30" s="6">
        <v>8</v>
      </c>
      <c r="P30" s="6">
        <v>8</v>
      </c>
      <c r="Q30" s="6">
        <v>8</v>
      </c>
      <c r="R30" s="6">
        <v>6</v>
      </c>
      <c r="S30" s="6">
        <v>6</v>
      </c>
      <c r="T30" s="6">
        <v>6</v>
      </c>
      <c r="U30" s="6"/>
      <c r="V30" s="6"/>
      <c r="W30" s="6"/>
      <c r="X30" s="6">
        <v>6</v>
      </c>
      <c r="Y30" s="6">
        <v>6</v>
      </c>
      <c r="Z30" s="6">
        <v>0</v>
      </c>
      <c r="AA30" s="6">
        <v>0</v>
      </c>
      <c r="AB30" s="6"/>
      <c r="AC30" s="6"/>
      <c r="AD30" s="6"/>
      <c r="AE30" s="6"/>
      <c r="AF30" s="372">
        <f t="shared" ca="1" si="0"/>
        <v>0</v>
      </c>
      <c r="AG30" s="362"/>
      <c r="AH30" s="202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</row>
    <row r="31" spans="1:71" ht="18.75" hidden="1" x14ac:dyDescent="0.3">
      <c r="A31" s="25" t="s">
        <v>170</v>
      </c>
      <c r="B31" s="6">
        <v>100</v>
      </c>
      <c r="C31" s="77">
        <v>792.2</v>
      </c>
      <c r="D31" s="396"/>
      <c r="F31" s="6">
        <v>121</v>
      </c>
      <c r="G31" s="6">
        <v>44</v>
      </c>
      <c r="H31" s="6">
        <v>35</v>
      </c>
      <c r="I31" s="6">
        <v>21</v>
      </c>
      <c r="J31" s="6">
        <v>12</v>
      </c>
      <c r="K31" s="6">
        <v>1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372">
        <f t="shared" ca="1" si="0"/>
        <v>0</v>
      </c>
      <c r="AG31" s="362"/>
      <c r="AH31" s="202" t="s">
        <v>191</v>
      </c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</row>
    <row r="32" spans="1:71" ht="18.75" hidden="1" x14ac:dyDescent="0.3">
      <c r="A32" s="25" t="s">
        <v>171</v>
      </c>
      <c r="B32" s="6">
        <v>200</v>
      </c>
      <c r="C32" s="77">
        <v>487.2</v>
      </c>
      <c r="D32" s="396"/>
      <c r="F32" s="6">
        <v>-4</v>
      </c>
      <c r="G32" s="6">
        <v>-4</v>
      </c>
      <c r="H32" s="6">
        <v>-4</v>
      </c>
      <c r="I32" s="6">
        <v>-4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372">
        <f t="shared" ca="1" si="0"/>
        <v>0</v>
      </c>
      <c r="AG32" s="362"/>
      <c r="AH32" s="347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</row>
    <row r="33" spans="1:205" ht="18.75" hidden="1" x14ac:dyDescent="0.3">
      <c r="A33" s="25" t="s">
        <v>172</v>
      </c>
      <c r="B33" s="6">
        <v>150</v>
      </c>
      <c r="C33" s="77">
        <v>460.35</v>
      </c>
      <c r="D33" s="396"/>
      <c r="F33" s="6">
        <v>7</v>
      </c>
      <c r="G33" s="6">
        <v>7</v>
      </c>
      <c r="H33" s="6">
        <v>7</v>
      </c>
      <c r="I33" s="6">
        <v>7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372">
        <f t="shared" ca="1" si="0"/>
        <v>0</v>
      </c>
      <c r="AG33" s="362"/>
      <c r="AH33" s="347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</row>
    <row r="34" spans="1:205" ht="18.75" x14ac:dyDescent="0.3">
      <c r="A34" s="25" t="s">
        <v>173</v>
      </c>
      <c r="B34" s="6">
        <v>10</v>
      </c>
      <c r="C34" s="77">
        <v>120</v>
      </c>
      <c r="D34" s="396"/>
      <c r="F34" s="6">
        <v>3</v>
      </c>
      <c r="G34" s="6">
        <v>3</v>
      </c>
      <c r="H34" s="6">
        <v>3</v>
      </c>
      <c r="I34" s="6">
        <v>3</v>
      </c>
      <c r="J34" s="6">
        <v>3</v>
      </c>
      <c r="K34" s="6">
        <v>3</v>
      </c>
      <c r="L34" s="6">
        <v>3</v>
      </c>
      <c r="M34" s="6">
        <v>3</v>
      </c>
      <c r="N34" s="6">
        <v>3</v>
      </c>
      <c r="O34" s="6">
        <v>3</v>
      </c>
      <c r="P34" s="6">
        <v>3</v>
      </c>
      <c r="Q34" s="6">
        <v>3</v>
      </c>
      <c r="R34" s="6">
        <v>3</v>
      </c>
      <c r="S34" s="6">
        <v>3</v>
      </c>
      <c r="T34" s="6">
        <v>3</v>
      </c>
      <c r="U34" s="6"/>
      <c r="V34" s="6"/>
      <c r="W34" s="6"/>
      <c r="X34" s="6">
        <v>3</v>
      </c>
      <c r="Y34" s="6">
        <v>3</v>
      </c>
      <c r="Z34" s="6">
        <v>3</v>
      </c>
      <c r="AA34" s="6">
        <v>3</v>
      </c>
      <c r="AB34" s="6">
        <v>3</v>
      </c>
      <c r="AC34" s="6">
        <v>3</v>
      </c>
      <c r="AD34" s="6">
        <v>3</v>
      </c>
      <c r="AE34" s="6">
        <v>3</v>
      </c>
      <c r="AF34" s="372">
        <f t="shared" ca="1" si="0"/>
        <v>0</v>
      </c>
      <c r="AG34" s="362"/>
      <c r="AH34" s="347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</row>
    <row r="35" spans="1:205" ht="18.75" x14ac:dyDescent="0.3">
      <c r="AG35" s="362"/>
      <c r="AH35" s="347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</row>
    <row r="36" spans="1:205" ht="21" customHeight="1" x14ac:dyDescent="0.3">
      <c r="A36" s="394" t="s">
        <v>174</v>
      </c>
      <c r="B36" s="394"/>
      <c r="C36" s="394"/>
      <c r="AG36" s="362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401"/>
      <c r="AV36" s="401"/>
      <c r="AW36" s="401"/>
      <c r="AX36" s="401"/>
      <c r="AY36" s="401"/>
      <c r="AZ36" s="401"/>
      <c r="BA36" s="401"/>
      <c r="BB36" s="401"/>
      <c r="BC36" s="401"/>
      <c r="BD36" s="401"/>
    </row>
    <row r="37" spans="1:205" ht="18.75" x14ac:dyDescent="0.3">
      <c r="A37" s="361" t="s">
        <v>175</v>
      </c>
      <c r="B37" s="361"/>
      <c r="C37" s="361" t="s">
        <v>176</v>
      </c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362"/>
      <c r="AI37" s="41"/>
      <c r="AJ37" s="4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401"/>
      <c r="AV37" s="401"/>
      <c r="AW37" s="401"/>
      <c r="AX37" s="401"/>
      <c r="AY37" s="401"/>
      <c r="AZ37" s="401"/>
      <c r="BA37" s="401"/>
      <c r="BB37" s="401"/>
      <c r="BC37" s="401"/>
      <c r="BD37" s="401"/>
    </row>
    <row r="38" spans="1:205" ht="18.75" x14ac:dyDescent="0.3">
      <c r="A38" s="286"/>
      <c r="B38" s="370"/>
      <c r="C38" s="357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41"/>
      <c r="DZ38" s="41"/>
      <c r="EA38" s="41"/>
      <c r="EB38" s="401"/>
      <c r="EC38" s="401"/>
      <c r="ED38" s="34"/>
      <c r="EE38" s="34"/>
      <c r="EF38" s="34"/>
      <c r="EG38" s="34"/>
      <c r="EH38" s="401"/>
      <c r="EI38" s="401"/>
      <c r="EJ38" s="34"/>
      <c r="EK38" s="401"/>
      <c r="EL38" s="34"/>
      <c r="EM38" s="401"/>
      <c r="EN38" s="34"/>
      <c r="EO38" s="401"/>
      <c r="EP38" s="401"/>
      <c r="EQ38" s="34"/>
      <c r="ER38" s="401"/>
      <c r="ES38" s="401"/>
      <c r="ET38" s="34"/>
      <c r="EU38" s="401"/>
      <c r="EV38" s="401"/>
      <c r="EW38" s="401"/>
      <c r="EX38" s="350"/>
      <c r="EY38" s="401"/>
      <c r="EZ38" s="401"/>
      <c r="FA38" s="401"/>
      <c r="FB38" s="401"/>
      <c r="FC38" s="401"/>
      <c r="FD38" s="401"/>
      <c r="FE38" s="401"/>
      <c r="FF38" s="401"/>
      <c r="FG38" s="401"/>
      <c r="FH38" s="401"/>
      <c r="FI38" s="401"/>
      <c r="FJ38" s="401"/>
      <c r="FK38" s="401"/>
      <c r="FL38" s="401"/>
      <c r="FM38" s="401"/>
      <c r="FN38" s="401"/>
      <c r="FO38" s="401"/>
      <c r="FP38" s="401"/>
      <c r="FQ38" s="401"/>
      <c r="FR38" s="401"/>
      <c r="FS38" s="401"/>
      <c r="FT38" s="401"/>
      <c r="FU38" s="401"/>
      <c r="FV38" s="401"/>
      <c r="FW38" s="401"/>
      <c r="FX38" s="401"/>
      <c r="FY38" s="401"/>
      <c r="FZ38" s="401"/>
      <c r="GA38" s="401"/>
      <c r="GB38" s="401"/>
      <c r="GC38" s="401"/>
      <c r="GD38" s="401"/>
      <c r="GE38" s="401"/>
      <c r="GF38" s="401"/>
      <c r="GG38" s="401"/>
      <c r="GH38" s="401"/>
      <c r="GI38" s="401"/>
      <c r="GJ38" s="401"/>
      <c r="GK38" s="401"/>
      <c r="GL38" s="401"/>
      <c r="GM38" s="401"/>
      <c r="GN38" s="401"/>
      <c r="GO38" s="401"/>
      <c r="GP38" s="401"/>
      <c r="GQ38" s="401"/>
      <c r="GR38" s="401"/>
      <c r="GS38" s="401"/>
      <c r="GT38" s="401"/>
      <c r="GU38" s="401"/>
      <c r="GV38" s="401"/>
      <c r="GW38" s="401"/>
    </row>
    <row r="39" spans="1:205" ht="18.75" x14ac:dyDescent="0.3">
      <c r="A39" s="462"/>
      <c r="B39" s="463"/>
      <c r="C39" s="464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11"/>
      <c r="AL39" s="11"/>
      <c r="AM39" s="401"/>
      <c r="AN39" s="401"/>
      <c r="AO39" s="401"/>
      <c r="AP39" s="401"/>
      <c r="AQ39" s="401"/>
      <c r="AR39" s="401"/>
      <c r="AS39" s="401"/>
      <c r="AT39" s="401"/>
      <c r="AU39" s="41"/>
      <c r="AV39" s="41"/>
      <c r="AW39" s="41"/>
      <c r="AX39" s="41"/>
      <c r="AY39" s="41"/>
      <c r="AZ39" s="41"/>
      <c r="BA39" s="41"/>
      <c r="BB39" s="41"/>
      <c r="BC39" s="41"/>
      <c r="BD39" s="41"/>
      <c r="BE39" s="41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41"/>
      <c r="DZ39" s="41"/>
      <c r="EA39" s="41"/>
      <c r="EB39" s="347"/>
      <c r="EC39" s="347"/>
      <c r="ED39" s="34"/>
      <c r="EE39" s="34"/>
      <c r="EF39" s="34"/>
      <c r="EG39" s="34"/>
      <c r="EH39" s="347"/>
      <c r="EI39" s="347"/>
      <c r="EJ39" s="34"/>
      <c r="EK39" s="347"/>
      <c r="EL39" s="34"/>
      <c r="EM39" s="347"/>
      <c r="EN39" s="34"/>
      <c r="EO39" s="347"/>
      <c r="EP39" s="347"/>
      <c r="EQ39" s="34"/>
      <c r="ER39" s="347"/>
      <c r="ES39" s="347"/>
      <c r="ET39" s="34"/>
      <c r="EU39" s="347"/>
      <c r="EV39" s="347"/>
      <c r="EW39" s="347"/>
      <c r="EX39" s="350"/>
      <c r="EY39" s="347"/>
      <c r="EZ39" s="150"/>
      <c r="FA39" s="347"/>
      <c r="FB39" s="150"/>
      <c r="FC39" s="347"/>
      <c r="FD39" s="150"/>
      <c r="FE39" s="347"/>
      <c r="FF39" s="347"/>
      <c r="FG39" s="347"/>
      <c r="FH39" s="347"/>
      <c r="FI39" s="150"/>
      <c r="FJ39" s="347"/>
      <c r="FK39" s="150"/>
      <c r="FL39" s="347"/>
      <c r="FM39" s="150"/>
      <c r="FN39" s="347"/>
      <c r="FO39" s="347"/>
      <c r="FP39" s="347"/>
      <c r="FQ39" s="347"/>
      <c r="FR39" s="150"/>
      <c r="FS39" s="150"/>
      <c r="FT39" s="347"/>
      <c r="FU39" s="150"/>
      <c r="FV39" s="150"/>
      <c r="FW39" s="347"/>
      <c r="FX39" s="347"/>
      <c r="FY39" s="150"/>
      <c r="FZ39" s="150"/>
      <c r="GA39" s="347"/>
      <c r="GB39" s="347"/>
      <c r="GC39" s="150"/>
      <c r="GD39" s="150"/>
      <c r="GE39" s="347"/>
      <c r="GF39" s="347"/>
      <c r="GG39" s="150"/>
      <c r="GH39" s="347"/>
      <c r="GI39" s="150"/>
      <c r="GJ39" s="347"/>
      <c r="GK39" s="347"/>
      <c r="GL39" s="347"/>
      <c r="GM39" s="150"/>
      <c r="GN39" s="347"/>
      <c r="GO39" s="347"/>
      <c r="GP39" s="347"/>
      <c r="GQ39" s="347"/>
      <c r="GR39" s="347"/>
      <c r="GS39" s="347"/>
      <c r="GT39" s="347"/>
      <c r="GU39" s="347"/>
      <c r="GV39" s="347"/>
      <c r="GW39" s="347"/>
    </row>
    <row r="40" spans="1:205" ht="18.75" x14ac:dyDescent="0.3">
      <c r="A40" s="286"/>
      <c r="B40" s="370"/>
      <c r="C40" s="357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01"/>
      <c r="AL40" s="401"/>
      <c r="AM40" s="401"/>
      <c r="AN40" s="401"/>
      <c r="AO40" s="401"/>
      <c r="AP40" s="401"/>
      <c r="AQ40" s="401"/>
      <c r="AR40" s="401"/>
      <c r="AS40" s="401"/>
      <c r="AT40" s="401"/>
      <c r="AU40" s="41"/>
      <c r="AV40" s="41"/>
      <c r="AW40" s="41"/>
      <c r="AX40" s="41"/>
      <c r="AY40" s="41"/>
      <c r="AZ40" s="41"/>
      <c r="BA40" s="41"/>
      <c r="BB40" s="41"/>
      <c r="BC40" s="41"/>
      <c r="BD40" s="41"/>
      <c r="BE40" s="41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41"/>
      <c r="DZ40" s="41"/>
      <c r="EA40" s="41"/>
      <c r="EB40" s="347"/>
      <c r="EC40" s="347"/>
      <c r="ED40" s="34"/>
      <c r="EE40" s="34"/>
      <c r="EF40" s="34"/>
      <c r="EG40" s="34"/>
      <c r="EH40" s="347"/>
      <c r="EI40" s="347"/>
      <c r="EJ40" s="34"/>
      <c r="EK40" s="347"/>
      <c r="EL40" s="34"/>
      <c r="EM40" s="347"/>
      <c r="EN40" s="34"/>
      <c r="EO40" s="347"/>
      <c r="EP40" s="347"/>
      <c r="EQ40" s="34"/>
      <c r="ER40" s="347"/>
      <c r="ES40" s="347"/>
      <c r="ET40" s="34"/>
      <c r="EU40" s="347"/>
      <c r="EV40" s="347"/>
      <c r="EW40" s="347"/>
      <c r="EX40" s="365"/>
      <c r="EY40" s="347"/>
      <c r="EZ40" s="150"/>
      <c r="FA40" s="347"/>
      <c r="FB40" s="150"/>
      <c r="FC40" s="347"/>
      <c r="FD40" s="150"/>
      <c r="FE40" s="347"/>
      <c r="FF40" s="347"/>
      <c r="FG40" s="347"/>
      <c r="FH40" s="347"/>
      <c r="FI40" s="150"/>
      <c r="FJ40" s="347"/>
      <c r="FK40" s="150"/>
      <c r="FL40" s="347"/>
      <c r="FM40" s="150"/>
      <c r="FN40" s="347"/>
      <c r="FO40" s="347"/>
      <c r="FP40" s="347"/>
      <c r="FQ40" s="347"/>
      <c r="FR40" s="150"/>
      <c r="FS40" s="150"/>
      <c r="FT40" s="347"/>
      <c r="FU40" s="150"/>
      <c r="FV40" s="150"/>
      <c r="FW40" s="347"/>
      <c r="FX40" s="347"/>
      <c r="FY40" s="150"/>
      <c r="FZ40" s="150"/>
      <c r="GA40" s="347"/>
      <c r="GB40" s="347"/>
      <c r="GC40" s="150"/>
      <c r="GD40" s="150"/>
      <c r="GE40" s="347"/>
      <c r="GF40" s="347"/>
      <c r="GG40" s="150"/>
      <c r="GH40" s="347"/>
      <c r="GI40" s="150"/>
      <c r="GJ40" s="347"/>
      <c r="GK40" s="347"/>
      <c r="GL40" s="347"/>
      <c r="GM40" s="150"/>
      <c r="GN40" s="347"/>
      <c r="GO40" s="347"/>
      <c r="GP40" s="347"/>
      <c r="GQ40" s="347"/>
      <c r="GR40" s="347"/>
      <c r="GS40" s="347"/>
      <c r="GT40" s="347"/>
      <c r="GU40" s="347"/>
      <c r="GV40" s="347"/>
      <c r="GW40" s="347"/>
    </row>
    <row r="41" spans="1:205" ht="18.75" x14ac:dyDescent="0.3">
      <c r="A41" s="286"/>
      <c r="B41" s="370"/>
      <c r="C41" s="357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01"/>
      <c r="AL41" s="40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1"/>
      <c r="BR41" s="41"/>
      <c r="BS41" s="41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41"/>
      <c r="DZ41" s="41"/>
      <c r="EA41" s="41"/>
      <c r="EB41" s="3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4"/>
      <c r="EN41" s="34"/>
      <c r="EO41" s="34"/>
      <c r="EP41" s="34"/>
      <c r="EQ41" s="34"/>
      <c r="ER41" s="34"/>
      <c r="ES41" s="34"/>
      <c r="ET41" s="34"/>
      <c r="EU41" s="34"/>
      <c r="EV41" s="34"/>
      <c r="EW41" s="34"/>
      <c r="EX41" s="365"/>
      <c r="EY41" s="34"/>
      <c r="EZ41" s="150"/>
      <c r="FA41" s="34"/>
      <c r="FB41" s="150"/>
      <c r="FC41" s="34"/>
      <c r="FD41" s="150"/>
      <c r="FE41" s="34"/>
      <c r="FF41" s="34"/>
      <c r="FG41" s="34"/>
      <c r="FH41" s="34"/>
      <c r="FI41" s="150"/>
      <c r="FJ41" s="34"/>
      <c r="FK41" s="150"/>
      <c r="FL41" s="34"/>
      <c r="FM41" s="150"/>
      <c r="FN41" s="34"/>
      <c r="FO41" s="34"/>
      <c r="FP41" s="34"/>
      <c r="FQ41" s="34"/>
      <c r="FR41" s="150"/>
      <c r="FS41" s="150"/>
      <c r="FT41" s="34"/>
      <c r="FU41" s="150"/>
      <c r="FV41" s="150"/>
      <c r="FW41" s="34"/>
      <c r="FX41" s="34"/>
      <c r="FY41" s="150"/>
      <c r="FZ41" s="150"/>
      <c r="GA41" s="34"/>
      <c r="GB41" s="34"/>
      <c r="GC41" s="150"/>
      <c r="GD41" s="150"/>
      <c r="GE41" s="34"/>
      <c r="GF41" s="34"/>
      <c r="GG41" s="150"/>
      <c r="GH41" s="34"/>
      <c r="GI41" s="150"/>
      <c r="GJ41" s="34"/>
      <c r="GK41" s="34"/>
      <c r="GL41" s="34"/>
      <c r="GM41" s="150"/>
      <c r="GN41" s="34"/>
      <c r="GO41" s="34"/>
      <c r="GP41" s="34"/>
      <c r="GQ41" s="34"/>
      <c r="GR41" s="34"/>
      <c r="GS41" s="34"/>
      <c r="GT41" s="34"/>
      <c r="GU41" s="34"/>
      <c r="GV41" s="34"/>
      <c r="GW41" s="34"/>
    </row>
    <row r="42" spans="1:205" ht="18.75" x14ac:dyDescent="0.3">
      <c r="A42" s="468"/>
      <c r="B42" s="467"/>
      <c r="C42" s="469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62"/>
      <c r="CV42" s="362"/>
      <c r="CW42" s="362"/>
      <c r="CX42" s="362"/>
      <c r="CY42" s="362"/>
      <c r="CZ42" s="362"/>
      <c r="DA42" s="362"/>
      <c r="DB42" s="362"/>
      <c r="DC42" s="362"/>
      <c r="DD42" s="362"/>
      <c r="DE42" s="362"/>
      <c r="DF42" s="362"/>
      <c r="DG42" s="362"/>
      <c r="DH42" s="362"/>
      <c r="DI42" s="362"/>
      <c r="DJ42" s="362"/>
      <c r="DK42" s="362"/>
      <c r="DL42" s="362"/>
      <c r="DM42" s="362"/>
      <c r="DN42" s="362"/>
      <c r="DO42" s="362"/>
      <c r="DP42" s="362"/>
      <c r="DQ42" s="362"/>
      <c r="DR42" s="362"/>
      <c r="DS42" s="362"/>
      <c r="DT42" s="362"/>
      <c r="DU42" s="362"/>
      <c r="DV42" s="362"/>
      <c r="DW42" s="362"/>
      <c r="DX42" s="34"/>
      <c r="DY42" s="41"/>
      <c r="DZ42" s="41"/>
      <c r="EA42" s="41"/>
      <c r="EB42" s="34"/>
      <c r="EC42" s="34"/>
      <c r="ED42" s="34"/>
      <c r="EH42" s="34"/>
      <c r="EI42" s="34"/>
      <c r="EK42" s="34"/>
      <c r="EM42" s="34"/>
      <c r="EO42" s="34"/>
      <c r="EP42" s="34"/>
      <c r="ER42" s="34"/>
      <c r="ES42" s="34"/>
      <c r="EU42" s="34"/>
      <c r="EV42" s="34"/>
      <c r="EW42" s="34"/>
      <c r="EX42" s="34"/>
      <c r="EY42" s="34"/>
      <c r="EZ42" s="71"/>
      <c r="FA42" s="34"/>
      <c r="FB42" s="71"/>
      <c r="FC42" s="34"/>
      <c r="FD42" s="71"/>
      <c r="FE42" s="34"/>
      <c r="FF42" s="34"/>
      <c r="FG42" s="34"/>
      <c r="FH42" s="34"/>
      <c r="FI42" s="71"/>
      <c r="FJ42" s="34"/>
      <c r="FK42" s="71"/>
      <c r="FL42" s="34"/>
      <c r="FM42" s="71"/>
      <c r="FN42" s="34"/>
      <c r="FO42" s="34"/>
      <c r="FP42" s="34"/>
      <c r="FQ42" s="34"/>
      <c r="FR42" s="71"/>
      <c r="FS42" s="71"/>
      <c r="FT42" s="34"/>
      <c r="FU42" s="71"/>
      <c r="FV42" s="71"/>
      <c r="FW42" s="34"/>
      <c r="FX42" s="34"/>
      <c r="FY42" s="71"/>
      <c r="FZ42" s="71"/>
      <c r="GA42" s="34"/>
      <c r="GB42" s="34"/>
      <c r="GC42" s="71"/>
      <c r="GD42" s="71"/>
      <c r="GE42" s="34"/>
      <c r="GF42" s="34"/>
      <c r="GG42" s="71"/>
      <c r="GH42" s="34"/>
      <c r="GI42" s="71"/>
      <c r="GJ42" s="34"/>
      <c r="GK42" s="34"/>
      <c r="GL42" s="34"/>
      <c r="GM42" s="71"/>
      <c r="GN42" s="34"/>
      <c r="GO42" s="34"/>
      <c r="GP42" s="34"/>
      <c r="GQ42" s="34"/>
      <c r="GR42" s="34"/>
      <c r="GS42" s="34"/>
      <c r="GT42" s="34"/>
      <c r="GU42" s="34"/>
      <c r="GV42" s="34"/>
      <c r="GW42" s="34"/>
    </row>
    <row r="43" spans="1:205" ht="18.75" x14ac:dyDescent="0.3"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347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1"/>
      <c r="BR43" s="41"/>
      <c r="BS43" s="41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62"/>
      <c r="CV43" s="362"/>
      <c r="CW43" s="362"/>
      <c r="CX43" s="362"/>
      <c r="CY43" s="362"/>
      <c r="CZ43" s="362"/>
      <c r="DA43" s="362"/>
      <c r="DB43" s="362"/>
      <c r="DC43" s="362"/>
      <c r="DD43" s="362"/>
      <c r="DE43" s="362"/>
      <c r="DF43" s="362"/>
      <c r="DG43" s="362"/>
      <c r="DH43" s="362"/>
      <c r="DI43" s="362"/>
      <c r="DJ43" s="362"/>
      <c r="DK43" s="362"/>
      <c r="DL43" s="362"/>
      <c r="DM43" s="362"/>
      <c r="DN43" s="362"/>
      <c r="DO43" s="362"/>
      <c r="DP43" s="362"/>
      <c r="DQ43" s="362"/>
      <c r="DR43" s="362"/>
      <c r="DS43" s="362"/>
      <c r="DT43" s="362"/>
      <c r="DU43" s="362"/>
      <c r="DV43" s="362"/>
      <c r="DW43" s="362"/>
      <c r="DX43" s="34"/>
      <c r="DY43" s="41"/>
      <c r="DZ43" s="41"/>
      <c r="EA43" s="41"/>
      <c r="EB43" s="34"/>
      <c r="EC43" s="34"/>
      <c r="ED43" s="34"/>
      <c r="EH43" s="34"/>
      <c r="EI43" s="34"/>
      <c r="EK43" s="34"/>
      <c r="EM43" s="34"/>
      <c r="EO43" s="34"/>
      <c r="EP43" s="34"/>
      <c r="ER43" s="34"/>
      <c r="ES43" s="34"/>
      <c r="EU43" s="34"/>
      <c r="EV43" s="34"/>
      <c r="EW43" s="34"/>
      <c r="EX43" s="34"/>
      <c r="EY43" s="34"/>
      <c r="EZ43" s="71"/>
      <c r="FA43" s="34"/>
      <c r="FB43" s="71"/>
      <c r="FC43" s="34"/>
      <c r="FD43" s="71"/>
      <c r="FE43" s="34"/>
      <c r="FF43" s="34"/>
      <c r="FG43" s="34"/>
      <c r="FH43" s="34"/>
      <c r="FI43" s="71"/>
      <c r="FJ43" s="34"/>
      <c r="FK43" s="71"/>
      <c r="FL43" s="34"/>
      <c r="FM43" s="71"/>
      <c r="FN43" s="34"/>
      <c r="FO43" s="34"/>
      <c r="FP43" s="34"/>
      <c r="FQ43" s="34"/>
      <c r="FR43" s="71"/>
      <c r="FS43" s="71"/>
      <c r="FT43" s="34"/>
      <c r="FU43" s="71"/>
      <c r="FV43" s="71"/>
      <c r="FW43" s="34"/>
      <c r="FX43" s="34"/>
      <c r="FY43" s="71"/>
      <c r="FZ43" s="71"/>
      <c r="GA43" s="34"/>
      <c r="GB43" s="34"/>
      <c r="GC43" s="71"/>
      <c r="GD43" s="71"/>
      <c r="GE43" s="34"/>
      <c r="GF43" s="34"/>
      <c r="GG43" s="71"/>
      <c r="GH43" s="34"/>
      <c r="GI43" s="71"/>
      <c r="GJ43" s="34"/>
      <c r="GK43" s="34"/>
      <c r="GL43" s="34"/>
      <c r="GM43" s="71"/>
      <c r="GN43" s="34"/>
      <c r="GO43" s="34"/>
      <c r="GP43" s="34"/>
      <c r="GQ43" s="34"/>
      <c r="GR43" s="34"/>
      <c r="GS43" s="34"/>
      <c r="GT43" s="34"/>
      <c r="GU43" s="34"/>
      <c r="GV43" s="34"/>
      <c r="GW43" s="34"/>
    </row>
    <row r="44" spans="1:205" ht="18.75" x14ac:dyDescent="0.3">
      <c r="A44" s="472" t="s">
        <v>177</v>
      </c>
      <c r="B44" s="467"/>
      <c r="C44" s="467"/>
      <c r="D44" s="469"/>
      <c r="F44" s="356">
        <v>46013</v>
      </c>
      <c r="G44" s="356">
        <v>46020</v>
      </c>
      <c r="H44" s="356">
        <v>46027</v>
      </c>
      <c r="I44" s="356">
        <v>46034</v>
      </c>
      <c r="J44" s="356">
        <v>46041</v>
      </c>
      <c r="K44" s="356">
        <v>46048</v>
      </c>
      <c r="L44" s="356">
        <v>46055</v>
      </c>
      <c r="M44" s="356">
        <v>46062</v>
      </c>
      <c r="N44" s="356">
        <v>46069</v>
      </c>
      <c r="O44" s="356">
        <v>46076</v>
      </c>
      <c r="P44" s="356">
        <v>46083</v>
      </c>
      <c r="Q44" s="356">
        <v>46090</v>
      </c>
      <c r="R44" s="356">
        <v>46097</v>
      </c>
      <c r="S44" s="356">
        <v>46104</v>
      </c>
      <c r="T44" s="356">
        <v>46111</v>
      </c>
      <c r="U44" s="356">
        <v>46118</v>
      </c>
      <c r="V44" s="356">
        <v>46125</v>
      </c>
      <c r="W44" s="356">
        <v>46132</v>
      </c>
      <c r="X44" s="356">
        <v>46139</v>
      </c>
      <c r="Y44" s="356">
        <v>46146</v>
      </c>
      <c r="Z44" s="356">
        <v>46154</v>
      </c>
      <c r="AA44" s="356">
        <v>46160</v>
      </c>
      <c r="AB44" s="356">
        <v>46161.480125300928</v>
      </c>
      <c r="AC44" s="356">
        <v>46161.480798888893</v>
      </c>
      <c r="AD44" s="356">
        <v>46161.482956643522</v>
      </c>
      <c r="AE44" s="356">
        <v>46161.483285242597</v>
      </c>
      <c r="AI44" s="347"/>
      <c r="AJ44" s="347"/>
      <c r="AK44" s="71"/>
      <c r="AL44" s="41"/>
      <c r="AM44" s="41"/>
      <c r="AN44" s="41"/>
      <c r="AO44" s="41"/>
      <c r="AP44" s="41"/>
      <c r="AQ44" s="41"/>
      <c r="AR44" s="41"/>
      <c r="AS44" s="41"/>
      <c r="AT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1"/>
      <c r="BR44" s="41"/>
      <c r="BS44" s="41"/>
    </row>
    <row r="45" spans="1:205" ht="18.75" hidden="1" customHeight="1" x14ac:dyDescent="0.3">
      <c r="A45" s="470" t="s">
        <v>192</v>
      </c>
      <c r="B45" s="467"/>
      <c r="C45" s="467"/>
      <c r="D45" s="469"/>
      <c r="F45" s="358">
        <v>20</v>
      </c>
      <c r="G45" s="358">
        <v>16</v>
      </c>
      <c r="H45" s="358">
        <v>18</v>
      </c>
      <c r="I45" s="358">
        <v>18</v>
      </c>
      <c r="J45" s="358">
        <v>11</v>
      </c>
      <c r="K45" s="358">
        <v>11</v>
      </c>
      <c r="L45" s="358">
        <v>11</v>
      </c>
      <c r="M45" s="358">
        <v>11</v>
      </c>
      <c r="N45" s="358">
        <v>11</v>
      </c>
      <c r="O45" s="358">
        <v>11</v>
      </c>
      <c r="P45" s="358">
        <v>11</v>
      </c>
      <c r="Q45" s="358">
        <v>3</v>
      </c>
      <c r="R45" s="358">
        <v>3</v>
      </c>
      <c r="S45" s="358">
        <v>3</v>
      </c>
      <c r="T45" s="358">
        <v>3</v>
      </c>
      <c r="U45" s="358">
        <v>3</v>
      </c>
      <c r="V45" s="358">
        <v>0</v>
      </c>
      <c r="W45" s="358">
        <v>0</v>
      </c>
      <c r="X45" s="358">
        <v>0</v>
      </c>
      <c r="Y45" s="358">
        <v>0</v>
      </c>
      <c r="Z45" s="358"/>
      <c r="AA45" s="358"/>
      <c r="AB45" s="448"/>
      <c r="AC45" s="448"/>
      <c r="AD45" s="448"/>
      <c r="AE45" s="448"/>
      <c r="AK45" s="41"/>
      <c r="AL45" s="41"/>
    </row>
    <row r="46" spans="1:205" ht="18.75" hidden="1" customHeight="1" x14ac:dyDescent="0.25">
      <c r="A46" s="470" t="s">
        <v>193</v>
      </c>
      <c r="B46" s="467"/>
      <c r="C46" s="467"/>
      <c r="D46" s="469"/>
      <c r="F46" s="358">
        <v>7</v>
      </c>
      <c r="G46" s="358">
        <v>5</v>
      </c>
      <c r="H46" s="358">
        <v>8</v>
      </c>
      <c r="I46" s="358">
        <v>8</v>
      </c>
      <c r="J46" s="358">
        <v>4</v>
      </c>
      <c r="K46" s="358">
        <v>4</v>
      </c>
      <c r="L46" s="358">
        <v>5</v>
      </c>
      <c r="M46" s="358">
        <v>5</v>
      </c>
      <c r="N46" s="358">
        <v>5</v>
      </c>
      <c r="O46" s="358">
        <v>5</v>
      </c>
      <c r="P46" s="358">
        <v>5</v>
      </c>
      <c r="Q46" s="358">
        <v>0</v>
      </c>
      <c r="R46" s="358">
        <v>0</v>
      </c>
      <c r="S46" s="358">
        <v>0</v>
      </c>
      <c r="T46" s="358">
        <v>0</v>
      </c>
      <c r="U46" s="358">
        <v>0</v>
      </c>
      <c r="V46" s="358">
        <v>0</v>
      </c>
      <c r="W46" s="358">
        <v>0</v>
      </c>
      <c r="X46" s="358">
        <v>0</v>
      </c>
      <c r="Y46" s="358">
        <v>0</v>
      </c>
      <c r="Z46" s="358"/>
      <c r="AA46" s="358"/>
      <c r="AB46" s="448"/>
      <c r="AC46" s="448"/>
      <c r="AD46" s="448"/>
      <c r="AE46" s="448"/>
    </row>
    <row r="47" spans="1:205" ht="18.75" x14ac:dyDescent="0.3">
      <c r="A47" s="470" t="s">
        <v>194</v>
      </c>
      <c r="B47" s="467"/>
      <c r="C47" s="467"/>
      <c r="D47" s="469"/>
      <c r="F47" s="358">
        <v>1</v>
      </c>
      <c r="G47" s="358">
        <v>1</v>
      </c>
      <c r="H47" s="358">
        <v>2</v>
      </c>
      <c r="I47" s="358">
        <v>2</v>
      </c>
      <c r="J47" s="358">
        <v>2</v>
      </c>
      <c r="K47" s="358">
        <v>2</v>
      </c>
      <c r="L47" s="358">
        <v>2</v>
      </c>
      <c r="M47" s="358">
        <v>2</v>
      </c>
      <c r="N47" s="358">
        <v>2</v>
      </c>
      <c r="O47" s="358">
        <v>2</v>
      </c>
      <c r="P47" s="358">
        <v>2</v>
      </c>
      <c r="Q47" s="358">
        <v>2</v>
      </c>
      <c r="R47" s="358">
        <v>2</v>
      </c>
      <c r="S47" s="358">
        <v>2</v>
      </c>
      <c r="T47" s="358">
        <v>2</v>
      </c>
      <c r="U47" s="358">
        <v>2</v>
      </c>
      <c r="V47" s="358">
        <v>2</v>
      </c>
      <c r="W47" s="358">
        <v>2</v>
      </c>
      <c r="X47" s="358">
        <v>2</v>
      </c>
      <c r="Y47" s="358">
        <v>2</v>
      </c>
      <c r="Z47" s="358">
        <v>2</v>
      </c>
      <c r="AA47" s="358"/>
      <c r="AB47" s="448"/>
      <c r="AC47" s="448"/>
      <c r="AD47" s="448"/>
      <c r="AE47" s="448"/>
      <c r="AM47" s="11"/>
      <c r="AN47" s="11"/>
      <c r="AO47" s="11"/>
      <c r="AP47" s="11"/>
      <c r="AQ47" s="11"/>
      <c r="AR47" s="11"/>
      <c r="AS47" s="11"/>
      <c r="AT47" s="11"/>
    </row>
    <row r="48" spans="1:205" ht="18.75" x14ac:dyDescent="0.3">
      <c r="A48" s="470" t="s">
        <v>195</v>
      </c>
      <c r="B48" s="467"/>
      <c r="C48" s="467"/>
      <c r="D48" s="469"/>
      <c r="F48" s="358">
        <v>31</v>
      </c>
      <c r="G48" s="358">
        <v>31</v>
      </c>
      <c r="H48" s="358">
        <v>27</v>
      </c>
      <c r="I48" s="358">
        <v>27</v>
      </c>
      <c r="J48" s="358">
        <v>19</v>
      </c>
      <c r="K48" s="358">
        <v>19</v>
      </c>
      <c r="L48" s="358">
        <v>14</v>
      </c>
      <c r="M48" s="358">
        <v>14</v>
      </c>
      <c r="N48" s="358">
        <v>14</v>
      </c>
      <c r="O48" s="358">
        <v>14</v>
      </c>
      <c r="P48" s="358">
        <v>12</v>
      </c>
      <c r="Q48" s="358">
        <v>10</v>
      </c>
      <c r="R48" s="358">
        <v>10</v>
      </c>
      <c r="S48" s="358">
        <v>10</v>
      </c>
      <c r="T48" s="358">
        <v>10</v>
      </c>
      <c r="U48" s="358">
        <v>9</v>
      </c>
      <c r="V48" s="358">
        <v>2</v>
      </c>
      <c r="W48" s="358">
        <v>2</v>
      </c>
      <c r="X48" s="358">
        <v>1</v>
      </c>
      <c r="Y48" s="358">
        <v>1</v>
      </c>
      <c r="Z48" s="358">
        <v>1</v>
      </c>
      <c r="AA48" s="358"/>
      <c r="AB48" s="448"/>
      <c r="AC48" s="448"/>
      <c r="AD48" s="448"/>
      <c r="AE48" s="448"/>
      <c r="AK48" s="11"/>
      <c r="AL48" s="11"/>
    </row>
    <row r="49" spans="1:31" ht="18.75" x14ac:dyDescent="0.25">
      <c r="A49" s="470" t="s">
        <v>196</v>
      </c>
      <c r="B49" s="467"/>
      <c r="C49" s="467"/>
      <c r="D49" s="469"/>
      <c r="F49" s="358">
        <v>4</v>
      </c>
      <c r="G49" s="358">
        <v>4</v>
      </c>
      <c r="H49" s="358">
        <v>5</v>
      </c>
      <c r="I49" s="358">
        <v>5</v>
      </c>
      <c r="J49" s="358">
        <v>13</v>
      </c>
      <c r="K49" s="358">
        <v>13</v>
      </c>
      <c r="L49" s="358">
        <v>13</v>
      </c>
      <c r="M49" s="358">
        <v>13</v>
      </c>
      <c r="N49" s="358">
        <v>13</v>
      </c>
      <c r="O49" s="358">
        <v>13</v>
      </c>
      <c r="P49" s="358">
        <v>13</v>
      </c>
      <c r="Q49" s="358">
        <v>4</v>
      </c>
      <c r="R49" s="358">
        <v>4</v>
      </c>
      <c r="S49" s="358">
        <v>4</v>
      </c>
      <c r="T49" s="358">
        <v>4</v>
      </c>
      <c r="U49" s="358">
        <v>4</v>
      </c>
      <c r="V49" s="358">
        <v>4</v>
      </c>
      <c r="W49" s="358">
        <v>4</v>
      </c>
      <c r="X49" s="358">
        <v>4</v>
      </c>
      <c r="Y49" s="358">
        <v>4</v>
      </c>
      <c r="Z49" s="358">
        <v>4</v>
      </c>
      <c r="AA49" s="358"/>
      <c r="AB49" s="448"/>
      <c r="AC49" s="448"/>
      <c r="AD49" s="448"/>
      <c r="AE49" s="448"/>
    </row>
    <row r="50" spans="1:31" ht="18.75" x14ac:dyDescent="0.25">
      <c r="A50" s="470" t="s">
        <v>197</v>
      </c>
      <c r="B50" s="467"/>
      <c r="C50" s="467"/>
      <c r="D50" s="469"/>
      <c r="F50" s="358">
        <v>4</v>
      </c>
      <c r="G50" s="358">
        <v>4</v>
      </c>
      <c r="H50" s="358">
        <v>4</v>
      </c>
      <c r="I50" s="358">
        <v>4</v>
      </c>
      <c r="J50" s="358">
        <v>0</v>
      </c>
      <c r="K50" s="358">
        <v>0</v>
      </c>
      <c r="L50" s="358">
        <v>0</v>
      </c>
      <c r="M50" s="358">
        <v>0</v>
      </c>
      <c r="N50" s="358">
        <v>0</v>
      </c>
      <c r="O50" s="358">
        <v>0</v>
      </c>
      <c r="P50" s="358">
        <v>0</v>
      </c>
      <c r="Q50" s="358">
        <v>4</v>
      </c>
      <c r="R50" s="358">
        <v>4</v>
      </c>
      <c r="S50" s="358">
        <v>4</v>
      </c>
      <c r="T50" s="358">
        <v>4</v>
      </c>
      <c r="U50" s="358">
        <v>4</v>
      </c>
      <c r="V50" s="358">
        <v>4</v>
      </c>
      <c r="W50" s="358">
        <v>4</v>
      </c>
      <c r="X50" s="358">
        <v>4</v>
      </c>
      <c r="Y50" s="358">
        <v>4</v>
      </c>
      <c r="Z50" s="358">
        <v>4</v>
      </c>
      <c r="AA50" s="358"/>
      <c r="AB50" s="448"/>
      <c r="AC50" s="448"/>
      <c r="AD50" s="448"/>
      <c r="AE50" s="448"/>
    </row>
    <row r="51" spans="1:31" ht="18.75" hidden="1" customHeight="1" x14ac:dyDescent="0.25">
      <c r="A51" s="470" t="s">
        <v>198</v>
      </c>
      <c r="B51" s="467"/>
      <c r="C51" s="467"/>
      <c r="D51" s="469"/>
      <c r="F51" s="358">
        <v>4</v>
      </c>
      <c r="G51" s="358">
        <v>4</v>
      </c>
      <c r="H51" s="358">
        <v>4</v>
      </c>
      <c r="I51" s="358">
        <v>4</v>
      </c>
      <c r="J51" s="358">
        <v>0</v>
      </c>
      <c r="K51" s="358">
        <v>0</v>
      </c>
      <c r="L51" s="358">
        <v>0</v>
      </c>
      <c r="M51" s="358">
        <v>0</v>
      </c>
      <c r="N51" s="358">
        <v>0</v>
      </c>
      <c r="O51" s="358">
        <v>0</v>
      </c>
      <c r="P51" s="358">
        <v>0</v>
      </c>
      <c r="Q51" s="358">
        <v>0</v>
      </c>
      <c r="R51" s="358">
        <v>0</v>
      </c>
      <c r="S51" s="358">
        <v>0</v>
      </c>
      <c r="T51" s="358">
        <v>0</v>
      </c>
      <c r="U51" s="358">
        <v>0</v>
      </c>
      <c r="V51" s="358">
        <v>0</v>
      </c>
      <c r="W51" s="358">
        <v>0</v>
      </c>
      <c r="X51" s="358">
        <v>0</v>
      </c>
      <c r="Y51" s="358">
        <v>0</v>
      </c>
      <c r="Z51" s="358"/>
      <c r="AA51" s="358"/>
      <c r="AB51" s="448"/>
      <c r="AC51" s="448"/>
      <c r="AD51" s="448"/>
      <c r="AE51" s="448"/>
    </row>
    <row r="52" spans="1:31" ht="18.75" x14ac:dyDescent="0.25">
      <c r="A52" s="470" t="s">
        <v>199</v>
      </c>
      <c r="B52" s="467"/>
      <c r="C52" s="467"/>
      <c r="D52" s="469"/>
      <c r="F52" s="358">
        <v>23</v>
      </c>
      <c r="G52" s="358">
        <v>23</v>
      </c>
      <c r="H52" s="358">
        <v>24</v>
      </c>
      <c r="I52" s="358">
        <v>24</v>
      </c>
      <c r="J52" s="358">
        <v>21</v>
      </c>
      <c r="K52" s="358">
        <v>21</v>
      </c>
      <c r="L52" s="358">
        <v>21</v>
      </c>
      <c r="M52" s="358">
        <v>21</v>
      </c>
      <c r="N52" s="358">
        <v>21</v>
      </c>
      <c r="O52" s="358">
        <v>21</v>
      </c>
      <c r="P52" s="358">
        <v>21</v>
      </c>
      <c r="Q52" s="358">
        <v>21</v>
      </c>
      <c r="R52" s="358">
        <v>21</v>
      </c>
      <c r="S52" s="358">
        <v>21</v>
      </c>
      <c r="T52" s="358">
        <v>21</v>
      </c>
      <c r="U52" s="358">
        <v>20</v>
      </c>
      <c r="V52" s="358">
        <v>20</v>
      </c>
      <c r="W52" s="358">
        <v>20</v>
      </c>
      <c r="X52" s="358">
        <v>20</v>
      </c>
      <c r="Y52" s="358">
        <v>20</v>
      </c>
      <c r="Z52" s="358">
        <v>20</v>
      </c>
      <c r="AA52" s="358"/>
      <c r="AB52" s="448"/>
      <c r="AC52" s="448"/>
      <c r="AD52" s="448"/>
      <c r="AE52" s="448"/>
    </row>
    <row r="53" spans="1:31" ht="18.75" x14ac:dyDescent="0.25">
      <c r="A53" s="470" t="s">
        <v>178</v>
      </c>
      <c r="B53" s="467"/>
      <c r="C53" s="467"/>
      <c r="D53" s="469"/>
      <c r="F53" s="358">
        <v>71</v>
      </c>
      <c r="G53" s="358">
        <v>53</v>
      </c>
      <c r="H53" s="358">
        <v>63</v>
      </c>
      <c r="I53" s="358">
        <v>63</v>
      </c>
      <c r="J53" s="358">
        <v>57</v>
      </c>
      <c r="K53" s="358">
        <v>57</v>
      </c>
      <c r="L53" s="358">
        <v>48</v>
      </c>
      <c r="M53" s="358">
        <v>48</v>
      </c>
      <c r="N53" s="358">
        <v>48</v>
      </c>
      <c r="O53" s="358">
        <v>45</v>
      </c>
      <c r="P53" s="358">
        <v>38</v>
      </c>
      <c r="Q53" s="358">
        <v>28</v>
      </c>
      <c r="R53" s="358">
        <v>25</v>
      </c>
      <c r="S53" s="358">
        <v>18</v>
      </c>
      <c r="T53" s="358">
        <v>18</v>
      </c>
      <c r="U53" s="358">
        <v>12</v>
      </c>
      <c r="V53" s="358">
        <v>10</v>
      </c>
      <c r="W53" s="358">
        <v>10</v>
      </c>
      <c r="X53" s="358">
        <v>9</v>
      </c>
      <c r="Y53" s="358">
        <v>9</v>
      </c>
      <c r="Z53" s="358">
        <v>0</v>
      </c>
      <c r="AA53" s="358"/>
      <c r="AB53" s="448"/>
      <c r="AC53" s="448"/>
      <c r="AD53" s="448"/>
      <c r="AE53" s="448"/>
    </row>
    <row r="54" spans="1:31" ht="18.75" hidden="1" customHeight="1" x14ac:dyDescent="0.25">
      <c r="A54" s="470" t="s">
        <v>179</v>
      </c>
      <c r="B54" s="467"/>
      <c r="C54" s="467"/>
      <c r="D54" s="469"/>
      <c r="F54" s="358">
        <v>28</v>
      </c>
      <c r="G54" s="358">
        <v>19</v>
      </c>
      <c r="H54" s="358">
        <v>18</v>
      </c>
      <c r="I54" s="358">
        <v>18</v>
      </c>
      <c r="J54" s="358">
        <v>13</v>
      </c>
      <c r="K54" s="358">
        <v>13</v>
      </c>
      <c r="L54" s="358">
        <v>6</v>
      </c>
      <c r="M54" s="358">
        <v>6</v>
      </c>
      <c r="N54" s="358">
        <v>6</v>
      </c>
      <c r="O54" s="358">
        <v>2</v>
      </c>
      <c r="P54" s="358">
        <v>0</v>
      </c>
      <c r="Q54" s="358">
        <v>0</v>
      </c>
      <c r="R54" s="358">
        <v>0</v>
      </c>
      <c r="S54" s="358">
        <v>0</v>
      </c>
      <c r="T54" s="358">
        <v>0</v>
      </c>
      <c r="U54" s="358">
        <v>0</v>
      </c>
      <c r="V54" s="358">
        <v>0</v>
      </c>
      <c r="W54" s="358">
        <v>0</v>
      </c>
      <c r="X54" s="358">
        <v>0</v>
      </c>
      <c r="Y54" s="358">
        <v>0</v>
      </c>
      <c r="Z54" s="358"/>
      <c r="AA54" s="358"/>
      <c r="AB54" s="448"/>
      <c r="AC54" s="448"/>
      <c r="AD54" s="448"/>
      <c r="AE54" s="448"/>
    </row>
    <row r="55" spans="1:31" ht="18.75" hidden="1" customHeight="1" x14ac:dyDescent="0.25">
      <c r="A55" s="470" t="s">
        <v>200</v>
      </c>
      <c r="B55" s="467"/>
      <c r="C55" s="467"/>
      <c r="D55" s="469"/>
      <c r="F55" s="358">
        <v>0</v>
      </c>
      <c r="G55" s="358">
        <v>0</v>
      </c>
      <c r="H55" s="358">
        <v>7</v>
      </c>
      <c r="I55" s="358">
        <v>7</v>
      </c>
      <c r="J55" s="358">
        <v>7</v>
      </c>
      <c r="K55" s="358">
        <v>7</v>
      </c>
      <c r="L55" s="358">
        <v>6</v>
      </c>
      <c r="M55" s="358">
        <v>6</v>
      </c>
      <c r="N55" s="358">
        <v>6</v>
      </c>
      <c r="O55" s="358">
        <v>6</v>
      </c>
      <c r="P55" s="358">
        <v>6</v>
      </c>
      <c r="Q55" s="358">
        <v>1</v>
      </c>
      <c r="R55" s="358">
        <v>0</v>
      </c>
      <c r="S55" s="358">
        <v>0</v>
      </c>
      <c r="T55" s="358">
        <v>0</v>
      </c>
      <c r="U55" s="358">
        <v>0</v>
      </c>
      <c r="V55" s="358">
        <v>0</v>
      </c>
      <c r="W55" s="358">
        <v>0</v>
      </c>
      <c r="X55" s="358">
        <v>0</v>
      </c>
      <c r="Y55" s="358">
        <v>0</v>
      </c>
      <c r="Z55" s="358"/>
      <c r="AA55" s="358"/>
      <c r="AB55" s="448"/>
      <c r="AC55" s="448"/>
      <c r="AD55" s="448"/>
      <c r="AE55" s="448"/>
    </row>
    <row r="56" spans="1:31" ht="18.75" x14ac:dyDescent="0.25">
      <c r="A56" s="470" t="s">
        <v>201</v>
      </c>
      <c r="B56" s="467"/>
      <c r="C56" s="467"/>
      <c r="D56" s="469"/>
      <c r="F56" s="358">
        <v>0</v>
      </c>
      <c r="G56" s="358">
        <v>0</v>
      </c>
      <c r="H56" s="358">
        <v>3</v>
      </c>
      <c r="I56" s="358">
        <v>3</v>
      </c>
      <c r="J56" s="358">
        <v>3</v>
      </c>
      <c r="K56" s="358">
        <v>3</v>
      </c>
      <c r="L56" s="358">
        <v>3</v>
      </c>
      <c r="M56" s="358">
        <v>3</v>
      </c>
      <c r="N56" s="358">
        <v>3</v>
      </c>
      <c r="O56" s="358">
        <v>3</v>
      </c>
      <c r="P56" s="358">
        <v>3</v>
      </c>
      <c r="Q56" s="358">
        <v>3</v>
      </c>
      <c r="R56" s="358">
        <v>3</v>
      </c>
      <c r="S56" s="358">
        <v>3</v>
      </c>
      <c r="T56" s="358">
        <v>3</v>
      </c>
      <c r="U56" s="358">
        <v>3</v>
      </c>
      <c r="V56" s="358">
        <v>3</v>
      </c>
      <c r="W56" s="358">
        <v>3</v>
      </c>
      <c r="X56" s="358">
        <v>3</v>
      </c>
      <c r="Y56" s="358">
        <v>3</v>
      </c>
      <c r="Z56" s="358">
        <v>3</v>
      </c>
      <c r="AA56" s="358"/>
      <c r="AB56" s="448"/>
      <c r="AC56" s="448"/>
      <c r="AD56" s="448"/>
      <c r="AE56" s="448"/>
    </row>
    <row r="57" spans="1:31" ht="18.75" x14ac:dyDescent="0.25">
      <c r="A57" s="470" t="s">
        <v>202</v>
      </c>
      <c r="B57" s="467"/>
      <c r="C57" s="467"/>
      <c r="D57" s="469"/>
      <c r="F57" s="358">
        <v>0</v>
      </c>
      <c r="G57" s="358">
        <v>0</v>
      </c>
      <c r="H57" s="358">
        <v>7</v>
      </c>
      <c r="I57" s="358">
        <v>7</v>
      </c>
      <c r="J57" s="358">
        <v>7</v>
      </c>
      <c r="K57" s="358">
        <v>7</v>
      </c>
      <c r="L57" s="358">
        <v>7</v>
      </c>
      <c r="M57" s="358">
        <v>7</v>
      </c>
      <c r="N57" s="358">
        <v>5</v>
      </c>
      <c r="O57" s="358">
        <v>7</v>
      </c>
      <c r="P57" s="358">
        <v>7</v>
      </c>
      <c r="Q57" s="358">
        <v>7</v>
      </c>
      <c r="R57" s="358">
        <v>7</v>
      </c>
      <c r="S57" s="358">
        <v>7</v>
      </c>
      <c r="T57" s="358">
        <v>7</v>
      </c>
      <c r="U57" s="358">
        <v>7</v>
      </c>
      <c r="V57" s="358">
        <v>7</v>
      </c>
      <c r="W57" s="358">
        <v>7</v>
      </c>
      <c r="X57" s="358">
        <v>7</v>
      </c>
      <c r="Y57" s="358">
        <v>7</v>
      </c>
      <c r="Z57" s="358">
        <v>7</v>
      </c>
      <c r="AA57" s="358"/>
      <c r="AB57" s="448"/>
      <c r="AC57" s="448"/>
      <c r="AD57" s="448"/>
      <c r="AE57" s="448"/>
    </row>
    <row r="58" spans="1:31" ht="18.75" hidden="1" customHeight="1" x14ac:dyDescent="0.25">
      <c r="A58" s="470" t="s">
        <v>203</v>
      </c>
      <c r="B58" s="467"/>
      <c r="C58" s="467"/>
      <c r="D58" s="469"/>
      <c r="F58" s="358">
        <v>0</v>
      </c>
      <c r="G58" s="358">
        <v>0</v>
      </c>
      <c r="H58" s="358">
        <v>1</v>
      </c>
      <c r="I58" s="358">
        <v>1</v>
      </c>
      <c r="J58" s="358">
        <v>0</v>
      </c>
      <c r="K58" s="358">
        <v>0</v>
      </c>
      <c r="L58" s="358">
        <v>0</v>
      </c>
      <c r="M58" s="358">
        <v>0</v>
      </c>
      <c r="N58" s="358">
        <v>0</v>
      </c>
      <c r="O58" s="358">
        <v>0</v>
      </c>
      <c r="P58" s="358">
        <v>0</v>
      </c>
      <c r="Q58" s="358">
        <v>0</v>
      </c>
      <c r="R58" s="358">
        <v>0</v>
      </c>
      <c r="S58" s="358">
        <v>0</v>
      </c>
      <c r="T58" s="358">
        <v>0</v>
      </c>
      <c r="U58" s="358">
        <v>0</v>
      </c>
      <c r="V58" s="358">
        <v>0</v>
      </c>
      <c r="W58" s="358">
        <v>0</v>
      </c>
      <c r="X58" s="358">
        <v>0</v>
      </c>
      <c r="Y58" s="358">
        <v>0</v>
      </c>
      <c r="Z58" s="358"/>
      <c r="AA58" s="358"/>
      <c r="AB58" s="448"/>
      <c r="AC58" s="448"/>
      <c r="AD58" s="448"/>
      <c r="AE58" s="448"/>
    </row>
    <row r="59" spans="1:31" ht="18.75" x14ac:dyDescent="0.25">
      <c r="A59" s="470" t="s">
        <v>204</v>
      </c>
      <c r="B59" s="467"/>
      <c r="C59" s="467"/>
      <c r="D59" s="469"/>
      <c r="N59" s="358">
        <v>0</v>
      </c>
      <c r="O59" s="358">
        <v>0</v>
      </c>
      <c r="P59" s="358">
        <v>0</v>
      </c>
      <c r="Q59" s="358">
        <v>0</v>
      </c>
      <c r="R59" s="358">
        <v>30</v>
      </c>
      <c r="S59" s="358">
        <v>30</v>
      </c>
      <c r="T59" s="358">
        <v>30</v>
      </c>
      <c r="U59" s="358">
        <v>30</v>
      </c>
      <c r="V59" s="358">
        <v>60</v>
      </c>
      <c r="W59" s="358">
        <v>60</v>
      </c>
      <c r="X59" s="358">
        <v>60</v>
      </c>
      <c r="Y59" s="358">
        <v>60</v>
      </c>
      <c r="Z59" s="358">
        <v>45</v>
      </c>
      <c r="AA59" s="358"/>
      <c r="AB59" s="448"/>
      <c r="AC59" s="448"/>
      <c r="AD59" s="448"/>
      <c r="AE59" s="448"/>
    </row>
    <row r="60" spans="1:31" ht="18.75" x14ac:dyDescent="0.25">
      <c r="A60" s="470" t="s">
        <v>205</v>
      </c>
      <c r="B60" s="467"/>
      <c r="C60" s="467"/>
      <c r="D60" s="469"/>
      <c r="N60" s="358">
        <v>0</v>
      </c>
      <c r="O60" s="358">
        <v>0</v>
      </c>
      <c r="P60" s="358">
        <v>0</v>
      </c>
      <c r="Q60" s="358">
        <v>0</v>
      </c>
      <c r="R60" s="358">
        <v>0</v>
      </c>
      <c r="S60" s="358">
        <v>38</v>
      </c>
      <c r="T60" s="358">
        <v>38</v>
      </c>
      <c r="U60" s="358">
        <v>38</v>
      </c>
      <c r="V60" s="358">
        <v>30</v>
      </c>
      <c r="W60" s="358">
        <v>30</v>
      </c>
      <c r="X60" s="358">
        <v>30</v>
      </c>
      <c r="Y60" s="358">
        <v>30</v>
      </c>
      <c r="Z60" s="358">
        <v>22</v>
      </c>
      <c r="AA60" s="358"/>
      <c r="AB60" s="448"/>
      <c r="AC60" s="448"/>
      <c r="AD60" s="448"/>
      <c r="AE60" s="448"/>
    </row>
    <row r="61" spans="1:31" ht="18.75" hidden="1" x14ac:dyDescent="0.25">
      <c r="A61" s="335" t="s">
        <v>206</v>
      </c>
      <c r="B61" s="336"/>
      <c r="C61" s="336"/>
      <c r="D61" s="337"/>
      <c r="N61" s="358">
        <v>0</v>
      </c>
      <c r="O61" s="358">
        <v>0</v>
      </c>
      <c r="P61" s="358">
        <v>0</v>
      </c>
      <c r="Q61" s="358">
        <v>0</v>
      </c>
      <c r="R61" s="358">
        <v>0</v>
      </c>
      <c r="S61" s="358">
        <v>0</v>
      </c>
      <c r="T61" s="358">
        <v>29</v>
      </c>
      <c r="U61" s="358">
        <v>29</v>
      </c>
      <c r="V61" s="358">
        <v>0</v>
      </c>
      <c r="W61" s="358">
        <v>0</v>
      </c>
      <c r="X61" s="358">
        <v>0</v>
      </c>
      <c r="Y61" s="358">
        <v>0</v>
      </c>
      <c r="Z61" s="358"/>
      <c r="AA61" s="358"/>
      <c r="AB61" s="448"/>
      <c r="AC61" s="448"/>
      <c r="AD61" s="448"/>
      <c r="AE61" s="448"/>
    </row>
    <row r="62" spans="1:31" ht="18.75" x14ac:dyDescent="0.25">
      <c r="A62" s="335" t="s">
        <v>207</v>
      </c>
      <c r="B62" s="336"/>
      <c r="C62" s="336"/>
      <c r="D62" s="337"/>
      <c r="N62" s="358"/>
      <c r="O62" s="358"/>
      <c r="P62" s="358"/>
      <c r="Q62" s="358"/>
      <c r="R62" s="358">
        <v>0</v>
      </c>
      <c r="S62" s="358">
        <v>0</v>
      </c>
      <c r="T62" s="358">
        <v>0</v>
      </c>
      <c r="U62" s="358">
        <v>0</v>
      </c>
      <c r="V62" s="358">
        <v>0</v>
      </c>
      <c r="W62" s="358">
        <v>60</v>
      </c>
      <c r="X62" s="358">
        <v>51</v>
      </c>
      <c r="Y62" s="358">
        <v>42</v>
      </c>
      <c r="Z62" s="358">
        <v>12</v>
      </c>
      <c r="AA62" s="358"/>
      <c r="AB62" s="448"/>
      <c r="AC62" s="448"/>
      <c r="AD62" s="448"/>
      <c r="AE62" s="448"/>
    </row>
    <row r="63" spans="1:31" ht="18.75" x14ac:dyDescent="0.25">
      <c r="A63" s="335" t="s">
        <v>208</v>
      </c>
      <c r="B63" s="336"/>
      <c r="C63" s="336"/>
      <c r="D63" s="337"/>
      <c r="R63" s="358">
        <v>0</v>
      </c>
      <c r="S63" s="358">
        <v>0</v>
      </c>
      <c r="T63" s="358">
        <v>0</v>
      </c>
      <c r="U63" s="358">
        <v>0</v>
      </c>
      <c r="V63" s="358">
        <v>0</v>
      </c>
      <c r="W63" s="358">
        <v>65</v>
      </c>
      <c r="X63" s="358">
        <v>50</v>
      </c>
      <c r="Y63" s="358">
        <v>39</v>
      </c>
      <c r="Z63" s="358">
        <v>20</v>
      </c>
      <c r="AA63" s="358"/>
      <c r="AB63" s="448"/>
      <c r="AC63" s="448"/>
      <c r="AD63" s="448"/>
      <c r="AE63" s="448"/>
    </row>
    <row r="64" spans="1:31" ht="18.75" x14ac:dyDescent="0.25">
      <c r="A64" s="470"/>
      <c r="B64" s="467"/>
      <c r="C64" s="467"/>
      <c r="D64" s="469"/>
      <c r="R64" s="358"/>
      <c r="S64" s="358"/>
      <c r="T64" s="358"/>
      <c r="U64" s="358"/>
      <c r="V64" s="358"/>
      <c r="W64" s="358"/>
      <c r="X64" s="358"/>
      <c r="Y64" s="358"/>
      <c r="Z64" s="358"/>
      <c r="AA64" s="358"/>
      <c r="AB64" s="448"/>
      <c r="AC64" s="448"/>
      <c r="AD64" s="448"/>
      <c r="AE64" s="448"/>
    </row>
  </sheetData>
  <mergeCells count="28">
    <mergeCell ref="BB7:BJ7"/>
    <mergeCell ref="B3:D3"/>
    <mergeCell ref="A50:D50"/>
    <mergeCell ref="A55:D55"/>
    <mergeCell ref="A57:D57"/>
    <mergeCell ref="A47:D47"/>
    <mergeCell ref="C5:C6"/>
    <mergeCell ref="A5:A6"/>
    <mergeCell ref="A45:D45"/>
    <mergeCell ref="A54:D54"/>
    <mergeCell ref="A1:AB1"/>
    <mergeCell ref="A39:C39"/>
    <mergeCell ref="A46:D46"/>
    <mergeCell ref="B5:B6"/>
    <mergeCell ref="D5:D6"/>
    <mergeCell ref="B2:D2"/>
    <mergeCell ref="A64:D64"/>
    <mergeCell ref="A59:D59"/>
    <mergeCell ref="A51:D51"/>
    <mergeCell ref="A49:D49"/>
    <mergeCell ref="A60:D60"/>
    <mergeCell ref="A56:D56"/>
    <mergeCell ref="A53:D53"/>
    <mergeCell ref="A52:D52"/>
    <mergeCell ref="A44:D44"/>
    <mergeCell ref="A42:C42"/>
    <mergeCell ref="A58:D58"/>
    <mergeCell ref="A48:D48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64" fitToHeight="0"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56">
    <tabColor theme="9"/>
  </sheetPr>
  <dimension ref="A1:GM64"/>
  <sheetViews>
    <sheetView showGridLines="0" topLeftCell="A4" zoomScale="80" zoomScaleNormal="80" zoomScaleSheetLayoutView="50" workbookViewId="0">
      <selection activeCell="AA14" activeCellId="1" sqref="AA8:AA11 AA14:AA17"/>
    </sheetView>
  </sheetViews>
  <sheetFormatPr defaultColWidth="9.140625" defaultRowHeight="18.75" x14ac:dyDescent="0.3"/>
  <cols>
    <col min="1" max="1" width="28.28515625" style="11" customWidth="1"/>
    <col min="2" max="2" width="9" style="11" customWidth="1"/>
    <col min="3" max="3" width="15.140625" style="11" customWidth="1"/>
    <col min="4" max="4" width="14.42578125" style="11" customWidth="1"/>
    <col min="5" max="5" width="2" style="11" customWidth="1"/>
    <col min="6" max="24" width="8.28515625" style="11" hidden="1" customWidth="1"/>
    <col min="25" max="26" width="8.28515625" style="11" customWidth="1"/>
    <col min="27" max="27" width="9.28515625" style="11" customWidth="1"/>
    <col min="28" max="28" width="1.28515625" style="34" customWidth="1"/>
    <col min="29" max="29" width="22.7109375" style="34" bestFit="1" customWidth="1"/>
    <col min="30" max="30" width="1.28515625" style="11" customWidth="1"/>
    <col min="31" max="31" width="15.5703125" style="11" customWidth="1"/>
    <col min="32" max="32" width="1.140625" style="11" customWidth="1"/>
    <col min="33" max="33" width="8.7109375" style="71" customWidth="1"/>
    <col min="34" max="34" width="14.42578125" style="71" bestFit="1" customWidth="1"/>
    <col min="35" max="35" width="8.7109375" style="71" customWidth="1"/>
    <col min="36" max="36" width="14.42578125" style="71" bestFit="1" customWidth="1"/>
    <col min="37" max="39" width="8.7109375" style="71" customWidth="1"/>
    <col min="40" max="45" width="8.7109375" style="71" hidden="1" customWidth="1"/>
    <col min="46" max="46" width="12.85546875" style="71" hidden="1" customWidth="1"/>
    <col min="47" max="47" width="8.7109375" style="71" hidden="1" customWidth="1"/>
    <col min="48" max="48" width="12.85546875" style="71" hidden="1" customWidth="1"/>
    <col min="49" max="51" width="8.7109375" style="71" hidden="1" customWidth="1"/>
    <col min="52" max="52" width="9.140625" style="11" customWidth="1"/>
    <col min="53" max="53" width="21.85546875" style="11" bestFit="1" customWidth="1"/>
    <col min="54" max="54" width="9.140625" style="11" customWidth="1"/>
    <col min="55" max="58" width="13" style="11" hidden="1" customWidth="1"/>
    <col min="59" max="59" width="9.140625" style="11" customWidth="1"/>
    <col min="60" max="16384" width="9.140625" style="11"/>
  </cols>
  <sheetData>
    <row r="1" spans="1:61" ht="23.25" customHeight="1" x14ac:dyDescent="0.3">
      <c r="A1" s="477" t="s">
        <v>117</v>
      </c>
      <c r="B1" s="479"/>
      <c r="C1" s="479"/>
      <c r="D1" s="479"/>
      <c r="E1" s="479"/>
      <c r="F1" s="479"/>
      <c r="G1" s="479"/>
      <c r="H1" s="479"/>
      <c r="I1" s="479"/>
      <c r="J1" s="479"/>
      <c r="K1" s="479"/>
      <c r="L1" s="479"/>
      <c r="M1" s="479"/>
      <c r="N1" s="479"/>
      <c r="O1" s="479"/>
      <c r="P1" s="479"/>
      <c r="Q1" s="479"/>
      <c r="R1" s="479"/>
      <c r="S1" s="479"/>
      <c r="T1" s="479"/>
      <c r="U1" s="479"/>
      <c r="V1" s="479"/>
      <c r="W1" s="479"/>
      <c r="X1" s="479"/>
      <c r="Y1" s="479"/>
      <c r="Z1" s="479"/>
      <c r="AA1" s="479"/>
      <c r="AB1" s="480"/>
      <c r="AC1" s="353"/>
      <c r="AD1" s="353"/>
      <c r="AE1" s="353"/>
      <c r="AF1" s="353"/>
      <c r="AG1" s="353"/>
      <c r="AH1" s="353"/>
      <c r="AI1" s="353"/>
      <c r="AJ1" s="353"/>
      <c r="AK1" s="353"/>
      <c r="AL1" s="353"/>
      <c r="AM1" s="353"/>
      <c r="AN1" s="353"/>
      <c r="AO1" s="353"/>
      <c r="AP1" s="353"/>
      <c r="AQ1" s="353"/>
      <c r="AR1" s="353"/>
      <c r="AS1" s="353"/>
      <c r="AT1" s="353"/>
      <c r="AU1" s="353"/>
      <c r="AV1" s="353"/>
      <c r="AW1" s="353"/>
      <c r="AX1" s="353"/>
      <c r="AY1" s="353"/>
    </row>
    <row r="2" spans="1:61" x14ac:dyDescent="0.3">
      <c r="A2" s="28" t="s">
        <v>118</v>
      </c>
      <c r="B2" s="473" t="s">
        <v>181</v>
      </c>
      <c r="C2" s="463"/>
      <c r="D2" s="464"/>
      <c r="AB2" s="11"/>
      <c r="AC2" s="11"/>
    </row>
    <row r="3" spans="1:61" x14ac:dyDescent="0.3">
      <c r="A3" s="28" t="s">
        <v>120</v>
      </c>
      <c r="B3" s="465" t="s">
        <v>182</v>
      </c>
      <c r="C3" s="463"/>
      <c r="D3" s="464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11"/>
      <c r="AD3" s="7"/>
    </row>
    <row r="4" spans="1:61" x14ac:dyDescent="0.3">
      <c r="AB4" s="74"/>
      <c r="AG4" s="387"/>
      <c r="AH4" s="387"/>
      <c r="AI4" s="387"/>
      <c r="AJ4" s="387"/>
      <c r="AK4" s="387"/>
      <c r="AL4" s="387"/>
      <c r="AM4" s="387"/>
      <c r="AN4" s="387"/>
      <c r="AO4" s="387"/>
      <c r="AP4" s="387"/>
      <c r="AQ4" s="387"/>
      <c r="AR4" s="387"/>
      <c r="AS4" s="387"/>
      <c r="AT4" s="387"/>
      <c r="AU4" s="387"/>
      <c r="AV4" s="387"/>
      <c r="AW4" s="387"/>
      <c r="AX4" s="387"/>
      <c r="AY4" s="387"/>
    </row>
    <row r="5" spans="1:61" ht="21.75" customHeight="1" x14ac:dyDescent="0.3">
      <c r="A5" s="476" t="s">
        <v>122</v>
      </c>
      <c r="B5" s="471" t="s">
        <v>123</v>
      </c>
      <c r="C5" s="471" t="s">
        <v>124</v>
      </c>
      <c r="D5" s="474" t="s">
        <v>125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116"/>
      <c r="AC5" s="29" t="s">
        <v>126</v>
      </c>
      <c r="AE5" s="9" t="s">
        <v>127</v>
      </c>
      <c r="AG5" s="363"/>
      <c r="AH5" s="339" t="s">
        <v>128</v>
      </c>
      <c r="AI5" s="363">
        <v>46142</v>
      </c>
      <c r="AJ5" s="339" t="s">
        <v>128</v>
      </c>
      <c r="AK5" s="363">
        <v>46114</v>
      </c>
      <c r="AL5" s="409">
        <v>46065</v>
      </c>
      <c r="AM5" s="363">
        <v>46092</v>
      </c>
      <c r="AN5" s="363">
        <v>46056</v>
      </c>
      <c r="AO5" s="363">
        <v>46048</v>
      </c>
      <c r="AP5" s="363">
        <v>46043</v>
      </c>
      <c r="AQ5" s="363">
        <v>46035</v>
      </c>
      <c r="AR5" s="363">
        <v>46024</v>
      </c>
      <c r="AS5" s="363">
        <v>46017</v>
      </c>
      <c r="AT5" s="371" t="s">
        <v>128</v>
      </c>
      <c r="AU5" s="363">
        <v>46007</v>
      </c>
      <c r="AV5" s="371" t="s">
        <v>128</v>
      </c>
      <c r="AW5" s="363">
        <v>46001</v>
      </c>
      <c r="AX5" s="363">
        <v>45994</v>
      </c>
      <c r="AY5" s="363">
        <v>45986</v>
      </c>
    </row>
    <row r="6" spans="1:61" s="3" customFormat="1" x14ac:dyDescent="0.3">
      <c r="A6" s="461"/>
      <c r="B6" s="461"/>
      <c r="C6" s="461"/>
      <c r="D6" s="461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35" t="s">
        <v>129</v>
      </c>
      <c r="AB6" s="116"/>
      <c r="AC6" s="180"/>
      <c r="AD6" s="31"/>
      <c r="AE6" s="179">
        <v>46155</v>
      </c>
      <c r="AF6" s="31"/>
      <c r="AG6" s="363"/>
      <c r="AH6" s="339">
        <v>46148</v>
      </c>
      <c r="AI6" s="363">
        <v>46153</v>
      </c>
      <c r="AJ6" s="339">
        <v>46146</v>
      </c>
      <c r="AK6" s="363">
        <v>46125</v>
      </c>
      <c r="AL6" s="409">
        <v>46112</v>
      </c>
      <c r="AM6" s="363">
        <v>46100</v>
      </c>
      <c r="AN6" s="363">
        <v>46062</v>
      </c>
      <c r="AO6" s="363">
        <v>46056</v>
      </c>
      <c r="AP6" s="363">
        <v>46048</v>
      </c>
      <c r="AQ6" s="363">
        <v>46041</v>
      </c>
      <c r="AR6" s="363">
        <v>46037</v>
      </c>
      <c r="AS6" s="363">
        <v>46028</v>
      </c>
      <c r="AT6" s="371">
        <v>46386</v>
      </c>
      <c r="AU6" s="363">
        <v>46014</v>
      </c>
      <c r="AV6" s="371">
        <v>46014</v>
      </c>
      <c r="AW6" s="363">
        <v>46009</v>
      </c>
      <c r="AX6" s="363">
        <v>46003</v>
      </c>
      <c r="AY6" s="363">
        <v>45994</v>
      </c>
      <c r="BA6" s="11"/>
      <c r="BB6" s="11"/>
      <c r="BC6" s="11"/>
      <c r="BD6" s="11"/>
      <c r="BE6" s="11"/>
      <c r="BF6" s="11"/>
      <c r="BG6" s="11"/>
      <c r="BH6" s="11"/>
      <c r="BI6" s="11"/>
    </row>
    <row r="7" spans="1:61" s="3" customFormat="1" ht="21.75" customHeight="1" x14ac:dyDescent="0.3">
      <c r="A7" s="4" t="s">
        <v>130</v>
      </c>
      <c r="B7" s="4"/>
      <c r="C7" s="5"/>
      <c r="D7" s="233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1"/>
      <c r="AC7" s="84"/>
      <c r="AD7" s="11"/>
      <c r="AE7" s="111"/>
      <c r="AF7" s="11"/>
      <c r="AG7" s="12"/>
      <c r="AH7" s="12"/>
      <c r="AI7" s="12"/>
      <c r="AJ7" s="12"/>
      <c r="AK7" s="12"/>
      <c r="AL7" s="12" t="s">
        <v>131</v>
      </c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BA7" s="475" t="s">
        <v>180</v>
      </c>
      <c r="BB7" s="467"/>
      <c r="BC7" s="467"/>
      <c r="BD7" s="467"/>
      <c r="BE7" s="467"/>
      <c r="BF7" s="467"/>
      <c r="BG7" s="467"/>
      <c r="BH7" s="467"/>
      <c r="BI7" s="469"/>
    </row>
    <row r="8" spans="1:61" s="3" customFormat="1" ht="19.5" customHeight="1" x14ac:dyDescent="0.3">
      <c r="A8" s="21" t="s">
        <v>132</v>
      </c>
      <c r="B8" s="6">
        <v>300</v>
      </c>
      <c r="C8" s="82">
        <v>187.12</v>
      </c>
      <c r="D8" s="234">
        <v>250</v>
      </c>
      <c r="E8" s="11"/>
      <c r="F8" s="39">
        <v>430</v>
      </c>
      <c r="G8" s="39">
        <v>717</v>
      </c>
      <c r="H8" s="39">
        <f>570+AS8</f>
        <v>870</v>
      </c>
      <c r="I8" s="39">
        <v>817</v>
      </c>
      <c r="J8" s="39">
        <v>800</v>
      </c>
      <c r="K8" s="39">
        <v>720</v>
      </c>
      <c r="L8" s="39">
        <v>720</v>
      </c>
      <c r="M8" s="39">
        <v>670</v>
      </c>
      <c r="N8" s="39">
        <v>600</v>
      </c>
      <c r="O8" s="39">
        <v>600</v>
      </c>
      <c r="P8" s="39">
        <v>550</v>
      </c>
      <c r="Q8" s="39">
        <v>500</v>
      </c>
      <c r="R8" s="39">
        <v>450</v>
      </c>
      <c r="S8" s="39">
        <v>420</v>
      </c>
      <c r="T8" s="39">
        <v>340</v>
      </c>
      <c r="U8" s="39">
        <v>300</v>
      </c>
      <c r="V8" s="39">
        <v>270</v>
      </c>
      <c r="W8" s="39">
        <v>270</v>
      </c>
      <c r="X8" s="39">
        <v>210</v>
      </c>
      <c r="Y8" s="39">
        <f>190+AI8300</f>
        <v>190</v>
      </c>
      <c r="Z8" s="39">
        <v>280</v>
      </c>
      <c r="AA8" s="372">
        <f ca="1">Y8+IF(NOT(ISBLANK(OFFSET(AA8,0,6))),N(OFFSET(AA8,0,6)),N(OFFSET(AA8,0,7)))-Z8</f>
        <v>-90</v>
      </c>
      <c r="AB8" s="355"/>
      <c r="AC8" s="78"/>
      <c r="AD8" s="11"/>
      <c r="AE8" s="32"/>
      <c r="AF8" s="11"/>
      <c r="AG8" s="19">
        <v>0</v>
      </c>
      <c r="AH8" s="253" t="s">
        <v>183</v>
      </c>
      <c r="AI8" s="19">
        <v>300</v>
      </c>
      <c r="AJ8" s="296"/>
      <c r="AK8" s="19"/>
      <c r="AL8" s="19"/>
      <c r="AM8" s="19"/>
      <c r="AN8" s="19"/>
      <c r="AO8" s="19"/>
      <c r="AP8" s="19"/>
      <c r="AQ8" s="19"/>
      <c r="AR8" s="19"/>
      <c r="AS8" s="19">
        <v>300</v>
      </c>
      <c r="AT8" s="19"/>
      <c r="AU8" s="19"/>
      <c r="AV8" s="19"/>
      <c r="AW8" s="19">
        <v>300</v>
      </c>
      <c r="AX8" s="19">
        <v>300</v>
      </c>
      <c r="AY8" s="19"/>
      <c r="BA8" s="389" t="s">
        <v>130</v>
      </c>
      <c r="BB8" s="376" t="s">
        <v>123</v>
      </c>
      <c r="BC8" s="13">
        <v>46118</v>
      </c>
      <c r="BD8" s="13">
        <v>46125</v>
      </c>
      <c r="BE8" s="13">
        <v>46132</v>
      </c>
      <c r="BF8" s="13">
        <v>46139</v>
      </c>
      <c r="BG8" s="13">
        <v>46146</v>
      </c>
      <c r="BH8" s="13">
        <v>46154</v>
      </c>
      <c r="BI8" s="35" t="s">
        <v>129</v>
      </c>
    </row>
    <row r="9" spans="1:61" s="3" customFormat="1" ht="19.5" customHeight="1" x14ac:dyDescent="0.3">
      <c r="A9" s="21" t="s">
        <v>134</v>
      </c>
      <c r="B9" s="6">
        <v>200</v>
      </c>
      <c r="C9" s="82">
        <v>193.08</v>
      </c>
      <c r="D9" s="234">
        <v>500</v>
      </c>
      <c r="E9" s="11"/>
      <c r="F9" s="39">
        <f>160+AU9+200</f>
        <v>760</v>
      </c>
      <c r="G9" s="39">
        <f>0+200</f>
        <v>200</v>
      </c>
      <c r="H9" s="39">
        <f>110+AS9</f>
        <v>910</v>
      </c>
      <c r="I9" s="39">
        <v>740</v>
      </c>
      <c r="J9" s="39">
        <f>560+AQ9</f>
        <v>960</v>
      </c>
      <c r="K9" s="39">
        <v>780</v>
      </c>
      <c r="L9" s="39">
        <f>740+AO9</f>
        <v>1140</v>
      </c>
      <c r="M9" s="39">
        <v>1120</v>
      </c>
      <c r="N9" s="39">
        <v>800</v>
      </c>
      <c r="O9" s="39">
        <v>740</v>
      </c>
      <c r="P9" s="39">
        <v>600</v>
      </c>
      <c r="Q9" s="39">
        <v>420</v>
      </c>
      <c r="R9" s="39">
        <f>300+AM9</f>
        <v>700</v>
      </c>
      <c r="S9" s="39">
        <v>600</v>
      </c>
      <c r="T9" s="39">
        <v>460</v>
      </c>
      <c r="U9" s="39">
        <v>340</v>
      </c>
      <c r="V9" s="39">
        <v>340</v>
      </c>
      <c r="W9" s="39">
        <v>340</v>
      </c>
      <c r="X9" s="39">
        <v>340</v>
      </c>
      <c r="Y9" s="39">
        <f>340+AI9</f>
        <v>740</v>
      </c>
      <c r="Z9" s="39">
        <v>460</v>
      </c>
      <c r="AA9" s="372">
        <f ca="1">Y9+IF(NOT(ISBLANK(OFFSET(AA9,0,6))),N(OFFSET(AA9,0,6)),N(OFFSET(AA9,0,7)))-Z9</f>
        <v>280</v>
      </c>
      <c r="AB9" s="109"/>
      <c r="AC9" s="78"/>
      <c r="AD9" s="11"/>
      <c r="AE9" s="32"/>
      <c r="AF9" s="11"/>
      <c r="AG9" s="296">
        <v>0</v>
      </c>
      <c r="AH9" s="296"/>
      <c r="AI9" s="296">
        <v>400</v>
      </c>
      <c r="AJ9" s="296"/>
      <c r="AK9" s="19">
        <v>200</v>
      </c>
      <c r="AL9" s="117">
        <v>1000</v>
      </c>
      <c r="AM9" s="19">
        <v>400</v>
      </c>
      <c r="AN9" s="19"/>
      <c r="AO9" s="19">
        <v>400</v>
      </c>
      <c r="AP9" s="19"/>
      <c r="AQ9" s="19">
        <v>400</v>
      </c>
      <c r="AR9" s="19"/>
      <c r="AS9" s="19">
        <v>800</v>
      </c>
      <c r="AT9" s="253" t="s">
        <v>184</v>
      </c>
      <c r="AU9" s="19">
        <v>400</v>
      </c>
      <c r="AV9" s="253" t="s">
        <v>185</v>
      </c>
      <c r="AW9" s="19">
        <v>200</v>
      </c>
      <c r="AX9" s="19"/>
      <c r="AY9" s="19">
        <v>200</v>
      </c>
      <c r="BA9" s="364" t="s">
        <v>136</v>
      </c>
      <c r="BB9" s="135">
        <v>200</v>
      </c>
      <c r="BC9" s="39">
        <f>AL9</f>
        <v>1000</v>
      </c>
      <c r="BD9" s="39">
        <v>880</v>
      </c>
      <c r="BE9" s="39">
        <v>800</v>
      </c>
      <c r="BF9" s="39">
        <v>620</v>
      </c>
      <c r="BG9" s="39">
        <v>535</v>
      </c>
      <c r="BH9" s="39">
        <v>160</v>
      </c>
      <c r="BI9" s="26">
        <f ca="1">BG9+IF(NOT(ISBLANK(OFFSET(BI9,0,6))),N(OFFSET(BI9,0,6)),N(OFFSET(BI9,0,7)))-BH9</f>
        <v>375</v>
      </c>
    </row>
    <row r="10" spans="1:61" s="3" customFormat="1" ht="19.5" customHeight="1" x14ac:dyDescent="0.3">
      <c r="A10" s="21" t="s">
        <v>137</v>
      </c>
      <c r="B10" s="6">
        <v>200</v>
      </c>
      <c r="C10" s="82">
        <v>253.83</v>
      </c>
      <c r="D10" s="234">
        <v>350</v>
      </c>
      <c r="E10" s="11"/>
      <c r="F10" s="39">
        <f>200+AU10</f>
        <v>600</v>
      </c>
      <c r="G10" s="39">
        <v>297</v>
      </c>
      <c r="H10" s="39">
        <f>260+AS10</f>
        <v>660</v>
      </c>
      <c r="I10" s="39">
        <v>580</v>
      </c>
      <c r="J10" s="39">
        <v>530</v>
      </c>
      <c r="K10" s="39">
        <v>460</v>
      </c>
      <c r="L10" s="39">
        <v>380</v>
      </c>
      <c r="M10" s="39">
        <v>500</v>
      </c>
      <c r="N10" s="39">
        <v>400</v>
      </c>
      <c r="O10" s="39">
        <v>340</v>
      </c>
      <c r="P10" s="39">
        <v>260</v>
      </c>
      <c r="Q10" s="39">
        <v>200</v>
      </c>
      <c r="R10" s="39">
        <f>100+AM10</f>
        <v>300</v>
      </c>
      <c r="S10" s="39">
        <v>240</v>
      </c>
      <c r="T10" s="39">
        <v>180</v>
      </c>
      <c r="U10" s="39">
        <v>100</v>
      </c>
      <c r="V10" s="39">
        <v>148</v>
      </c>
      <c r="W10" s="39">
        <v>148</v>
      </c>
      <c r="X10" s="39">
        <v>148</v>
      </c>
      <c r="Y10" s="39">
        <f>148+AI10</f>
        <v>348</v>
      </c>
      <c r="Z10" s="39">
        <v>260</v>
      </c>
      <c r="AA10" s="372">
        <f ca="1">Y10+IF(NOT(ISBLANK(OFFSET(AA10,0,6))),N(OFFSET(AA10,0,6)),N(OFFSET(AA10,0,7)))-Z10</f>
        <v>88</v>
      </c>
      <c r="AB10" s="109"/>
      <c r="AC10" s="78"/>
      <c r="AD10" s="11"/>
      <c r="AE10" s="32">
        <v>200</v>
      </c>
      <c r="AF10" s="11"/>
      <c r="AG10" s="296">
        <v>0</v>
      </c>
      <c r="AH10" s="296"/>
      <c r="AI10" s="296">
        <v>200</v>
      </c>
      <c r="AJ10" s="296"/>
      <c r="AK10" s="19">
        <v>200</v>
      </c>
      <c r="AL10" s="117">
        <v>600</v>
      </c>
      <c r="AM10" s="19">
        <v>200</v>
      </c>
      <c r="AN10" s="19">
        <v>200</v>
      </c>
      <c r="AO10" s="19"/>
      <c r="AP10" s="19"/>
      <c r="AQ10" s="19"/>
      <c r="AR10" s="19"/>
      <c r="AS10" s="19">
        <v>400</v>
      </c>
      <c r="AT10" s="19"/>
      <c r="AU10" s="19">
        <v>400</v>
      </c>
      <c r="AV10" s="19"/>
      <c r="AW10" s="19"/>
      <c r="AX10" s="19"/>
      <c r="AY10" s="19"/>
      <c r="BA10" s="21" t="s">
        <v>138</v>
      </c>
      <c r="BB10" s="6">
        <v>200</v>
      </c>
      <c r="BC10" s="39">
        <f>AL10</f>
        <v>600</v>
      </c>
      <c r="BD10" s="39">
        <v>460</v>
      </c>
      <c r="BE10" s="39">
        <v>400</v>
      </c>
      <c r="BF10" s="39">
        <v>320</v>
      </c>
      <c r="BG10" s="39">
        <v>260</v>
      </c>
      <c r="BH10" s="39">
        <v>0</v>
      </c>
      <c r="BI10" s="26">
        <f ca="1">BG10+IF(NOT(ISBLANK(OFFSET(BI10,0,6))),N(OFFSET(BI10,0,6)),N(OFFSET(BI10,0,7)))-BH10</f>
        <v>260</v>
      </c>
    </row>
    <row r="11" spans="1:61" s="3" customFormat="1" ht="19.5" customHeight="1" x14ac:dyDescent="0.3">
      <c r="A11" s="22" t="s">
        <v>139</v>
      </c>
      <c r="B11" s="6">
        <v>100</v>
      </c>
      <c r="C11" s="82">
        <v>184.57</v>
      </c>
      <c r="D11" s="234">
        <v>50</v>
      </c>
      <c r="E11" s="11"/>
      <c r="F11" s="39">
        <f>0+100</f>
        <v>100</v>
      </c>
      <c r="G11" s="39">
        <v>24</v>
      </c>
      <c r="H11" s="39">
        <f>24+AS11</f>
        <v>124</v>
      </c>
      <c r="I11" s="39">
        <v>79</v>
      </c>
      <c r="J11" s="39">
        <v>55</v>
      </c>
      <c r="K11" s="39">
        <v>35</v>
      </c>
      <c r="L11" s="39">
        <v>15</v>
      </c>
      <c r="M11" s="39">
        <v>115</v>
      </c>
      <c r="N11" s="39">
        <v>115</v>
      </c>
      <c r="O11" s="39">
        <v>100</v>
      </c>
      <c r="P11" s="39">
        <v>60</v>
      </c>
      <c r="Q11" s="39">
        <v>60</v>
      </c>
      <c r="R11" s="39">
        <v>60</v>
      </c>
      <c r="S11" s="39">
        <v>60</v>
      </c>
      <c r="T11" s="39">
        <v>60</v>
      </c>
      <c r="U11" s="39">
        <v>40</v>
      </c>
      <c r="V11" s="39">
        <v>87</v>
      </c>
      <c r="W11" s="39">
        <v>60</v>
      </c>
      <c r="X11" s="39">
        <v>60</v>
      </c>
      <c r="Y11" s="39">
        <f>60+AI11</f>
        <v>160</v>
      </c>
      <c r="Z11" s="39">
        <v>0</v>
      </c>
      <c r="AA11" s="372">
        <f ca="1">Y11+IF(NOT(ISBLANK(OFFSET(AA11,0,6))),N(OFFSET(AA11,0,6)),N(OFFSET(AA11,0,7)))-Z11</f>
        <v>160</v>
      </c>
      <c r="AB11" s="109"/>
      <c r="AC11" s="411" t="s">
        <v>186</v>
      </c>
      <c r="AD11" s="11"/>
      <c r="AE11" s="32"/>
      <c r="AF11" s="11"/>
      <c r="AG11" s="296">
        <v>0</v>
      </c>
      <c r="AH11" s="296"/>
      <c r="AI11" s="296">
        <v>100</v>
      </c>
      <c r="AJ11" s="296"/>
      <c r="AK11" s="19"/>
      <c r="AL11" s="117">
        <v>100</v>
      </c>
      <c r="AM11" s="19"/>
      <c r="AN11" s="19">
        <v>100</v>
      </c>
      <c r="AO11" s="19"/>
      <c r="AP11" s="19"/>
      <c r="AQ11" s="19"/>
      <c r="AR11" s="19"/>
      <c r="AS11" s="19">
        <v>100</v>
      </c>
      <c r="AT11" s="19"/>
      <c r="AU11" s="19"/>
      <c r="AV11" s="253" t="s">
        <v>187</v>
      </c>
      <c r="AW11" s="19">
        <v>100</v>
      </c>
      <c r="AX11" s="19"/>
      <c r="AY11" s="19"/>
      <c r="BA11" s="22" t="s">
        <v>140</v>
      </c>
      <c r="BB11" s="6">
        <v>100</v>
      </c>
      <c r="BC11" s="39">
        <f>AL11</f>
        <v>100</v>
      </c>
      <c r="BD11" s="39">
        <v>0</v>
      </c>
      <c r="BE11" s="39">
        <v>0</v>
      </c>
      <c r="BF11" s="39">
        <v>0</v>
      </c>
      <c r="BG11" s="39">
        <v>0</v>
      </c>
      <c r="BH11" s="39">
        <v>0</v>
      </c>
      <c r="BI11" s="26">
        <f ca="1">BG11+IF(NOT(ISBLANK(OFFSET(BI11,0,6))),N(OFFSET(BI11,0,6)),N(OFFSET(BI11,0,7)))-BH11</f>
        <v>0</v>
      </c>
    </row>
    <row r="12" spans="1:61" s="3" customFormat="1" ht="16.5" customHeight="1" x14ac:dyDescent="0.3">
      <c r="A12" s="1"/>
      <c r="B12" s="1"/>
      <c r="C12" s="64"/>
      <c r="D12" s="235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C12" s="342"/>
      <c r="AD12" s="11"/>
      <c r="AE12" s="33"/>
      <c r="AF12" s="11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BA12" s="23"/>
      <c r="BB12" s="1"/>
      <c r="BC12" s="2"/>
      <c r="BD12" s="2"/>
      <c r="BE12" s="2"/>
      <c r="BF12" s="2"/>
      <c r="BG12" s="2"/>
      <c r="BH12" s="2"/>
    </row>
    <row r="13" spans="1:61" s="3" customFormat="1" x14ac:dyDescent="0.3">
      <c r="A13" s="12" t="s">
        <v>141</v>
      </c>
      <c r="B13" s="12"/>
      <c r="C13" s="65"/>
      <c r="D13" s="395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35" t="s">
        <v>129</v>
      </c>
      <c r="AC13" s="29" t="s">
        <v>126</v>
      </c>
      <c r="AD13" s="11"/>
      <c r="AE13" s="9" t="s">
        <v>127</v>
      </c>
      <c r="AF13" s="7"/>
      <c r="AG13" s="363"/>
      <c r="AH13" s="339">
        <v>46148</v>
      </c>
      <c r="AI13" s="363">
        <v>46142</v>
      </c>
      <c r="AJ13" s="339">
        <v>46146</v>
      </c>
      <c r="AK13" s="363">
        <v>46114</v>
      </c>
      <c r="AL13" s="409">
        <v>46065</v>
      </c>
      <c r="AM13" s="363">
        <v>46092</v>
      </c>
      <c r="AN13" s="363">
        <v>46056</v>
      </c>
      <c r="AO13" s="363">
        <v>46048</v>
      </c>
      <c r="AP13" s="363">
        <v>46043</v>
      </c>
      <c r="AQ13" s="363">
        <v>46035</v>
      </c>
      <c r="AR13" s="363">
        <v>46024</v>
      </c>
      <c r="AS13" s="363">
        <v>46017</v>
      </c>
      <c r="AT13" s="371">
        <v>46386</v>
      </c>
      <c r="AU13" s="363">
        <v>46007</v>
      </c>
      <c r="AV13" s="371">
        <v>46014</v>
      </c>
      <c r="AW13" s="363">
        <v>46001</v>
      </c>
      <c r="AX13" s="363">
        <v>45994</v>
      </c>
      <c r="AY13" s="363">
        <v>45986</v>
      </c>
      <c r="BA13" s="389" t="s">
        <v>141</v>
      </c>
      <c r="BB13" s="376" t="s">
        <v>123</v>
      </c>
      <c r="BC13" s="13">
        <v>46118</v>
      </c>
      <c r="BD13" s="13">
        <v>46125</v>
      </c>
      <c r="BE13" s="13">
        <v>46132</v>
      </c>
      <c r="BF13" s="13">
        <v>46139</v>
      </c>
      <c r="BG13" s="13">
        <v>46146</v>
      </c>
      <c r="BH13" s="13">
        <v>46154</v>
      </c>
      <c r="BI13" s="35" t="s">
        <v>129</v>
      </c>
    </row>
    <row r="14" spans="1:61" s="3" customFormat="1" x14ac:dyDescent="0.3">
      <c r="A14" s="25" t="s">
        <v>142</v>
      </c>
      <c r="B14" s="6">
        <v>200</v>
      </c>
      <c r="C14" s="66">
        <v>38</v>
      </c>
      <c r="D14" s="234">
        <v>6</v>
      </c>
      <c r="E14" s="7"/>
      <c r="F14" s="39">
        <v>0</v>
      </c>
      <c r="G14" s="39">
        <v>5</v>
      </c>
      <c r="H14" s="39">
        <v>4</v>
      </c>
      <c r="I14" s="39">
        <v>3</v>
      </c>
      <c r="J14" s="39">
        <f>5+AQ14</f>
        <v>8</v>
      </c>
      <c r="K14" s="39">
        <v>8</v>
      </c>
      <c r="L14" s="39">
        <v>6</v>
      </c>
      <c r="M14" s="39">
        <v>7</v>
      </c>
      <c r="N14" s="39">
        <v>6</v>
      </c>
      <c r="O14" s="39">
        <v>6</v>
      </c>
      <c r="P14" s="39">
        <v>4</v>
      </c>
      <c r="Q14" s="39">
        <v>3</v>
      </c>
      <c r="R14" s="39">
        <f>3+AM14</f>
        <v>5</v>
      </c>
      <c r="S14" s="39">
        <v>4</v>
      </c>
      <c r="T14" s="39">
        <v>4</v>
      </c>
      <c r="U14" s="39">
        <v>3</v>
      </c>
      <c r="V14" s="39">
        <v>3</v>
      </c>
      <c r="W14" s="39">
        <v>3</v>
      </c>
      <c r="X14" s="39">
        <v>3</v>
      </c>
      <c r="Y14" s="39">
        <f>3+AI14</f>
        <v>8</v>
      </c>
      <c r="Z14" s="39">
        <v>3</v>
      </c>
      <c r="AA14" s="372">
        <f ca="1">Y14+IF(NOT(ISBLANK(OFFSET(AA14,0,6))),N(OFFSET(AA14,0,6)),N(OFFSET(AA14,0,7)))-Z14</f>
        <v>5</v>
      </c>
      <c r="AC14" s="78"/>
      <c r="AD14" s="7"/>
      <c r="AE14" s="32">
        <v>3</v>
      </c>
      <c r="AF14" s="7"/>
      <c r="AG14" s="296">
        <v>0</v>
      </c>
      <c r="AH14" s="296"/>
      <c r="AI14" s="296">
        <v>5</v>
      </c>
      <c r="AJ14" s="296"/>
      <c r="AK14" s="19"/>
      <c r="AL14" s="117">
        <v>8</v>
      </c>
      <c r="AM14" s="19">
        <v>2</v>
      </c>
      <c r="AN14" s="19">
        <v>3</v>
      </c>
      <c r="AO14" s="19"/>
      <c r="AP14" s="19"/>
      <c r="AQ14" s="19">
        <v>3</v>
      </c>
      <c r="AR14" s="19"/>
      <c r="AS14" s="19"/>
      <c r="AT14" s="19"/>
      <c r="AU14" s="19"/>
      <c r="AV14" s="19"/>
      <c r="AW14" s="19"/>
      <c r="AX14" s="19"/>
      <c r="AY14" s="19"/>
      <c r="BA14" s="364" t="s">
        <v>143</v>
      </c>
      <c r="BB14" s="135">
        <v>200</v>
      </c>
      <c r="BC14" s="39">
        <f>AL14</f>
        <v>8</v>
      </c>
      <c r="BD14" s="39">
        <v>7</v>
      </c>
      <c r="BE14" s="39">
        <v>6</v>
      </c>
      <c r="BF14" s="39">
        <v>6</v>
      </c>
      <c r="BG14" s="39">
        <v>5</v>
      </c>
      <c r="BH14" s="39">
        <v>0</v>
      </c>
      <c r="BI14" s="26">
        <f ca="1">BG14+IF(NOT(ISBLANK(OFFSET(BI14,0,6))),N(OFFSET(BI14,0,6)),N(OFFSET(BI14,0,7)))-BH14</f>
        <v>5</v>
      </c>
    </row>
    <row r="15" spans="1:61" s="3" customFormat="1" x14ac:dyDescent="0.3">
      <c r="A15" s="25" t="s">
        <v>144</v>
      </c>
      <c r="B15" s="6">
        <v>200</v>
      </c>
      <c r="C15" s="66">
        <v>18</v>
      </c>
      <c r="D15" s="234">
        <v>10</v>
      </c>
      <c r="E15" s="7"/>
      <c r="F15" s="39">
        <v>5</v>
      </c>
      <c r="G15" s="39">
        <v>5</v>
      </c>
      <c r="H15" s="39">
        <v>4</v>
      </c>
      <c r="I15" s="39">
        <v>5</v>
      </c>
      <c r="J15" s="39">
        <v>5</v>
      </c>
      <c r="K15" s="39">
        <v>5</v>
      </c>
      <c r="L15" s="39">
        <v>5</v>
      </c>
      <c r="M15" s="39">
        <v>5</v>
      </c>
      <c r="N15" s="39">
        <v>6</v>
      </c>
      <c r="O15" s="39">
        <v>6</v>
      </c>
      <c r="P15" s="39">
        <v>6</v>
      </c>
      <c r="Q15" s="39">
        <v>5</v>
      </c>
      <c r="R15" s="39">
        <v>5</v>
      </c>
      <c r="S15" s="39">
        <v>5</v>
      </c>
      <c r="T15" s="39">
        <v>4</v>
      </c>
      <c r="U15" s="39">
        <v>3</v>
      </c>
      <c r="V15" s="39">
        <v>4</v>
      </c>
      <c r="W15" s="39">
        <v>4</v>
      </c>
      <c r="X15" s="39">
        <v>4</v>
      </c>
      <c r="Y15" s="39">
        <v>4</v>
      </c>
      <c r="Z15" s="39">
        <v>3</v>
      </c>
      <c r="AA15" s="372">
        <f ca="1">Y15+IF(NOT(ISBLANK(OFFSET(AA15,0,6))),N(OFFSET(AA15,0,6)),N(OFFSET(AA15,0,7)))-Z15</f>
        <v>1</v>
      </c>
      <c r="AC15" s="78"/>
      <c r="AD15" s="7"/>
      <c r="AE15" s="32"/>
      <c r="AF15" s="7"/>
      <c r="AG15" s="296">
        <v>0</v>
      </c>
      <c r="AH15" s="296"/>
      <c r="AI15" s="296">
        <v>0</v>
      </c>
      <c r="AJ15" s="296"/>
      <c r="AK15" s="19"/>
      <c r="AL15" s="117">
        <v>3</v>
      </c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>
        <v>4</v>
      </c>
      <c r="BA15" s="21" t="s">
        <v>146</v>
      </c>
      <c r="BB15" s="6">
        <v>200</v>
      </c>
      <c r="BC15" s="39">
        <f>AL15</f>
        <v>3</v>
      </c>
      <c r="BD15" s="39">
        <v>2</v>
      </c>
      <c r="BE15" s="39">
        <v>2</v>
      </c>
      <c r="BF15" s="39">
        <v>2</v>
      </c>
      <c r="BG15" s="39">
        <v>2</v>
      </c>
      <c r="BH15" s="39">
        <v>0</v>
      </c>
      <c r="BI15" s="26">
        <f ca="1">BG15+IF(NOT(ISBLANK(OFFSET(BI15,0,6))),N(OFFSET(BI15,0,6)),N(OFFSET(BI15,0,7)))-BH15</f>
        <v>2</v>
      </c>
    </row>
    <row r="16" spans="1:61" s="3" customFormat="1" x14ac:dyDescent="0.25">
      <c r="A16" s="25" t="s">
        <v>147</v>
      </c>
      <c r="B16" s="6">
        <v>200</v>
      </c>
      <c r="C16" s="66">
        <v>10.28</v>
      </c>
      <c r="D16" s="234">
        <v>4</v>
      </c>
      <c r="E16" s="1"/>
      <c r="F16" s="39">
        <v>5</v>
      </c>
      <c r="G16" s="39">
        <v>5</v>
      </c>
      <c r="H16" s="39">
        <f>5+AS16</f>
        <v>8</v>
      </c>
      <c r="I16" s="39">
        <v>8</v>
      </c>
      <c r="J16" s="39">
        <v>7</v>
      </c>
      <c r="K16" s="39">
        <v>7</v>
      </c>
      <c r="L16" s="39">
        <v>7</v>
      </c>
      <c r="M16" s="39">
        <v>6</v>
      </c>
      <c r="N16" s="39">
        <v>5</v>
      </c>
      <c r="O16" s="39">
        <v>5</v>
      </c>
      <c r="P16" s="39">
        <v>5</v>
      </c>
      <c r="Q16" s="39">
        <v>4</v>
      </c>
      <c r="R16" s="39">
        <v>4</v>
      </c>
      <c r="S16" s="39">
        <v>3</v>
      </c>
      <c r="T16" s="39">
        <v>3</v>
      </c>
      <c r="U16" s="39">
        <v>3</v>
      </c>
      <c r="V16" s="39">
        <v>2</v>
      </c>
      <c r="W16" s="39">
        <v>1</v>
      </c>
      <c r="X16" s="39">
        <v>0</v>
      </c>
      <c r="Y16" s="39">
        <f>0+AI16</f>
        <v>4</v>
      </c>
      <c r="Z16" s="39">
        <v>0</v>
      </c>
      <c r="AA16" s="372">
        <f ca="1">Y16+IF(NOT(ISBLANK(OFFSET(AA16,0,6))),N(OFFSET(AA16,0,6)),N(OFFSET(AA16,0,7)))-Z16</f>
        <v>4</v>
      </c>
      <c r="AC16" s="78" t="s">
        <v>188</v>
      </c>
      <c r="AD16" s="1"/>
      <c r="AE16" s="32"/>
      <c r="AF16" s="1"/>
      <c r="AG16" s="19">
        <v>0</v>
      </c>
      <c r="AH16" s="19"/>
      <c r="AI16" s="19">
        <v>4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>
        <v>3</v>
      </c>
      <c r="AT16" s="19"/>
      <c r="AU16" s="19"/>
      <c r="AV16" s="19"/>
      <c r="AW16" s="19">
        <v>2</v>
      </c>
      <c r="AX16" s="19"/>
      <c r="AY16" s="19">
        <v>4</v>
      </c>
    </row>
    <row r="17" spans="1:61" s="3" customFormat="1" x14ac:dyDescent="0.25">
      <c r="A17" s="25" t="s">
        <v>148</v>
      </c>
      <c r="B17" s="6">
        <v>3000</v>
      </c>
      <c r="C17" s="66">
        <v>71.8</v>
      </c>
      <c r="D17" s="234">
        <v>2</v>
      </c>
      <c r="E17" s="1"/>
      <c r="F17" s="39">
        <f>0+AU17</f>
        <v>5</v>
      </c>
      <c r="G17" s="39">
        <v>7</v>
      </c>
      <c r="H17" s="39">
        <f>6+AS17</f>
        <v>8</v>
      </c>
      <c r="I17" s="39">
        <v>8</v>
      </c>
      <c r="J17" s="39">
        <v>8</v>
      </c>
      <c r="K17" s="39">
        <v>8</v>
      </c>
      <c r="L17" s="39">
        <v>8</v>
      </c>
      <c r="M17" s="39">
        <v>8</v>
      </c>
      <c r="N17" s="39">
        <v>7</v>
      </c>
      <c r="O17" s="39">
        <v>7</v>
      </c>
      <c r="P17" s="39">
        <v>7</v>
      </c>
      <c r="Q17" s="39">
        <v>7</v>
      </c>
      <c r="R17" s="39">
        <v>7</v>
      </c>
      <c r="S17" s="39">
        <v>6</v>
      </c>
      <c r="T17" s="39">
        <v>6</v>
      </c>
      <c r="U17" s="39">
        <v>4</v>
      </c>
      <c r="V17" s="39">
        <v>3</v>
      </c>
      <c r="W17" s="39">
        <v>3</v>
      </c>
      <c r="X17" s="39">
        <v>3</v>
      </c>
      <c r="Y17" s="39">
        <f>2-1</f>
        <v>1</v>
      </c>
      <c r="Z17" s="39">
        <v>1</v>
      </c>
      <c r="AA17" s="372">
        <f ca="1">Y17+IF(NOT(ISBLANK(OFFSET(AA17,0,6))),N(OFFSET(AA17,0,6)),N(OFFSET(AA17,0,7)))-Z17</f>
        <v>0</v>
      </c>
      <c r="AC17" s="411" t="s">
        <v>189</v>
      </c>
      <c r="AD17" s="1"/>
      <c r="AE17" s="393"/>
      <c r="AF17" s="1"/>
      <c r="AG17" s="19">
        <v>0</v>
      </c>
      <c r="AH17" s="19"/>
      <c r="AI17" s="19">
        <v>0</v>
      </c>
      <c r="AJ17" s="253" t="s">
        <v>190</v>
      </c>
      <c r="AK17" s="19"/>
      <c r="AL17" s="19"/>
      <c r="AM17" s="19"/>
      <c r="AN17" s="19"/>
      <c r="AO17" s="19"/>
      <c r="AP17" s="19"/>
      <c r="AQ17" s="19"/>
      <c r="AR17" s="19"/>
      <c r="AS17" s="19">
        <v>2</v>
      </c>
      <c r="AT17" s="19"/>
      <c r="AU17" s="19">
        <v>5</v>
      </c>
      <c r="AV17" s="19"/>
      <c r="AW17" s="19">
        <v>1</v>
      </c>
      <c r="AX17" s="19">
        <v>2</v>
      </c>
      <c r="AY17" s="19"/>
    </row>
    <row r="18" spans="1:61" s="3" customFormat="1" ht="14.25" customHeight="1" x14ac:dyDescent="0.25">
      <c r="A18" s="23"/>
      <c r="C18" s="67"/>
      <c r="D18" s="235"/>
      <c r="F18" s="390"/>
      <c r="G18" s="390"/>
      <c r="H18" s="390"/>
      <c r="I18" s="390"/>
      <c r="J18" s="390"/>
      <c r="K18" s="390"/>
      <c r="L18" s="390"/>
      <c r="M18" s="390"/>
      <c r="N18" s="390"/>
      <c r="O18" s="390"/>
      <c r="P18" s="390"/>
      <c r="Q18" s="390"/>
      <c r="R18" s="390"/>
      <c r="S18" s="390"/>
      <c r="T18" s="390"/>
      <c r="U18" s="390"/>
      <c r="V18" s="390"/>
      <c r="W18" s="390"/>
      <c r="X18" s="390"/>
      <c r="Y18" s="390"/>
      <c r="Z18" s="390"/>
      <c r="AA18" s="390"/>
      <c r="AC18" s="390"/>
      <c r="AE18" s="344"/>
      <c r="AG18" s="388"/>
      <c r="AH18" s="388"/>
      <c r="AI18" s="388"/>
      <c r="AJ18" s="388"/>
      <c r="AK18" s="388"/>
      <c r="AL18" s="388"/>
      <c r="AM18" s="388"/>
      <c r="AN18" s="388"/>
      <c r="AO18" s="388"/>
      <c r="AP18" s="388"/>
      <c r="AQ18" s="388"/>
      <c r="AR18" s="388"/>
      <c r="AS18" s="388"/>
      <c r="AT18" s="388"/>
      <c r="AU18" s="388"/>
      <c r="AV18" s="388"/>
      <c r="AW18" s="388"/>
      <c r="AX18" s="388"/>
      <c r="AY18" s="388"/>
    </row>
    <row r="19" spans="1:61" s="3" customFormat="1" x14ac:dyDescent="0.3">
      <c r="A19" s="24" t="s">
        <v>150</v>
      </c>
      <c r="B19" s="12" t="s">
        <v>151</v>
      </c>
      <c r="C19" s="65" t="s">
        <v>152</v>
      </c>
      <c r="D19" s="395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35" t="s">
        <v>129</v>
      </c>
      <c r="AC19" s="29" t="s">
        <v>126</v>
      </c>
      <c r="AD19" s="11"/>
      <c r="AE19" s="9" t="s">
        <v>127</v>
      </c>
      <c r="AF19" s="1"/>
      <c r="AG19" s="363"/>
      <c r="AH19" s="339">
        <v>46148</v>
      </c>
      <c r="AI19" s="363">
        <v>46142</v>
      </c>
      <c r="AJ19" s="339">
        <v>46146</v>
      </c>
      <c r="AK19" s="363">
        <v>46114</v>
      </c>
      <c r="AL19" s="409">
        <v>46065</v>
      </c>
      <c r="AM19" s="363">
        <v>46092</v>
      </c>
      <c r="AN19" s="363">
        <v>46056</v>
      </c>
      <c r="AO19" s="363">
        <v>46048</v>
      </c>
      <c r="AP19" s="363">
        <v>46043</v>
      </c>
      <c r="AQ19" s="363">
        <v>46035</v>
      </c>
      <c r="AR19" s="363">
        <v>46024</v>
      </c>
      <c r="AS19" s="363">
        <v>46017</v>
      </c>
      <c r="AT19" s="371">
        <v>46386</v>
      </c>
      <c r="AU19" s="363">
        <v>46007</v>
      </c>
      <c r="AV19" s="371">
        <v>46014</v>
      </c>
      <c r="AW19" s="363">
        <v>46001</v>
      </c>
      <c r="AX19" s="363">
        <v>45994</v>
      </c>
      <c r="AY19" s="363">
        <v>45986</v>
      </c>
      <c r="BA19" s="389" t="s">
        <v>150</v>
      </c>
      <c r="BB19" s="376" t="s">
        <v>123</v>
      </c>
      <c r="BC19" s="13">
        <v>46118</v>
      </c>
      <c r="BD19" s="13">
        <v>46125</v>
      </c>
      <c r="BE19" s="13">
        <v>46132</v>
      </c>
      <c r="BF19" s="13">
        <v>46139</v>
      </c>
      <c r="BG19" s="13">
        <v>46146</v>
      </c>
      <c r="BH19" s="13">
        <v>46154</v>
      </c>
      <c r="BI19" s="35" t="s">
        <v>129</v>
      </c>
    </row>
    <row r="20" spans="1:61" s="3" customFormat="1" x14ac:dyDescent="0.3">
      <c r="A20" s="25" t="s">
        <v>153</v>
      </c>
      <c r="B20" s="6">
        <v>150</v>
      </c>
      <c r="C20" s="82">
        <v>334.31</v>
      </c>
      <c r="D20" s="234">
        <v>150</v>
      </c>
      <c r="E20" s="1"/>
      <c r="F20" s="27">
        <v>37</v>
      </c>
      <c r="G20" s="27">
        <v>0</v>
      </c>
      <c r="H20" s="27">
        <v>0</v>
      </c>
      <c r="I20" s="27">
        <v>0</v>
      </c>
      <c r="J20" s="27">
        <v>150</v>
      </c>
      <c r="K20" s="27">
        <v>144</v>
      </c>
      <c r="L20" s="27">
        <f>138+AO20</f>
        <v>288</v>
      </c>
      <c r="M20" s="27">
        <v>276</v>
      </c>
      <c r="N20" s="27">
        <v>274</v>
      </c>
      <c r="O20" s="27">
        <v>263</v>
      </c>
      <c r="P20" s="27">
        <v>258</v>
      </c>
      <c r="Q20" s="27">
        <v>252</v>
      </c>
      <c r="R20" s="27">
        <v>239</v>
      </c>
      <c r="S20" s="27">
        <v>235</v>
      </c>
      <c r="T20" s="27">
        <v>227</v>
      </c>
      <c r="U20" s="27"/>
      <c r="V20" s="27"/>
      <c r="W20" s="27"/>
      <c r="X20" s="27">
        <v>227</v>
      </c>
      <c r="Y20" s="27">
        <v>225</v>
      </c>
      <c r="Z20" s="27">
        <v>217</v>
      </c>
      <c r="AA20" s="372">
        <f ca="1">Y20+IF(NOT(ISBLANK(OFFSET(AA20,0,6))),N(OFFSET(AA20,0,6)),N(OFFSET(AA20,0,7)))-Z20</f>
        <v>8</v>
      </c>
      <c r="AB20" s="362"/>
      <c r="AC20" s="78"/>
      <c r="AD20" s="1"/>
      <c r="AE20" s="32"/>
      <c r="AF20" s="1"/>
      <c r="AG20" s="19">
        <v>0</v>
      </c>
      <c r="AH20" s="19"/>
      <c r="AI20" s="19">
        <v>0</v>
      </c>
      <c r="AJ20" s="19"/>
      <c r="AK20" s="19"/>
      <c r="AL20" s="19"/>
      <c r="AM20" s="19"/>
      <c r="AN20" s="19"/>
      <c r="AO20" s="19">
        <v>150</v>
      </c>
      <c r="AP20" s="19"/>
      <c r="AQ20" s="19"/>
      <c r="AR20" s="19">
        <v>150</v>
      </c>
      <c r="AS20" s="19"/>
      <c r="AT20" s="19"/>
      <c r="AU20" s="19"/>
      <c r="AV20" s="19"/>
      <c r="AW20" s="19"/>
      <c r="AX20" s="19"/>
      <c r="AY20" s="19"/>
      <c r="BA20" s="364" t="s">
        <v>154</v>
      </c>
      <c r="BB20" s="135">
        <v>150</v>
      </c>
      <c r="BC20" s="39">
        <v>0</v>
      </c>
      <c r="BD20" s="39">
        <v>0</v>
      </c>
      <c r="BE20" s="39">
        <v>0</v>
      </c>
      <c r="BF20" s="39">
        <v>0</v>
      </c>
      <c r="BG20" s="39">
        <v>0</v>
      </c>
      <c r="BH20" s="39">
        <v>0</v>
      </c>
      <c r="BI20" s="26">
        <f ca="1">BG20+IF(NOT(ISBLANK(OFFSET(BI20,0,6))),N(OFFSET(BI20,0,6)),N(OFFSET(BI20,0,7)))-BH20</f>
        <v>0</v>
      </c>
    </row>
    <row r="21" spans="1:61" s="3" customFormat="1" x14ac:dyDescent="0.3">
      <c r="A21" s="25" t="s">
        <v>155</v>
      </c>
      <c r="B21" s="6">
        <v>100</v>
      </c>
      <c r="C21" s="81">
        <v>292.25</v>
      </c>
      <c r="D21" s="236">
        <v>150</v>
      </c>
      <c r="E21" s="1"/>
      <c r="F21" s="39">
        <v>169</v>
      </c>
      <c r="G21" s="39">
        <v>134</v>
      </c>
      <c r="H21" s="39">
        <v>129</v>
      </c>
      <c r="I21" s="39">
        <v>109</v>
      </c>
      <c r="J21" s="39">
        <v>98</v>
      </c>
      <c r="K21" s="39">
        <v>175</v>
      </c>
      <c r="L21" s="39">
        <f>169+AO21</f>
        <v>269</v>
      </c>
      <c r="M21" s="39">
        <v>263</v>
      </c>
      <c r="N21" s="39">
        <v>250</v>
      </c>
      <c r="O21" s="39">
        <v>240</v>
      </c>
      <c r="P21" s="39">
        <v>231</v>
      </c>
      <c r="Q21" s="39">
        <v>211</v>
      </c>
      <c r="R21" s="39">
        <v>196</v>
      </c>
      <c r="S21" s="39">
        <v>187</v>
      </c>
      <c r="T21" s="39">
        <v>173</v>
      </c>
      <c r="U21" s="39"/>
      <c r="V21" s="39"/>
      <c r="W21" s="39"/>
      <c r="X21" s="39">
        <v>263</v>
      </c>
      <c r="Y21" s="39">
        <v>263</v>
      </c>
      <c r="Z21" s="39">
        <v>255</v>
      </c>
      <c r="AA21" s="372">
        <f ca="1">Y21+IF(NOT(ISBLANK(OFFSET(AA21,0,6))),N(OFFSET(AA21,0,6)),N(OFFSET(AA21,0,7)))-Z21</f>
        <v>8</v>
      </c>
      <c r="AB21" s="362"/>
      <c r="AC21" s="78"/>
      <c r="AD21" s="1"/>
      <c r="AE21" s="32"/>
      <c r="AF21" s="1"/>
      <c r="AG21" s="19">
        <v>0</v>
      </c>
      <c r="AH21" s="19"/>
      <c r="AI21" s="19">
        <v>0</v>
      </c>
      <c r="AJ21" s="19"/>
      <c r="AK21" s="19">
        <v>100</v>
      </c>
      <c r="AL21" s="117"/>
      <c r="AM21" s="19"/>
      <c r="AN21" s="19"/>
      <c r="AO21" s="19">
        <v>100</v>
      </c>
      <c r="AP21" s="19">
        <v>100</v>
      </c>
      <c r="AQ21" s="19"/>
      <c r="AR21" s="19"/>
      <c r="AS21" s="19"/>
      <c r="AT21" s="117"/>
      <c r="AU21" s="19"/>
      <c r="AV21" s="117"/>
      <c r="AW21" s="19"/>
      <c r="AX21" s="19"/>
      <c r="AY21" s="19"/>
      <c r="BA21" s="21" t="s">
        <v>156</v>
      </c>
      <c r="BB21" s="6">
        <v>100</v>
      </c>
      <c r="BC21" s="39">
        <v>0</v>
      </c>
      <c r="BD21" s="39"/>
      <c r="BE21" s="39"/>
      <c r="BF21" s="39">
        <v>48</v>
      </c>
      <c r="BG21" s="39">
        <v>45</v>
      </c>
      <c r="BH21" s="39">
        <v>10</v>
      </c>
      <c r="BI21" s="26">
        <f ca="1">BG21+IF(NOT(ISBLANK(OFFSET(BI21,0,6))),N(OFFSET(BI21,0,6)),N(OFFSET(BI21,0,7)))-BH21</f>
        <v>35</v>
      </c>
    </row>
    <row r="22" spans="1:61" s="3" customFormat="1" x14ac:dyDescent="0.3">
      <c r="A22" s="25" t="s">
        <v>157</v>
      </c>
      <c r="B22" s="6">
        <v>75</v>
      </c>
      <c r="C22" s="66">
        <v>425.38</v>
      </c>
      <c r="D22" s="234">
        <v>25</v>
      </c>
      <c r="E22" s="7"/>
      <c r="F22" s="39">
        <v>18</v>
      </c>
      <c r="G22" s="39">
        <v>17</v>
      </c>
      <c r="H22" s="39">
        <v>17</v>
      </c>
      <c r="I22" s="39">
        <v>17</v>
      </c>
      <c r="J22" s="39">
        <v>17</v>
      </c>
      <c r="K22" s="39">
        <v>17</v>
      </c>
      <c r="L22" s="39">
        <v>16</v>
      </c>
      <c r="M22" s="39">
        <v>15</v>
      </c>
      <c r="N22" s="39">
        <v>15</v>
      </c>
      <c r="O22" s="39">
        <v>15</v>
      </c>
      <c r="P22" s="39">
        <v>15</v>
      </c>
      <c r="Q22" s="39">
        <v>15</v>
      </c>
      <c r="R22" s="39">
        <v>15</v>
      </c>
      <c r="S22" s="39">
        <v>15</v>
      </c>
      <c r="T22" s="39">
        <v>15</v>
      </c>
      <c r="U22" s="39">
        <v>15</v>
      </c>
      <c r="V22" s="39">
        <v>15</v>
      </c>
      <c r="W22" s="39">
        <v>15</v>
      </c>
      <c r="X22" s="39">
        <v>15</v>
      </c>
      <c r="Y22" s="39">
        <v>15</v>
      </c>
      <c r="Z22" s="39">
        <v>13</v>
      </c>
      <c r="AA22" s="372">
        <f ca="1">Y22+IF(NOT(ISBLANK(OFFSET(AA22,0,6))),N(OFFSET(AA22,0,6)),N(OFFSET(AA22,0,7)))-Z22</f>
        <v>2</v>
      </c>
      <c r="AB22" s="362"/>
      <c r="AC22" s="78"/>
      <c r="AD22" s="7"/>
      <c r="AE22" s="392"/>
      <c r="AF22" s="7"/>
      <c r="AG22" s="19">
        <v>0</v>
      </c>
      <c r="AH22" s="19"/>
      <c r="AI22" s="19">
        <v>0</v>
      </c>
      <c r="AJ22" s="19"/>
      <c r="AK22" s="19"/>
      <c r="AL22" s="117"/>
      <c r="AM22" s="19"/>
      <c r="AN22" s="19"/>
      <c r="AO22" s="19"/>
      <c r="AP22" s="19"/>
      <c r="AQ22" s="19"/>
      <c r="AR22" s="19"/>
      <c r="AS22" s="19"/>
      <c r="AT22" s="117"/>
      <c r="AU22" s="19"/>
      <c r="AV22" s="117"/>
      <c r="AW22" s="19"/>
      <c r="AX22" s="19"/>
      <c r="AY22" s="19"/>
      <c r="BA22" s="22" t="s">
        <v>158</v>
      </c>
      <c r="BB22" s="6">
        <v>200</v>
      </c>
      <c r="BC22" s="39">
        <v>0</v>
      </c>
      <c r="BD22" s="39"/>
      <c r="BE22" s="39"/>
      <c r="BF22" s="39">
        <v>46</v>
      </c>
      <c r="BG22" s="39">
        <v>22</v>
      </c>
      <c r="BH22" s="39">
        <v>1</v>
      </c>
      <c r="BI22" s="26">
        <f ca="1">BG22+IF(NOT(ISBLANK(OFFSET(BI22,0,6))),N(OFFSET(BI22,0,6)),N(OFFSET(BI22,0,7)))-BH22</f>
        <v>21</v>
      </c>
    </row>
    <row r="23" spans="1:61" s="3" customFormat="1" x14ac:dyDescent="0.3">
      <c r="A23" s="25" t="s">
        <v>159</v>
      </c>
      <c r="B23" s="6">
        <v>150</v>
      </c>
      <c r="C23" s="66">
        <v>427.5</v>
      </c>
      <c r="D23" s="234">
        <v>150</v>
      </c>
      <c r="E23" s="7"/>
      <c r="F23" s="2"/>
      <c r="G23" s="2"/>
      <c r="H23" s="2"/>
      <c r="I23" s="39"/>
      <c r="J23" s="39">
        <v>0</v>
      </c>
      <c r="K23" s="39">
        <v>149</v>
      </c>
      <c r="L23" s="39">
        <v>119</v>
      </c>
      <c r="M23" s="39">
        <v>211</v>
      </c>
      <c r="N23" s="39">
        <v>185</v>
      </c>
      <c r="O23" s="39">
        <v>172</v>
      </c>
      <c r="P23" s="39">
        <v>147</v>
      </c>
      <c r="Q23" s="39">
        <v>91</v>
      </c>
      <c r="R23" s="39">
        <f>41+AM23</f>
        <v>191</v>
      </c>
      <c r="S23" s="39">
        <v>135</v>
      </c>
      <c r="T23" s="39">
        <v>113</v>
      </c>
      <c r="U23" s="39"/>
      <c r="V23" s="39"/>
      <c r="W23" s="39"/>
      <c r="X23" s="39">
        <v>219</v>
      </c>
      <c r="Y23" s="39">
        <v>219</v>
      </c>
      <c r="Z23" s="39">
        <v>149</v>
      </c>
      <c r="AA23" s="372">
        <f ca="1">Y23+IF(NOT(ISBLANK(OFFSET(AA23,0,6))),N(OFFSET(AA23,0,6)),N(OFFSET(AA23,0,7)))-Z23</f>
        <v>70</v>
      </c>
      <c r="AB23" s="362"/>
      <c r="AC23" s="78"/>
      <c r="AD23" s="7"/>
      <c r="AE23" s="32"/>
      <c r="AF23" s="7"/>
      <c r="AG23" s="19">
        <v>0</v>
      </c>
      <c r="AH23" s="19"/>
      <c r="AI23" s="19">
        <v>0</v>
      </c>
      <c r="AJ23" s="19"/>
      <c r="AK23" s="19">
        <v>150</v>
      </c>
      <c r="AL23" s="117">
        <v>150</v>
      </c>
      <c r="AM23" s="19">
        <v>150</v>
      </c>
      <c r="AN23" s="19">
        <v>150</v>
      </c>
      <c r="AO23" s="19"/>
      <c r="AP23" s="19">
        <v>150</v>
      </c>
      <c r="AQ23" s="19"/>
      <c r="AR23" s="19"/>
      <c r="AS23" s="19"/>
      <c r="AT23" s="117"/>
      <c r="AU23" s="19"/>
      <c r="AV23" s="117"/>
      <c r="AW23" s="19"/>
      <c r="AX23" s="75"/>
      <c r="AY23" s="75"/>
      <c r="BA23" s="22" t="s">
        <v>160</v>
      </c>
      <c r="BB23" s="6">
        <v>150</v>
      </c>
      <c r="BC23" s="39">
        <f>AL23</f>
        <v>150</v>
      </c>
      <c r="BD23" s="39"/>
      <c r="BE23" s="39"/>
      <c r="BF23" s="39">
        <v>122</v>
      </c>
      <c r="BG23" s="39">
        <v>108</v>
      </c>
      <c r="BH23" s="39">
        <v>3</v>
      </c>
      <c r="BI23" s="26">
        <f ca="1">BG23+IF(NOT(ISBLANK(OFFSET(BI23,0,6))),N(OFFSET(BI23,0,6)),N(OFFSET(BI23,0,7)))-BH23</f>
        <v>105</v>
      </c>
    </row>
    <row r="24" spans="1:61" x14ac:dyDescent="0.3">
      <c r="A24" s="118"/>
      <c r="B24" s="119"/>
      <c r="AB24" s="362"/>
      <c r="AD24" s="347"/>
      <c r="AE24" s="347"/>
      <c r="AF24" s="347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</row>
    <row r="25" spans="1:61" x14ac:dyDescent="0.3">
      <c r="A25" s="378" t="s">
        <v>161</v>
      </c>
      <c r="B25" s="379" t="s">
        <v>123</v>
      </c>
      <c r="C25" s="379" t="s">
        <v>124</v>
      </c>
      <c r="D25" s="379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35" t="s">
        <v>129</v>
      </c>
      <c r="AB25" s="362"/>
      <c r="AD25" s="347"/>
      <c r="AE25" s="347"/>
      <c r="AF25" s="347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</row>
    <row r="26" spans="1:61" hidden="1" x14ac:dyDescent="0.3">
      <c r="A26" s="384" t="s">
        <v>162</v>
      </c>
      <c r="B26" s="385">
        <v>100</v>
      </c>
      <c r="C26" s="199">
        <v>790</v>
      </c>
      <c r="D26" s="396"/>
      <c r="F26" s="39">
        <v>37</v>
      </c>
      <c r="G26" s="39">
        <v>4</v>
      </c>
      <c r="H26" s="39">
        <v>4</v>
      </c>
      <c r="I26" s="39">
        <v>4</v>
      </c>
      <c r="J26" s="39">
        <v>5</v>
      </c>
      <c r="K26" s="39">
        <v>3</v>
      </c>
      <c r="L26" s="39">
        <v>0</v>
      </c>
      <c r="M26" s="39">
        <v>0</v>
      </c>
      <c r="N26" s="39">
        <v>0</v>
      </c>
      <c r="O26" s="39">
        <v>0</v>
      </c>
      <c r="P26" s="39">
        <v>0</v>
      </c>
      <c r="Q26" s="39">
        <v>0</v>
      </c>
      <c r="R26" s="39">
        <v>0</v>
      </c>
      <c r="S26" s="39">
        <v>0</v>
      </c>
      <c r="T26" s="39"/>
      <c r="U26" s="39"/>
      <c r="V26" s="39"/>
      <c r="W26" s="39"/>
      <c r="X26" s="39"/>
      <c r="Y26" s="39"/>
      <c r="Z26" s="39">
        <v>1</v>
      </c>
      <c r="AA26" s="26" t="e">
        <f ca="1">Y26+IF(NOT(ISBLANK(OFFSET(AA26,0,6))),N(OFFSET(AA26,0,6)),N(OFFSET(AA26,0,7)))-#REF!</f>
        <v>#REF!</v>
      </c>
      <c r="AB26" s="362"/>
      <c r="AC26" s="347"/>
      <c r="AD26" s="347"/>
      <c r="AE26" s="347"/>
      <c r="AF26" s="347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</row>
    <row r="27" spans="1:61" hidden="1" x14ac:dyDescent="0.3">
      <c r="A27" s="386" t="s">
        <v>163</v>
      </c>
      <c r="B27" s="159">
        <v>100</v>
      </c>
      <c r="C27" s="200">
        <v>295</v>
      </c>
      <c r="D27" s="396"/>
      <c r="F27" s="39">
        <v>2</v>
      </c>
      <c r="G27" s="39">
        <v>2</v>
      </c>
      <c r="H27" s="39">
        <v>2</v>
      </c>
      <c r="I27" s="39">
        <v>2</v>
      </c>
      <c r="J27" s="39">
        <v>0</v>
      </c>
      <c r="K27" s="39">
        <v>0</v>
      </c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26" t="e">
        <f ca="1">Y27+IF(NOT(ISBLANK(OFFSET(AA27,0,6))),N(OFFSET(AA27,0,6)),N(OFFSET(AA27,0,7)))-#REF!</f>
        <v>#REF!</v>
      </c>
      <c r="AB27" s="362"/>
      <c r="AC27" s="347"/>
      <c r="AD27" s="347"/>
      <c r="AE27" s="347"/>
      <c r="AF27" s="347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</row>
    <row r="28" spans="1:61" hidden="1" x14ac:dyDescent="0.3">
      <c r="A28" s="386" t="s">
        <v>164</v>
      </c>
      <c r="B28" s="159">
        <v>100</v>
      </c>
      <c r="C28" s="200">
        <v>283</v>
      </c>
      <c r="D28" s="396"/>
      <c r="F28" s="39">
        <v>1</v>
      </c>
      <c r="G28" s="39">
        <v>1</v>
      </c>
      <c r="H28" s="39">
        <v>1</v>
      </c>
      <c r="I28" s="39">
        <v>1</v>
      </c>
      <c r="J28" s="39">
        <v>0</v>
      </c>
      <c r="K28" s="39">
        <v>0</v>
      </c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26" t="e">
        <f ca="1">Y28+IF(NOT(ISBLANK(OFFSET(AA28,0,6))),N(OFFSET(AA28,0,6)),N(OFFSET(AA28,0,7)))-#REF!</f>
        <v>#REF!</v>
      </c>
      <c r="AB28" s="362"/>
      <c r="AC28" s="347"/>
      <c r="AD28" s="347"/>
      <c r="AE28" s="347"/>
      <c r="AF28" s="347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</row>
    <row r="29" spans="1:61" hidden="1" x14ac:dyDescent="0.3">
      <c r="A29" s="283" t="s">
        <v>168</v>
      </c>
      <c r="B29" s="284">
        <v>100</v>
      </c>
      <c r="C29" s="285">
        <v>1490</v>
      </c>
      <c r="D29" s="396"/>
      <c r="F29" s="39"/>
      <c r="G29" s="39"/>
      <c r="H29" s="39">
        <v>2</v>
      </c>
      <c r="I29" s="39">
        <v>2</v>
      </c>
      <c r="J29" s="39">
        <v>0</v>
      </c>
      <c r="K29" s="39">
        <v>0</v>
      </c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26" t="e">
        <f ca="1">Y29+IF(NOT(ISBLANK(OFFSET(AA29,0,6))),N(OFFSET(AA29,0,6)),N(OFFSET(AA29,0,7)))-#REF!</f>
        <v>#REF!</v>
      </c>
      <c r="AB29" s="362"/>
      <c r="AC29" s="347"/>
      <c r="AD29" s="347"/>
      <c r="AE29" s="347"/>
      <c r="AF29" s="347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</row>
    <row r="30" spans="1:61" x14ac:dyDescent="0.3">
      <c r="A30" s="25" t="s">
        <v>169</v>
      </c>
      <c r="B30" s="6">
        <v>150</v>
      </c>
      <c r="C30" s="77">
        <v>805.35</v>
      </c>
      <c r="D30" s="396"/>
      <c r="F30" s="6">
        <v>201</v>
      </c>
      <c r="G30" s="6">
        <v>50</v>
      </c>
      <c r="H30" s="6">
        <v>19</v>
      </c>
      <c r="I30" s="6">
        <v>30</v>
      </c>
      <c r="J30" s="6">
        <v>20</v>
      </c>
      <c r="K30" s="6">
        <v>12</v>
      </c>
      <c r="L30" s="6">
        <v>9</v>
      </c>
      <c r="M30" s="6">
        <v>9</v>
      </c>
      <c r="N30" s="6">
        <v>9</v>
      </c>
      <c r="O30" s="6">
        <v>8</v>
      </c>
      <c r="P30" s="6">
        <v>8</v>
      </c>
      <c r="Q30" s="6">
        <v>8</v>
      </c>
      <c r="R30" s="6">
        <v>6</v>
      </c>
      <c r="S30" s="6">
        <v>6</v>
      </c>
      <c r="T30" s="6">
        <v>6</v>
      </c>
      <c r="U30" s="6"/>
      <c r="V30" s="6"/>
      <c r="W30" s="6"/>
      <c r="X30" s="6">
        <v>6</v>
      </c>
      <c r="Y30" s="6">
        <v>6</v>
      </c>
      <c r="Z30" s="6">
        <v>0</v>
      </c>
      <c r="AA30" s="372">
        <f ca="1">Y30+IF(NOT(ISBLANK(OFFSET(AA30,0,6))),N(OFFSET(AA30,0,6)),N(OFFSET(AA30,0,7)))-Z30</f>
        <v>6</v>
      </c>
      <c r="AB30" s="362"/>
      <c r="AC30" s="202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</row>
    <row r="31" spans="1:61" hidden="1" x14ac:dyDescent="0.3">
      <c r="A31" s="25" t="s">
        <v>170</v>
      </c>
      <c r="B31" s="6">
        <v>100</v>
      </c>
      <c r="C31" s="77">
        <v>792.2</v>
      </c>
      <c r="D31" s="396"/>
      <c r="F31" s="6">
        <v>121</v>
      </c>
      <c r="G31" s="6">
        <v>44</v>
      </c>
      <c r="H31" s="6">
        <v>35</v>
      </c>
      <c r="I31" s="6">
        <v>21</v>
      </c>
      <c r="J31" s="6">
        <v>12</v>
      </c>
      <c r="K31" s="6">
        <v>1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/>
      <c r="U31" s="6"/>
      <c r="V31" s="6"/>
      <c r="W31" s="6"/>
      <c r="X31" s="6"/>
      <c r="Y31" s="6"/>
      <c r="Z31" s="6"/>
      <c r="AA31" s="372">
        <f ca="1">Y31+IF(NOT(ISBLANK(OFFSET(AA31,0,6))),N(OFFSET(AA31,0,6)),N(OFFSET(AA31,0,7)))-Z31</f>
        <v>0</v>
      </c>
      <c r="AB31" s="362"/>
      <c r="AC31" s="202" t="s">
        <v>191</v>
      </c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</row>
    <row r="32" spans="1:61" hidden="1" x14ac:dyDescent="0.3">
      <c r="A32" s="25" t="s">
        <v>171</v>
      </c>
      <c r="B32" s="6">
        <v>200</v>
      </c>
      <c r="C32" s="77">
        <v>487.2</v>
      </c>
      <c r="D32" s="396"/>
      <c r="F32" s="6">
        <v>-4</v>
      </c>
      <c r="G32" s="6">
        <v>-4</v>
      </c>
      <c r="H32" s="6">
        <v>-4</v>
      </c>
      <c r="I32" s="6">
        <v>-4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/>
      <c r="U32" s="6"/>
      <c r="V32" s="6"/>
      <c r="W32" s="6"/>
      <c r="X32" s="6"/>
      <c r="Y32" s="6"/>
      <c r="Z32" s="6"/>
      <c r="AA32" s="372">
        <f ca="1">Y32+IF(NOT(ISBLANK(OFFSET(AA32,0,6))),N(OFFSET(AA32,0,6)),N(OFFSET(AA32,0,7)))-Z32</f>
        <v>0</v>
      </c>
      <c r="AB32" s="362"/>
      <c r="AC32" s="347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</row>
    <row r="33" spans="1:195" hidden="1" x14ac:dyDescent="0.3">
      <c r="A33" s="25" t="s">
        <v>172</v>
      </c>
      <c r="B33" s="6">
        <v>150</v>
      </c>
      <c r="C33" s="77">
        <v>460.35</v>
      </c>
      <c r="D33" s="396"/>
      <c r="F33" s="6">
        <v>7</v>
      </c>
      <c r="G33" s="6">
        <v>7</v>
      </c>
      <c r="H33" s="6">
        <v>7</v>
      </c>
      <c r="I33" s="6">
        <v>7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/>
      <c r="U33" s="6"/>
      <c r="V33" s="6"/>
      <c r="W33" s="6"/>
      <c r="X33" s="6"/>
      <c r="Y33" s="6"/>
      <c r="Z33" s="6"/>
      <c r="AA33" s="372">
        <f ca="1">Y33+IF(NOT(ISBLANK(OFFSET(AA33,0,6))),N(OFFSET(AA33,0,6)),N(OFFSET(AA33,0,7)))-Z33</f>
        <v>0</v>
      </c>
      <c r="AB33" s="362"/>
      <c r="AC33" s="347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</row>
    <row r="34" spans="1:195" x14ac:dyDescent="0.3">
      <c r="A34" s="25" t="s">
        <v>173</v>
      </c>
      <c r="B34" s="6">
        <v>10</v>
      </c>
      <c r="C34" s="77">
        <v>120</v>
      </c>
      <c r="D34" s="396"/>
      <c r="F34" s="6">
        <v>3</v>
      </c>
      <c r="G34" s="6">
        <v>3</v>
      </c>
      <c r="H34" s="6">
        <v>3</v>
      </c>
      <c r="I34" s="6">
        <v>3</v>
      </c>
      <c r="J34" s="6">
        <v>3</v>
      </c>
      <c r="K34" s="6">
        <v>3</v>
      </c>
      <c r="L34" s="6">
        <v>3</v>
      </c>
      <c r="M34" s="6">
        <v>3</v>
      </c>
      <c r="N34" s="6">
        <v>3</v>
      </c>
      <c r="O34" s="6">
        <v>3</v>
      </c>
      <c r="P34" s="6">
        <v>3</v>
      </c>
      <c r="Q34" s="6">
        <v>3</v>
      </c>
      <c r="R34" s="6">
        <v>3</v>
      </c>
      <c r="S34" s="6">
        <v>3</v>
      </c>
      <c r="T34" s="6">
        <v>3</v>
      </c>
      <c r="U34" s="6"/>
      <c r="V34" s="6"/>
      <c r="W34" s="6"/>
      <c r="X34" s="6">
        <v>3</v>
      </c>
      <c r="Y34" s="6">
        <v>3</v>
      </c>
      <c r="Z34" s="6">
        <v>3</v>
      </c>
      <c r="AA34" s="372">
        <f ca="1">Y34+IF(NOT(ISBLANK(OFFSET(AA34,0,6))),N(OFFSET(AA34,0,6)),N(OFFSET(AA34,0,7)))-Z34</f>
        <v>0</v>
      </c>
      <c r="AB34" s="362"/>
      <c r="AC34" s="347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</row>
    <row r="35" spans="1:195" x14ac:dyDescent="0.3">
      <c r="AB35" s="362"/>
      <c r="AC35" s="347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</row>
    <row r="36" spans="1:195" ht="21" customHeight="1" x14ac:dyDescent="0.3">
      <c r="A36" s="394" t="s">
        <v>174</v>
      </c>
      <c r="B36" s="394"/>
      <c r="C36" s="394"/>
      <c r="AB36" s="362"/>
      <c r="AG36" s="11"/>
      <c r="AH36" s="11"/>
      <c r="AI36" s="11"/>
      <c r="AJ36" s="11"/>
      <c r="AK36" s="11"/>
      <c r="AL36" s="11"/>
      <c r="AM36" s="11"/>
      <c r="AN36" s="11"/>
      <c r="AO36" s="11"/>
      <c r="AP36" s="401"/>
      <c r="AQ36" s="401"/>
      <c r="AR36" s="401"/>
      <c r="AS36" s="401"/>
      <c r="AT36" s="401"/>
      <c r="AU36" s="401"/>
      <c r="AV36" s="401"/>
      <c r="AW36" s="401"/>
      <c r="AX36" s="401"/>
      <c r="AY36" s="401"/>
    </row>
    <row r="37" spans="1:195" x14ac:dyDescent="0.3">
      <c r="A37" s="361" t="s">
        <v>175</v>
      </c>
      <c r="B37" s="361"/>
      <c r="C37" s="361" t="s">
        <v>176</v>
      </c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362"/>
      <c r="AD37" s="41"/>
      <c r="AE37" s="41"/>
      <c r="AF37" s="41"/>
      <c r="AG37" s="11"/>
      <c r="AH37" s="11"/>
      <c r="AI37" s="11"/>
      <c r="AJ37" s="11"/>
      <c r="AK37" s="11"/>
      <c r="AL37" s="11"/>
      <c r="AM37" s="11"/>
      <c r="AN37" s="11"/>
      <c r="AO37" s="11"/>
      <c r="AP37" s="401"/>
      <c r="AQ37" s="401"/>
      <c r="AR37" s="401"/>
      <c r="AS37" s="401"/>
      <c r="AT37" s="401"/>
      <c r="AU37" s="401"/>
      <c r="AV37" s="401"/>
      <c r="AW37" s="401"/>
      <c r="AX37" s="401"/>
      <c r="AY37" s="401"/>
    </row>
    <row r="38" spans="1:195" x14ac:dyDescent="0.3">
      <c r="A38" s="286"/>
      <c r="B38" s="370"/>
      <c r="C38" s="357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11"/>
      <c r="AH38" s="11"/>
      <c r="AI38" s="11"/>
      <c r="AJ38" s="11"/>
      <c r="AK38" s="11"/>
      <c r="AL38" s="11"/>
      <c r="AM38" s="11"/>
      <c r="AN38" s="11"/>
      <c r="AO38" s="1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41"/>
      <c r="DP38" s="41"/>
      <c r="DQ38" s="41"/>
      <c r="DR38" s="401"/>
      <c r="DS38" s="401"/>
      <c r="DT38" s="34"/>
      <c r="DU38" s="34"/>
      <c r="DV38" s="34"/>
      <c r="DW38" s="34"/>
      <c r="DX38" s="401"/>
      <c r="DY38" s="401"/>
      <c r="DZ38" s="34"/>
      <c r="EA38" s="401"/>
      <c r="EB38" s="34"/>
      <c r="EC38" s="401"/>
      <c r="ED38" s="34"/>
      <c r="EE38" s="401"/>
      <c r="EF38" s="401"/>
      <c r="EG38" s="34"/>
      <c r="EH38" s="401"/>
      <c r="EI38" s="401"/>
      <c r="EJ38" s="34"/>
      <c r="EK38" s="401"/>
      <c r="EL38" s="401"/>
      <c r="EM38" s="401"/>
      <c r="EN38" s="350"/>
      <c r="EO38" s="401"/>
      <c r="EP38" s="401"/>
      <c r="EQ38" s="401"/>
      <c r="ER38" s="401"/>
      <c r="ES38" s="401"/>
      <c r="ET38" s="401"/>
      <c r="EU38" s="401"/>
      <c r="EV38" s="401"/>
      <c r="EW38" s="401"/>
      <c r="EX38" s="401"/>
      <c r="EY38" s="401"/>
      <c r="EZ38" s="401"/>
      <c r="FA38" s="401"/>
      <c r="FB38" s="401"/>
      <c r="FC38" s="401"/>
      <c r="FD38" s="401"/>
      <c r="FE38" s="401"/>
      <c r="FF38" s="401"/>
      <c r="FG38" s="401"/>
      <c r="FH38" s="401"/>
      <c r="FI38" s="401"/>
      <c r="FJ38" s="401"/>
      <c r="FK38" s="401"/>
      <c r="FL38" s="401"/>
      <c r="FM38" s="401"/>
      <c r="FN38" s="401"/>
      <c r="FO38" s="401"/>
      <c r="FP38" s="401"/>
      <c r="FQ38" s="401"/>
      <c r="FR38" s="401"/>
      <c r="FS38" s="401"/>
      <c r="FT38" s="401"/>
      <c r="FU38" s="401"/>
      <c r="FV38" s="401"/>
      <c r="FW38" s="401"/>
      <c r="FX38" s="401"/>
      <c r="FY38" s="401"/>
      <c r="FZ38" s="401"/>
      <c r="GA38" s="401"/>
      <c r="GB38" s="401"/>
      <c r="GC38" s="401"/>
      <c r="GD38" s="401"/>
      <c r="GE38" s="401"/>
      <c r="GF38" s="401"/>
      <c r="GG38" s="401"/>
      <c r="GH38" s="401"/>
      <c r="GI38" s="401"/>
      <c r="GJ38" s="401"/>
      <c r="GK38" s="401"/>
      <c r="GL38" s="401"/>
      <c r="GM38" s="401"/>
    </row>
    <row r="39" spans="1:195" x14ac:dyDescent="0.3">
      <c r="A39" s="462"/>
      <c r="B39" s="463"/>
      <c r="C39" s="464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11"/>
      <c r="AH39" s="401"/>
      <c r="AI39" s="401"/>
      <c r="AJ39" s="401"/>
      <c r="AK39" s="401"/>
      <c r="AL39" s="401"/>
      <c r="AM39" s="401"/>
      <c r="AN39" s="401"/>
      <c r="AO39" s="40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41"/>
      <c r="DP39" s="41"/>
      <c r="DQ39" s="41"/>
      <c r="DR39" s="347"/>
      <c r="DS39" s="347"/>
      <c r="DT39" s="34"/>
      <c r="DU39" s="34"/>
      <c r="DV39" s="34"/>
      <c r="DW39" s="34"/>
      <c r="DX39" s="347"/>
      <c r="DY39" s="347"/>
      <c r="DZ39" s="34"/>
      <c r="EA39" s="347"/>
      <c r="EB39" s="34"/>
      <c r="EC39" s="347"/>
      <c r="ED39" s="34"/>
      <c r="EE39" s="347"/>
      <c r="EF39" s="347"/>
      <c r="EG39" s="34"/>
      <c r="EH39" s="347"/>
      <c r="EI39" s="347"/>
      <c r="EJ39" s="34"/>
      <c r="EK39" s="347"/>
      <c r="EL39" s="347"/>
      <c r="EM39" s="347"/>
      <c r="EN39" s="350"/>
      <c r="EO39" s="347"/>
      <c r="EP39" s="150"/>
      <c r="EQ39" s="347"/>
      <c r="ER39" s="150"/>
      <c r="ES39" s="347"/>
      <c r="ET39" s="150"/>
      <c r="EU39" s="347"/>
      <c r="EV39" s="347"/>
      <c r="EW39" s="347"/>
      <c r="EX39" s="347"/>
      <c r="EY39" s="150"/>
      <c r="EZ39" s="347"/>
      <c r="FA39" s="150"/>
      <c r="FB39" s="347"/>
      <c r="FC39" s="150"/>
      <c r="FD39" s="347"/>
      <c r="FE39" s="347"/>
      <c r="FF39" s="347"/>
      <c r="FG39" s="347"/>
      <c r="FH39" s="150"/>
      <c r="FI39" s="150"/>
      <c r="FJ39" s="347"/>
      <c r="FK39" s="150"/>
      <c r="FL39" s="150"/>
      <c r="FM39" s="347"/>
      <c r="FN39" s="347"/>
      <c r="FO39" s="150"/>
      <c r="FP39" s="150"/>
      <c r="FQ39" s="347"/>
      <c r="FR39" s="347"/>
      <c r="FS39" s="150"/>
      <c r="FT39" s="150"/>
      <c r="FU39" s="347"/>
      <c r="FV39" s="347"/>
      <c r="FW39" s="150"/>
      <c r="FX39" s="347"/>
      <c r="FY39" s="150"/>
      <c r="FZ39" s="347"/>
      <c r="GA39" s="347"/>
      <c r="GB39" s="347"/>
      <c r="GC39" s="150"/>
      <c r="GD39" s="347"/>
      <c r="GE39" s="347"/>
      <c r="GF39" s="347"/>
      <c r="GG39" s="347"/>
      <c r="GH39" s="347"/>
      <c r="GI39" s="347"/>
      <c r="GJ39" s="347"/>
      <c r="GK39" s="347"/>
      <c r="GL39" s="347"/>
      <c r="GM39" s="347"/>
    </row>
    <row r="40" spans="1:195" x14ac:dyDescent="0.3">
      <c r="A40" s="286"/>
      <c r="B40" s="370"/>
      <c r="C40" s="357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01"/>
      <c r="AH40" s="401"/>
      <c r="AI40" s="401"/>
      <c r="AJ40" s="401"/>
      <c r="AK40" s="401"/>
      <c r="AL40" s="401"/>
      <c r="AM40" s="401"/>
      <c r="AN40" s="401"/>
      <c r="AO40" s="40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41"/>
      <c r="DP40" s="41"/>
      <c r="DQ40" s="41"/>
      <c r="DR40" s="347"/>
      <c r="DS40" s="347"/>
      <c r="DT40" s="34"/>
      <c r="DU40" s="34"/>
      <c r="DV40" s="34"/>
      <c r="DW40" s="34"/>
      <c r="DX40" s="347"/>
      <c r="DY40" s="347"/>
      <c r="DZ40" s="34"/>
      <c r="EA40" s="347"/>
      <c r="EB40" s="34"/>
      <c r="EC40" s="347"/>
      <c r="ED40" s="34"/>
      <c r="EE40" s="347"/>
      <c r="EF40" s="347"/>
      <c r="EG40" s="34"/>
      <c r="EH40" s="347"/>
      <c r="EI40" s="347"/>
      <c r="EJ40" s="34"/>
      <c r="EK40" s="347"/>
      <c r="EL40" s="347"/>
      <c r="EM40" s="347"/>
      <c r="EN40" s="365"/>
      <c r="EO40" s="347"/>
      <c r="EP40" s="150"/>
      <c r="EQ40" s="347"/>
      <c r="ER40" s="150"/>
      <c r="ES40" s="347"/>
      <c r="ET40" s="150"/>
      <c r="EU40" s="347"/>
      <c r="EV40" s="347"/>
      <c r="EW40" s="347"/>
      <c r="EX40" s="347"/>
      <c r="EY40" s="150"/>
      <c r="EZ40" s="347"/>
      <c r="FA40" s="150"/>
      <c r="FB40" s="347"/>
      <c r="FC40" s="150"/>
      <c r="FD40" s="347"/>
      <c r="FE40" s="347"/>
      <c r="FF40" s="347"/>
      <c r="FG40" s="347"/>
      <c r="FH40" s="150"/>
      <c r="FI40" s="150"/>
      <c r="FJ40" s="347"/>
      <c r="FK40" s="150"/>
      <c r="FL40" s="150"/>
      <c r="FM40" s="347"/>
      <c r="FN40" s="347"/>
      <c r="FO40" s="150"/>
      <c r="FP40" s="150"/>
      <c r="FQ40" s="347"/>
      <c r="FR40" s="347"/>
      <c r="FS40" s="150"/>
      <c r="FT40" s="150"/>
      <c r="FU40" s="347"/>
      <c r="FV40" s="347"/>
      <c r="FW40" s="150"/>
      <c r="FX40" s="347"/>
      <c r="FY40" s="150"/>
      <c r="FZ40" s="347"/>
      <c r="GA40" s="347"/>
      <c r="GB40" s="347"/>
      <c r="GC40" s="150"/>
      <c r="GD40" s="347"/>
      <c r="GE40" s="347"/>
      <c r="GF40" s="347"/>
      <c r="GG40" s="347"/>
      <c r="GH40" s="347"/>
      <c r="GI40" s="347"/>
      <c r="GJ40" s="347"/>
      <c r="GK40" s="347"/>
      <c r="GL40" s="347"/>
      <c r="GM40" s="347"/>
    </row>
    <row r="41" spans="1:195" x14ac:dyDescent="0.3">
      <c r="A41" s="286"/>
      <c r="B41" s="370"/>
      <c r="C41" s="357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0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41"/>
      <c r="DP41" s="41"/>
      <c r="DQ41" s="41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4"/>
      <c r="EN41" s="365"/>
      <c r="EO41" s="34"/>
      <c r="EP41" s="150"/>
      <c r="EQ41" s="34"/>
      <c r="ER41" s="150"/>
      <c r="ES41" s="34"/>
      <c r="ET41" s="150"/>
      <c r="EU41" s="34"/>
      <c r="EV41" s="34"/>
      <c r="EW41" s="34"/>
      <c r="EX41" s="34"/>
      <c r="EY41" s="150"/>
      <c r="EZ41" s="34"/>
      <c r="FA41" s="150"/>
      <c r="FB41" s="34"/>
      <c r="FC41" s="150"/>
      <c r="FD41" s="34"/>
      <c r="FE41" s="34"/>
      <c r="FF41" s="34"/>
      <c r="FG41" s="34"/>
      <c r="FH41" s="150"/>
      <c r="FI41" s="150"/>
      <c r="FJ41" s="34"/>
      <c r="FK41" s="150"/>
      <c r="FL41" s="150"/>
      <c r="FM41" s="34"/>
      <c r="FN41" s="34"/>
      <c r="FO41" s="150"/>
      <c r="FP41" s="150"/>
      <c r="FQ41" s="34"/>
      <c r="FR41" s="34"/>
      <c r="FS41" s="150"/>
      <c r="FT41" s="150"/>
      <c r="FU41" s="34"/>
      <c r="FV41" s="34"/>
      <c r="FW41" s="150"/>
      <c r="FX41" s="34"/>
      <c r="FY41" s="150"/>
      <c r="FZ41" s="34"/>
      <c r="GA41" s="34"/>
      <c r="GB41" s="34"/>
      <c r="GC41" s="150"/>
      <c r="GD41" s="34"/>
      <c r="GE41" s="34"/>
      <c r="GF41" s="34"/>
      <c r="GG41" s="34"/>
      <c r="GH41" s="34"/>
      <c r="GI41" s="34"/>
      <c r="GJ41" s="34"/>
      <c r="GK41" s="34"/>
      <c r="GL41" s="34"/>
      <c r="GM41" s="34"/>
    </row>
    <row r="42" spans="1:195" x14ac:dyDescent="0.3">
      <c r="A42" s="468"/>
      <c r="B42" s="467"/>
      <c r="C42" s="469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62"/>
      <c r="CL42" s="362"/>
      <c r="CM42" s="362"/>
      <c r="CN42" s="362"/>
      <c r="CO42" s="362"/>
      <c r="CP42" s="362"/>
      <c r="CQ42" s="362"/>
      <c r="CR42" s="362"/>
      <c r="CS42" s="362"/>
      <c r="CT42" s="362"/>
      <c r="CU42" s="362"/>
      <c r="CV42" s="362"/>
      <c r="CW42" s="362"/>
      <c r="CX42" s="362"/>
      <c r="CY42" s="362"/>
      <c r="CZ42" s="362"/>
      <c r="DA42" s="362"/>
      <c r="DB42" s="362"/>
      <c r="DC42" s="362"/>
      <c r="DD42" s="362"/>
      <c r="DE42" s="362"/>
      <c r="DF42" s="362"/>
      <c r="DG42" s="362"/>
      <c r="DH42" s="362"/>
      <c r="DI42" s="362"/>
      <c r="DJ42" s="362"/>
      <c r="DK42" s="362"/>
      <c r="DL42" s="362"/>
      <c r="DM42" s="362"/>
      <c r="DN42" s="34"/>
      <c r="DO42" s="41"/>
      <c r="DP42" s="41"/>
      <c r="DQ42" s="41"/>
      <c r="DR42" s="34"/>
      <c r="DS42" s="34"/>
      <c r="DT42" s="34"/>
      <c r="DX42" s="34"/>
      <c r="DY42" s="34"/>
      <c r="EA42" s="34"/>
      <c r="EC42" s="34"/>
      <c r="EE42" s="34"/>
      <c r="EF42" s="34"/>
      <c r="EH42" s="34"/>
      <c r="EI42" s="34"/>
      <c r="EK42" s="34"/>
      <c r="EL42" s="34"/>
      <c r="EM42" s="34"/>
      <c r="EN42" s="34"/>
      <c r="EO42" s="34"/>
      <c r="EP42" s="71"/>
      <c r="EQ42" s="34"/>
      <c r="ER42" s="71"/>
      <c r="ES42" s="34"/>
      <c r="ET42" s="71"/>
      <c r="EU42" s="34"/>
      <c r="EV42" s="34"/>
      <c r="EW42" s="34"/>
      <c r="EX42" s="34"/>
      <c r="EY42" s="71"/>
      <c r="EZ42" s="34"/>
      <c r="FA42" s="71"/>
      <c r="FB42" s="34"/>
      <c r="FC42" s="71"/>
      <c r="FD42" s="34"/>
      <c r="FE42" s="34"/>
      <c r="FF42" s="34"/>
      <c r="FG42" s="34"/>
      <c r="FH42" s="71"/>
      <c r="FI42" s="71"/>
      <c r="FJ42" s="34"/>
      <c r="FK42" s="71"/>
      <c r="FL42" s="71"/>
      <c r="FM42" s="34"/>
      <c r="FN42" s="34"/>
      <c r="FO42" s="71"/>
      <c r="FP42" s="71"/>
      <c r="FQ42" s="34"/>
      <c r="FR42" s="34"/>
      <c r="FS42" s="71"/>
      <c r="FT42" s="71"/>
      <c r="FU42" s="34"/>
      <c r="FV42" s="34"/>
      <c r="FW42" s="71"/>
      <c r="FX42" s="34"/>
      <c r="FY42" s="71"/>
      <c r="FZ42" s="34"/>
      <c r="GA42" s="34"/>
      <c r="GB42" s="34"/>
      <c r="GC42" s="71"/>
      <c r="GD42" s="34"/>
      <c r="GE42" s="34"/>
      <c r="GF42" s="34"/>
      <c r="GG42" s="34"/>
      <c r="GH42" s="34"/>
      <c r="GI42" s="34"/>
      <c r="GJ42" s="34"/>
      <c r="GK42" s="34"/>
      <c r="GL42" s="34"/>
      <c r="GM42" s="34"/>
    </row>
    <row r="43" spans="1:195" x14ac:dyDescent="0.3"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347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Z43" s="41"/>
      <c r="BA43" s="41"/>
      <c r="BB43" s="41"/>
      <c r="BC43" s="41"/>
      <c r="BD43" s="41"/>
      <c r="BE43" s="41"/>
      <c r="BF43" s="41"/>
      <c r="BG43" s="41"/>
      <c r="BH43" s="41"/>
      <c r="BI43" s="41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62"/>
      <c r="CL43" s="362"/>
      <c r="CM43" s="362"/>
      <c r="CN43" s="362"/>
      <c r="CO43" s="362"/>
      <c r="CP43" s="362"/>
      <c r="CQ43" s="362"/>
      <c r="CR43" s="362"/>
      <c r="CS43" s="362"/>
      <c r="CT43" s="362"/>
      <c r="CU43" s="362"/>
      <c r="CV43" s="362"/>
      <c r="CW43" s="362"/>
      <c r="CX43" s="362"/>
      <c r="CY43" s="362"/>
      <c r="CZ43" s="362"/>
      <c r="DA43" s="362"/>
      <c r="DB43" s="362"/>
      <c r="DC43" s="362"/>
      <c r="DD43" s="362"/>
      <c r="DE43" s="362"/>
      <c r="DF43" s="362"/>
      <c r="DG43" s="362"/>
      <c r="DH43" s="362"/>
      <c r="DI43" s="362"/>
      <c r="DJ43" s="362"/>
      <c r="DK43" s="362"/>
      <c r="DL43" s="362"/>
      <c r="DM43" s="362"/>
      <c r="DN43" s="34"/>
      <c r="DO43" s="41"/>
      <c r="DP43" s="41"/>
      <c r="DQ43" s="41"/>
      <c r="DR43" s="34"/>
      <c r="DS43" s="34"/>
      <c r="DT43" s="34"/>
      <c r="DX43" s="34"/>
      <c r="DY43" s="34"/>
      <c r="EA43" s="34"/>
      <c r="EC43" s="34"/>
      <c r="EE43" s="34"/>
      <c r="EF43" s="34"/>
      <c r="EH43" s="34"/>
      <c r="EI43" s="34"/>
      <c r="EK43" s="34"/>
      <c r="EL43" s="34"/>
      <c r="EM43" s="34"/>
      <c r="EN43" s="34"/>
      <c r="EO43" s="34"/>
      <c r="EP43" s="71"/>
      <c r="EQ43" s="34"/>
      <c r="ER43" s="71"/>
      <c r="ES43" s="34"/>
      <c r="ET43" s="71"/>
      <c r="EU43" s="34"/>
      <c r="EV43" s="34"/>
      <c r="EW43" s="34"/>
      <c r="EX43" s="34"/>
      <c r="EY43" s="71"/>
      <c r="EZ43" s="34"/>
      <c r="FA43" s="71"/>
      <c r="FB43" s="34"/>
      <c r="FC43" s="71"/>
      <c r="FD43" s="34"/>
      <c r="FE43" s="34"/>
      <c r="FF43" s="34"/>
      <c r="FG43" s="34"/>
      <c r="FH43" s="71"/>
      <c r="FI43" s="71"/>
      <c r="FJ43" s="34"/>
      <c r="FK43" s="71"/>
      <c r="FL43" s="71"/>
      <c r="FM43" s="34"/>
      <c r="FN43" s="34"/>
      <c r="FO43" s="71"/>
      <c r="FP43" s="71"/>
      <c r="FQ43" s="34"/>
      <c r="FR43" s="34"/>
      <c r="FS43" s="71"/>
      <c r="FT43" s="71"/>
      <c r="FU43" s="34"/>
      <c r="FV43" s="34"/>
      <c r="FW43" s="71"/>
      <c r="FX43" s="34"/>
      <c r="FY43" s="71"/>
      <c r="FZ43" s="34"/>
      <c r="GA43" s="34"/>
      <c r="GB43" s="34"/>
      <c r="GC43" s="71"/>
      <c r="GD43" s="34"/>
      <c r="GE43" s="34"/>
      <c r="GF43" s="34"/>
      <c r="GG43" s="34"/>
      <c r="GH43" s="34"/>
      <c r="GI43" s="34"/>
      <c r="GJ43" s="34"/>
      <c r="GK43" s="34"/>
      <c r="GL43" s="34"/>
      <c r="GM43" s="34"/>
    </row>
    <row r="44" spans="1:195" x14ac:dyDescent="0.3">
      <c r="A44" s="472" t="s">
        <v>177</v>
      </c>
      <c r="B44" s="467"/>
      <c r="C44" s="467"/>
      <c r="D44" s="469"/>
      <c r="F44" s="356">
        <v>46013</v>
      </c>
      <c r="G44" s="356">
        <v>46020</v>
      </c>
      <c r="H44" s="356">
        <v>46027</v>
      </c>
      <c r="I44" s="356">
        <v>46034</v>
      </c>
      <c r="J44" s="356">
        <v>46041</v>
      </c>
      <c r="K44" s="356">
        <v>46048</v>
      </c>
      <c r="L44" s="356">
        <v>46055</v>
      </c>
      <c r="M44" s="356">
        <v>46062</v>
      </c>
      <c r="N44" s="356">
        <v>46069</v>
      </c>
      <c r="O44" s="356">
        <v>46076</v>
      </c>
      <c r="P44" s="356">
        <v>46083</v>
      </c>
      <c r="Q44" s="356">
        <v>46090</v>
      </c>
      <c r="R44" s="356">
        <v>46097</v>
      </c>
      <c r="S44" s="356">
        <v>46104</v>
      </c>
      <c r="T44" s="356">
        <v>46111</v>
      </c>
      <c r="U44" s="356">
        <v>46118</v>
      </c>
      <c r="V44" s="356">
        <v>46125</v>
      </c>
      <c r="W44" s="356">
        <v>46132</v>
      </c>
      <c r="X44" s="356">
        <v>46139</v>
      </c>
      <c r="Y44" s="356">
        <v>46146</v>
      </c>
      <c r="Z44" s="356">
        <v>46154</v>
      </c>
      <c r="AD44" s="347"/>
      <c r="AE44" s="347"/>
      <c r="AF44" s="347"/>
      <c r="AG44" s="41"/>
      <c r="AH44" s="41"/>
      <c r="AI44" s="41"/>
      <c r="AJ44" s="41"/>
      <c r="AK44" s="41"/>
      <c r="AL44" s="41"/>
      <c r="AM44" s="41"/>
      <c r="AN44" s="41"/>
      <c r="AO44" s="41"/>
      <c r="BA44" s="41"/>
      <c r="BB44" s="41"/>
      <c r="BC44" s="41"/>
      <c r="BD44" s="41"/>
      <c r="BE44" s="41"/>
      <c r="BF44" s="41"/>
      <c r="BG44" s="41"/>
      <c r="BH44" s="41"/>
      <c r="BI44" s="41"/>
    </row>
    <row r="45" spans="1:195" ht="18.75" hidden="1" customHeight="1" x14ac:dyDescent="0.3">
      <c r="A45" s="470" t="s">
        <v>192</v>
      </c>
      <c r="B45" s="467"/>
      <c r="C45" s="467"/>
      <c r="D45" s="469"/>
      <c r="F45" s="358">
        <v>20</v>
      </c>
      <c r="G45" s="358">
        <v>16</v>
      </c>
      <c r="H45" s="358">
        <v>18</v>
      </c>
      <c r="I45" s="358">
        <v>18</v>
      </c>
      <c r="J45" s="358">
        <v>11</v>
      </c>
      <c r="K45" s="358">
        <v>11</v>
      </c>
      <c r="L45" s="358">
        <v>11</v>
      </c>
      <c r="M45" s="358">
        <v>11</v>
      </c>
      <c r="N45" s="358">
        <v>11</v>
      </c>
      <c r="O45" s="358">
        <v>11</v>
      </c>
      <c r="P45" s="358">
        <v>11</v>
      </c>
      <c r="Q45" s="358">
        <v>3</v>
      </c>
      <c r="R45" s="358">
        <v>3</v>
      </c>
      <c r="S45" s="358">
        <v>3</v>
      </c>
      <c r="T45" s="358">
        <v>3</v>
      </c>
      <c r="U45" s="358">
        <v>3</v>
      </c>
      <c r="V45" s="358">
        <v>0</v>
      </c>
      <c r="W45" s="358">
        <v>0</v>
      </c>
      <c r="X45" s="358">
        <v>0</v>
      </c>
      <c r="Y45" s="358">
        <v>0</v>
      </c>
      <c r="Z45" s="358"/>
      <c r="AG45" s="41"/>
    </row>
    <row r="46" spans="1:195" ht="18.75" hidden="1" customHeight="1" x14ac:dyDescent="0.3">
      <c r="A46" s="470" t="s">
        <v>193</v>
      </c>
      <c r="B46" s="467"/>
      <c r="C46" s="467"/>
      <c r="D46" s="469"/>
      <c r="F46" s="358">
        <v>7</v>
      </c>
      <c r="G46" s="358">
        <v>5</v>
      </c>
      <c r="H46" s="358">
        <v>8</v>
      </c>
      <c r="I46" s="358">
        <v>8</v>
      </c>
      <c r="J46" s="358">
        <v>4</v>
      </c>
      <c r="K46" s="358">
        <v>4</v>
      </c>
      <c r="L46" s="358">
        <v>5</v>
      </c>
      <c r="M46" s="358">
        <v>5</v>
      </c>
      <c r="N46" s="358">
        <v>5</v>
      </c>
      <c r="O46" s="358">
        <v>5</v>
      </c>
      <c r="P46" s="358">
        <v>5</v>
      </c>
      <c r="Q46" s="358">
        <v>0</v>
      </c>
      <c r="R46" s="358">
        <v>0</v>
      </c>
      <c r="S46" s="358">
        <v>0</v>
      </c>
      <c r="T46" s="358">
        <v>0</v>
      </c>
      <c r="U46" s="358">
        <v>0</v>
      </c>
      <c r="V46" s="358">
        <v>0</v>
      </c>
      <c r="W46" s="358">
        <v>0</v>
      </c>
      <c r="X46" s="358">
        <v>0</v>
      </c>
      <c r="Y46" s="358">
        <v>0</v>
      </c>
      <c r="Z46" s="358"/>
    </row>
    <row r="47" spans="1:195" x14ac:dyDescent="0.3">
      <c r="A47" s="470" t="s">
        <v>194</v>
      </c>
      <c r="B47" s="467"/>
      <c r="C47" s="467"/>
      <c r="D47" s="469"/>
      <c r="F47" s="358">
        <v>1</v>
      </c>
      <c r="G47" s="358">
        <v>1</v>
      </c>
      <c r="H47" s="358">
        <v>2</v>
      </c>
      <c r="I47" s="358">
        <v>2</v>
      </c>
      <c r="J47" s="358">
        <v>2</v>
      </c>
      <c r="K47" s="358">
        <v>2</v>
      </c>
      <c r="L47" s="358">
        <v>2</v>
      </c>
      <c r="M47" s="358">
        <v>2</v>
      </c>
      <c r="N47" s="358">
        <v>2</v>
      </c>
      <c r="O47" s="358">
        <v>2</v>
      </c>
      <c r="P47" s="358">
        <v>2</v>
      </c>
      <c r="Q47" s="358">
        <v>2</v>
      </c>
      <c r="R47" s="358">
        <v>2</v>
      </c>
      <c r="S47" s="358">
        <v>2</v>
      </c>
      <c r="T47" s="358">
        <v>2</v>
      </c>
      <c r="U47" s="358">
        <v>2</v>
      </c>
      <c r="V47" s="358">
        <v>2</v>
      </c>
      <c r="W47" s="358">
        <v>2</v>
      </c>
      <c r="X47" s="358">
        <v>2</v>
      </c>
      <c r="Y47" s="358">
        <v>2</v>
      </c>
      <c r="Z47" s="358">
        <v>2</v>
      </c>
      <c r="AH47" s="11"/>
      <c r="AI47" s="11"/>
      <c r="AJ47" s="11"/>
      <c r="AK47" s="11"/>
      <c r="AL47" s="11"/>
      <c r="AM47" s="11"/>
      <c r="AN47" s="11"/>
      <c r="AO47" s="11"/>
    </row>
    <row r="48" spans="1:195" x14ac:dyDescent="0.3">
      <c r="A48" s="470" t="s">
        <v>195</v>
      </c>
      <c r="B48" s="467"/>
      <c r="C48" s="467"/>
      <c r="D48" s="469"/>
      <c r="F48" s="358">
        <v>31</v>
      </c>
      <c r="G48" s="358">
        <v>31</v>
      </c>
      <c r="H48" s="358">
        <v>27</v>
      </c>
      <c r="I48" s="358">
        <v>27</v>
      </c>
      <c r="J48" s="358">
        <v>19</v>
      </c>
      <c r="K48" s="358">
        <v>19</v>
      </c>
      <c r="L48" s="358">
        <v>14</v>
      </c>
      <c r="M48" s="358">
        <v>14</v>
      </c>
      <c r="N48" s="358">
        <v>14</v>
      </c>
      <c r="O48" s="358">
        <v>14</v>
      </c>
      <c r="P48" s="358">
        <v>12</v>
      </c>
      <c r="Q48" s="358">
        <v>10</v>
      </c>
      <c r="R48" s="358">
        <v>10</v>
      </c>
      <c r="S48" s="358">
        <v>10</v>
      </c>
      <c r="T48" s="358">
        <v>10</v>
      </c>
      <c r="U48" s="358">
        <v>9</v>
      </c>
      <c r="V48" s="358">
        <v>2</v>
      </c>
      <c r="W48" s="358">
        <v>2</v>
      </c>
      <c r="X48" s="358">
        <v>1</v>
      </c>
      <c r="Y48" s="358">
        <v>1</v>
      </c>
      <c r="Z48" s="358">
        <v>1</v>
      </c>
      <c r="AG48" s="11"/>
    </row>
    <row r="49" spans="1:26" x14ac:dyDescent="0.3">
      <c r="A49" s="470" t="s">
        <v>196</v>
      </c>
      <c r="B49" s="467"/>
      <c r="C49" s="467"/>
      <c r="D49" s="469"/>
      <c r="F49" s="358">
        <v>4</v>
      </c>
      <c r="G49" s="358">
        <v>4</v>
      </c>
      <c r="H49" s="358">
        <v>5</v>
      </c>
      <c r="I49" s="358">
        <v>5</v>
      </c>
      <c r="J49" s="358">
        <v>13</v>
      </c>
      <c r="K49" s="358">
        <v>13</v>
      </c>
      <c r="L49" s="358">
        <v>13</v>
      </c>
      <c r="M49" s="358">
        <v>13</v>
      </c>
      <c r="N49" s="358">
        <v>13</v>
      </c>
      <c r="O49" s="358">
        <v>13</v>
      </c>
      <c r="P49" s="358">
        <v>13</v>
      </c>
      <c r="Q49" s="358">
        <v>4</v>
      </c>
      <c r="R49" s="358">
        <v>4</v>
      </c>
      <c r="S49" s="358">
        <v>4</v>
      </c>
      <c r="T49" s="358">
        <v>4</v>
      </c>
      <c r="U49" s="358">
        <v>4</v>
      </c>
      <c r="V49" s="358">
        <v>4</v>
      </c>
      <c r="W49" s="358">
        <v>4</v>
      </c>
      <c r="X49" s="358">
        <v>4</v>
      </c>
      <c r="Y49" s="358">
        <v>4</v>
      </c>
      <c r="Z49" s="358">
        <v>4</v>
      </c>
    </row>
    <row r="50" spans="1:26" x14ac:dyDescent="0.3">
      <c r="A50" s="470" t="s">
        <v>197</v>
      </c>
      <c r="B50" s="467"/>
      <c r="C50" s="467"/>
      <c r="D50" s="469"/>
      <c r="F50" s="358">
        <v>4</v>
      </c>
      <c r="G50" s="358">
        <v>4</v>
      </c>
      <c r="H50" s="358">
        <v>4</v>
      </c>
      <c r="I50" s="358">
        <v>4</v>
      </c>
      <c r="J50" s="358">
        <v>0</v>
      </c>
      <c r="K50" s="358">
        <v>0</v>
      </c>
      <c r="L50" s="358">
        <v>0</v>
      </c>
      <c r="M50" s="358">
        <v>0</v>
      </c>
      <c r="N50" s="358">
        <v>0</v>
      </c>
      <c r="O50" s="358">
        <v>0</v>
      </c>
      <c r="P50" s="358">
        <v>0</v>
      </c>
      <c r="Q50" s="358">
        <v>4</v>
      </c>
      <c r="R50" s="358">
        <v>4</v>
      </c>
      <c r="S50" s="358">
        <v>4</v>
      </c>
      <c r="T50" s="358">
        <v>4</v>
      </c>
      <c r="U50" s="358">
        <v>4</v>
      </c>
      <c r="V50" s="358">
        <v>4</v>
      </c>
      <c r="W50" s="358">
        <v>4</v>
      </c>
      <c r="X50" s="358">
        <v>4</v>
      </c>
      <c r="Y50" s="358">
        <v>4</v>
      </c>
      <c r="Z50" s="358">
        <v>4</v>
      </c>
    </row>
    <row r="51" spans="1:26" ht="18.75" hidden="1" customHeight="1" x14ac:dyDescent="0.3">
      <c r="A51" s="470" t="s">
        <v>198</v>
      </c>
      <c r="B51" s="467"/>
      <c r="C51" s="467"/>
      <c r="D51" s="469"/>
      <c r="F51" s="358">
        <v>4</v>
      </c>
      <c r="G51" s="358">
        <v>4</v>
      </c>
      <c r="H51" s="358">
        <v>4</v>
      </c>
      <c r="I51" s="358">
        <v>4</v>
      </c>
      <c r="J51" s="358">
        <v>0</v>
      </c>
      <c r="K51" s="358">
        <v>0</v>
      </c>
      <c r="L51" s="358">
        <v>0</v>
      </c>
      <c r="M51" s="358">
        <v>0</v>
      </c>
      <c r="N51" s="358">
        <v>0</v>
      </c>
      <c r="O51" s="358">
        <v>0</v>
      </c>
      <c r="P51" s="358">
        <v>0</v>
      </c>
      <c r="Q51" s="358">
        <v>0</v>
      </c>
      <c r="R51" s="358">
        <v>0</v>
      </c>
      <c r="S51" s="358">
        <v>0</v>
      </c>
      <c r="T51" s="358">
        <v>0</v>
      </c>
      <c r="U51" s="358">
        <v>0</v>
      </c>
      <c r="V51" s="358">
        <v>0</v>
      </c>
      <c r="W51" s="358">
        <v>0</v>
      </c>
      <c r="X51" s="358">
        <v>0</v>
      </c>
      <c r="Y51" s="358">
        <v>0</v>
      </c>
      <c r="Z51" s="358"/>
    </row>
    <row r="52" spans="1:26" x14ac:dyDescent="0.3">
      <c r="A52" s="470" t="s">
        <v>199</v>
      </c>
      <c r="B52" s="467"/>
      <c r="C52" s="467"/>
      <c r="D52" s="469"/>
      <c r="F52" s="358">
        <v>23</v>
      </c>
      <c r="G52" s="358">
        <v>23</v>
      </c>
      <c r="H52" s="358">
        <v>24</v>
      </c>
      <c r="I52" s="358">
        <v>24</v>
      </c>
      <c r="J52" s="358">
        <v>21</v>
      </c>
      <c r="K52" s="358">
        <v>21</v>
      </c>
      <c r="L52" s="358">
        <v>21</v>
      </c>
      <c r="M52" s="358">
        <v>21</v>
      </c>
      <c r="N52" s="358">
        <v>21</v>
      </c>
      <c r="O52" s="358">
        <v>21</v>
      </c>
      <c r="P52" s="358">
        <v>21</v>
      </c>
      <c r="Q52" s="358">
        <v>21</v>
      </c>
      <c r="R52" s="358">
        <v>21</v>
      </c>
      <c r="S52" s="358">
        <v>21</v>
      </c>
      <c r="T52" s="358">
        <v>21</v>
      </c>
      <c r="U52" s="358">
        <v>20</v>
      </c>
      <c r="V52" s="358">
        <v>20</v>
      </c>
      <c r="W52" s="358">
        <v>20</v>
      </c>
      <c r="X52" s="358">
        <v>20</v>
      </c>
      <c r="Y52" s="358">
        <v>20</v>
      </c>
      <c r="Z52" s="358">
        <v>20</v>
      </c>
    </row>
    <row r="53" spans="1:26" x14ac:dyDescent="0.3">
      <c r="A53" s="470" t="s">
        <v>178</v>
      </c>
      <c r="B53" s="467"/>
      <c r="C53" s="467"/>
      <c r="D53" s="469"/>
      <c r="F53" s="358">
        <v>71</v>
      </c>
      <c r="G53" s="358">
        <v>53</v>
      </c>
      <c r="H53" s="358">
        <v>63</v>
      </c>
      <c r="I53" s="358">
        <v>63</v>
      </c>
      <c r="J53" s="358">
        <v>57</v>
      </c>
      <c r="K53" s="358">
        <v>57</v>
      </c>
      <c r="L53" s="358">
        <v>48</v>
      </c>
      <c r="M53" s="358">
        <v>48</v>
      </c>
      <c r="N53" s="358">
        <v>48</v>
      </c>
      <c r="O53" s="358">
        <v>45</v>
      </c>
      <c r="P53" s="358">
        <v>38</v>
      </c>
      <c r="Q53" s="358">
        <v>28</v>
      </c>
      <c r="R53" s="358">
        <v>25</v>
      </c>
      <c r="S53" s="358">
        <v>18</v>
      </c>
      <c r="T53" s="358">
        <v>18</v>
      </c>
      <c r="U53" s="358">
        <v>12</v>
      </c>
      <c r="V53" s="358">
        <v>10</v>
      </c>
      <c r="W53" s="358">
        <v>10</v>
      </c>
      <c r="X53" s="358">
        <v>9</v>
      </c>
      <c r="Y53" s="358">
        <v>9</v>
      </c>
      <c r="Z53" s="358">
        <v>0</v>
      </c>
    </row>
    <row r="54" spans="1:26" ht="18.75" hidden="1" customHeight="1" x14ac:dyDescent="0.3">
      <c r="A54" s="470" t="s">
        <v>179</v>
      </c>
      <c r="B54" s="467"/>
      <c r="C54" s="467"/>
      <c r="D54" s="469"/>
      <c r="F54" s="358">
        <v>28</v>
      </c>
      <c r="G54" s="358">
        <v>19</v>
      </c>
      <c r="H54" s="358">
        <v>18</v>
      </c>
      <c r="I54" s="358">
        <v>18</v>
      </c>
      <c r="J54" s="358">
        <v>13</v>
      </c>
      <c r="K54" s="358">
        <v>13</v>
      </c>
      <c r="L54" s="358">
        <v>6</v>
      </c>
      <c r="M54" s="358">
        <v>6</v>
      </c>
      <c r="N54" s="358">
        <v>6</v>
      </c>
      <c r="O54" s="358">
        <v>2</v>
      </c>
      <c r="P54" s="358">
        <v>0</v>
      </c>
      <c r="Q54" s="358">
        <v>0</v>
      </c>
      <c r="R54" s="358">
        <v>0</v>
      </c>
      <c r="S54" s="358">
        <v>0</v>
      </c>
      <c r="T54" s="358">
        <v>0</v>
      </c>
      <c r="U54" s="358">
        <v>0</v>
      </c>
      <c r="V54" s="358">
        <v>0</v>
      </c>
      <c r="W54" s="358">
        <v>0</v>
      </c>
      <c r="X54" s="358">
        <v>0</v>
      </c>
      <c r="Y54" s="358">
        <v>0</v>
      </c>
      <c r="Z54" s="358"/>
    </row>
    <row r="55" spans="1:26" ht="18.75" hidden="1" customHeight="1" x14ac:dyDescent="0.3">
      <c r="A55" s="470" t="s">
        <v>200</v>
      </c>
      <c r="B55" s="467"/>
      <c r="C55" s="467"/>
      <c r="D55" s="469"/>
      <c r="F55" s="358">
        <v>0</v>
      </c>
      <c r="G55" s="358">
        <v>0</v>
      </c>
      <c r="H55" s="358">
        <v>7</v>
      </c>
      <c r="I55" s="358">
        <v>7</v>
      </c>
      <c r="J55" s="358">
        <v>7</v>
      </c>
      <c r="K55" s="358">
        <v>7</v>
      </c>
      <c r="L55" s="358">
        <v>6</v>
      </c>
      <c r="M55" s="358">
        <v>6</v>
      </c>
      <c r="N55" s="358">
        <v>6</v>
      </c>
      <c r="O55" s="358">
        <v>6</v>
      </c>
      <c r="P55" s="358">
        <v>6</v>
      </c>
      <c r="Q55" s="358">
        <v>1</v>
      </c>
      <c r="R55" s="358">
        <v>0</v>
      </c>
      <c r="S55" s="358">
        <v>0</v>
      </c>
      <c r="T55" s="358">
        <v>0</v>
      </c>
      <c r="U55" s="358">
        <v>0</v>
      </c>
      <c r="V55" s="358">
        <v>0</v>
      </c>
      <c r="W55" s="358">
        <v>0</v>
      </c>
      <c r="X55" s="358">
        <v>0</v>
      </c>
      <c r="Y55" s="358">
        <v>0</v>
      </c>
      <c r="Z55" s="358"/>
    </row>
    <row r="56" spans="1:26" x14ac:dyDescent="0.3">
      <c r="A56" s="470" t="s">
        <v>201</v>
      </c>
      <c r="B56" s="467"/>
      <c r="C56" s="467"/>
      <c r="D56" s="469"/>
      <c r="F56" s="358">
        <v>0</v>
      </c>
      <c r="G56" s="358">
        <v>0</v>
      </c>
      <c r="H56" s="358">
        <v>3</v>
      </c>
      <c r="I56" s="358">
        <v>3</v>
      </c>
      <c r="J56" s="358">
        <v>3</v>
      </c>
      <c r="K56" s="358">
        <v>3</v>
      </c>
      <c r="L56" s="358">
        <v>3</v>
      </c>
      <c r="M56" s="358">
        <v>3</v>
      </c>
      <c r="N56" s="358">
        <v>3</v>
      </c>
      <c r="O56" s="358">
        <v>3</v>
      </c>
      <c r="P56" s="358">
        <v>3</v>
      </c>
      <c r="Q56" s="358">
        <v>3</v>
      </c>
      <c r="R56" s="358">
        <v>3</v>
      </c>
      <c r="S56" s="358">
        <v>3</v>
      </c>
      <c r="T56" s="358">
        <v>3</v>
      </c>
      <c r="U56" s="358">
        <v>3</v>
      </c>
      <c r="V56" s="358">
        <v>3</v>
      </c>
      <c r="W56" s="358">
        <v>3</v>
      </c>
      <c r="X56" s="358">
        <v>3</v>
      </c>
      <c r="Y56" s="358">
        <v>3</v>
      </c>
      <c r="Z56" s="358">
        <v>3</v>
      </c>
    </row>
    <row r="57" spans="1:26" x14ac:dyDescent="0.3">
      <c r="A57" s="470" t="s">
        <v>202</v>
      </c>
      <c r="B57" s="467"/>
      <c r="C57" s="467"/>
      <c r="D57" s="469"/>
      <c r="F57" s="358">
        <v>0</v>
      </c>
      <c r="G57" s="358">
        <v>0</v>
      </c>
      <c r="H57" s="358">
        <v>7</v>
      </c>
      <c r="I57" s="358">
        <v>7</v>
      </c>
      <c r="J57" s="358">
        <v>7</v>
      </c>
      <c r="K57" s="358">
        <v>7</v>
      </c>
      <c r="L57" s="358">
        <v>7</v>
      </c>
      <c r="M57" s="358">
        <v>7</v>
      </c>
      <c r="N57" s="358">
        <v>5</v>
      </c>
      <c r="O57" s="358">
        <v>7</v>
      </c>
      <c r="P57" s="358">
        <v>7</v>
      </c>
      <c r="Q57" s="358">
        <v>7</v>
      </c>
      <c r="R57" s="358">
        <v>7</v>
      </c>
      <c r="S57" s="358">
        <v>7</v>
      </c>
      <c r="T57" s="358">
        <v>7</v>
      </c>
      <c r="U57" s="358">
        <v>7</v>
      </c>
      <c r="V57" s="358">
        <v>7</v>
      </c>
      <c r="W57" s="358">
        <v>7</v>
      </c>
      <c r="X57" s="358">
        <v>7</v>
      </c>
      <c r="Y57" s="358">
        <v>7</v>
      </c>
      <c r="Z57" s="358">
        <v>7</v>
      </c>
    </row>
    <row r="58" spans="1:26" ht="18.75" hidden="1" customHeight="1" x14ac:dyDescent="0.3">
      <c r="A58" s="470" t="s">
        <v>203</v>
      </c>
      <c r="B58" s="467"/>
      <c r="C58" s="467"/>
      <c r="D58" s="469"/>
      <c r="F58" s="358">
        <v>0</v>
      </c>
      <c r="G58" s="358">
        <v>0</v>
      </c>
      <c r="H58" s="358">
        <v>1</v>
      </c>
      <c r="I58" s="358">
        <v>1</v>
      </c>
      <c r="J58" s="358">
        <v>0</v>
      </c>
      <c r="K58" s="358">
        <v>0</v>
      </c>
      <c r="L58" s="358">
        <v>0</v>
      </c>
      <c r="M58" s="358">
        <v>0</v>
      </c>
      <c r="N58" s="358">
        <v>0</v>
      </c>
      <c r="O58" s="358">
        <v>0</v>
      </c>
      <c r="P58" s="358">
        <v>0</v>
      </c>
      <c r="Q58" s="358">
        <v>0</v>
      </c>
      <c r="R58" s="358">
        <v>0</v>
      </c>
      <c r="S58" s="358">
        <v>0</v>
      </c>
      <c r="T58" s="358">
        <v>0</v>
      </c>
      <c r="U58" s="358">
        <v>0</v>
      </c>
      <c r="V58" s="358">
        <v>0</v>
      </c>
      <c r="W58" s="358">
        <v>0</v>
      </c>
      <c r="X58" s="358">
        <v>0</v>
      </c>
      <c r="Y58" s="358">
        <v>0</v>
      </c>
      <c r="Z58" s="358"/>
    </row>
    <row r="59" spans="1:26" x14ac:dyDescent="0.3">
      <c r="A59" s="470" t="s">
        <v>204</v>
      </c>
      <c r="B59" s="467"/>
      <c r="C59" s="467"/>
      <c r="D59" s="469"/>
      <c r="N59" s="358">
        <v>0</v>
      </c>
      <c r="O59" s="358">
        <v>0</v>
      </c>
      <c r="P59" s="358">
        <v>0</v>
      </c>
      <c r="Q59" s="358">
        <v>0</v>
      </c>
      <c r="R59" s="358">
        <v>30</v>
      </c>
      <c r="S59" s="358">
        <v>30</v>
      </c>
      <c r="T59" s="358">
        <v>30</v>
      </c>
      <c r="U59" s="358">
        <v>30</v>
      </c>
      <c r="V59" s="358">
        <v>60</v>
      </c>
      <c r="W59" s="358">
        <v>60</v>
      </c>
      <c r="X59" s="358">
        <v>60</v>
      </c>
      <c r="Y59" s="358">
        <v>60</v>
      </c>
      <c r="Z59" s="358">
        <v>45</v>
      </c>
    </row>
    <row r="60" spans="1:26" x14ac:dyDescent="0.3">
      <c r="A60" s="470" t="s">
        <v>205</v>
      </c>
      <c r="B60" s="467"/>
      <c r="C60" s="467"/>
      <c r="D60" s="469"/>
      <c r="N60" s="358">
        <v>0</v>
      </c>
      <c r="O60" s="358">
        <v>0</v>
      </c>
      <c r="P60" s="358">
        <v>0</v>
      </c>
      <c r="Q60" s="358">
        <v>0</v>
      </c>
      <c r="R60" s="358">
        <v>0</v>
      </c>
      <c r="S60" s="358">
        <v>38</v>
      </c>
      <c r="T60" s="358">
        <v>38</v>
      </c>
      <c r="U60" s="358">
        <v>38</v>
      </c>
      <c r="V60" s="358">
        <v>30</v>
      </c>
      <c r="W60" s="358">
        <v>30</v>
      </c>
      <c r="X60" s="358">
        <v>30</v>
      </c>
      <c r="Y60" s="358">
        <v>30</v>
      </c>
      <c r="Z60" s="358">
        <v>22</v>
      </c>
    </row>
    <row r="61" spans="1:26" hidden="1" x14ac:dyDescent="0.3">
      <c r="A61" s="335" t="s">
        <v>206</v>
      </c>
      <c r="B61" s="336"/>
      <c r="C61" s="336"/>
      <c r="D61" s="337"/>
      <c r="N61" s="358">
        <v>0</v>
      </c>
      <c r="O61" s="358">
        <v>0</v>
      </c>
      <c r="P61" s="358">
        <v>0</v>
      </c>
      <c r="Q61" s="358">
        <v>0</v>
      </c>
      <c r="R61" s="358">
        <v>0</v>
      </c>
      <c r="S61" s="358">
        <v>0</v>
      </c>
      <c r="T61" s="358">
        <v>29</v>
      </c>
      <c r="U61" s="358">
        <v>29</v>
      </c>
      <c r="V61" s="358">
        <v>0</v>
      </c>
      <c r="W61" s="358">
        <v>0</v>
      </c>
      <c r="X61" s="358">
        <v>0</v>
      </c>
      <c r="Y61" s="358">
        <v>0</v>
      </c>
      <c r="Z61" s="358"/>
    </row>
    <row r="62" spans="1:26" x14ac:dyDescent="0.3">
      <c r="A62" s="335" t="s">
        <v>207</v>
      </c>
      <c r="B62" s="336"/>
      <c r="C62" s="336"/>
      <c r="D62" s="337"/>
      <c r="N62" s="358"/>
      <c r="O62" s="358"/>
      <c r="P62" s="358"/>
      <c r="Q62" s="358"/>
      <c r="R62" s="358">
        <v>0</v>
      </c>
      <c r="S62" s="358">
        <v>0</v>
      </c>
      <c r="T62" s="358">
        <v>0</v>
      </c>
      <c r="U62" s="358">
        <v>0</v>
      </c>
      <c r="V62" s="358">
        <v>0</v>
      </c>
      <c r="W62" s="358">
        <v>60</v>
      </c>
      <c r="X62" s="358">
        <v>51</v>
      </c>
      <c r="Y62" s="358">
        <v>42</v>
      </c>
      <c r="Z62" s="358">
        <v>12</v>
      </c>
    </row>
    <row r="63" spans="1:26" x14ac:dyDescent="0.3">
      <c r="A63" s="335" t="s">
        <v>208</v>
      </c>
      <c r="B63" s="336"/>
      <c r="C63" s="336"/>
      <c r="D63" s="337"/>
      <c r="R63" s="358">
        <v>0</v>
      </c>
      <c r="S63" s="358">
        <v>0</v>
      </c>
      <c r="T63" s="358">
        <v>0</v>
      </c>
      <c r="U63" s="358">
        <v>0</v>
      </c>
      <c r="V63" s="358">
        <v>0</v>
      </c>
      <c r="W63" s="358">
        <v>65</v>
      </c>
      <c r="X63" s="358">
        <v>50</v>
      </c>
      <c r="Y63" s="358">
        <v>39</v>
      </c>
      <c r="Z63" s="358">
        <v>20</v>
      </c>
    </row>
    <row r="64" spans="1:26" x14ac:dyDescent="0.3">
      <c r="A64" s="470"/>
      <c r="B64" s="467"/>
      <c r="C64" s="467"/>
      <c r="D64" s="469"/>
      <c r="R64" s="358"/>
      <c r="S64" s="358"/>
      <c r="T64" s="358"/>
      <c r="U64" s="358"/>
      <c r="V64" s="358"/>
      <c r="W64" s="358"/>
      <c r="X64" s="358"/>
      <c r="Y64" s="358"/>
      <c r="Z64" s="358"/>
    </row>
  </sheetData>
  <mergeCells count="28">
    <mergeCell ref="A5:A6"/>
    <mergeCell ref="A45:D45"/>
    <mergeCell ref="A54:D54"/>
    <mergeCell ref="A1:AB1"/>
    <mergeCell ref="A39:C39"/>
    <mergeCell ref="A46:D46"/>
    <mergeCell ref="B5:B6"/>
    <mergeCell ref="D5:D6"/>
    <mergeCell ref="B3:D3"/>
    <mergeCell ref="A50:D50"/>
    <mergeCell ref="A47:D47"/>
    <mergeCell ref="B2:D2"/>
    <mergeCell ref="C5:C6"/>
    <mergeCell ref="A58:D58"/>
    <mergeCell ref="A48:D48"/>
    <mergeCell ref="A64:D64"/>
    <mergeCell ref="A59:D59"/>
    <mergeCell ref="A51:D51"/>
    <mergeCell ref="A49:D49"/>
    <mergeCell ref="A60:D60"/>
    <mergeCell ref="A56:D56"/>
    <mergeCell ref="A55:D55"/>
    <mergeCell ref="A57:D57"/>
    <mergeCell ref="BA7:BI7"/>
    <mergeCell ref="A53:D53"/>
    <mergeCell ref="A52:D52"/>
    <mergeCell ref="A44:D44"/>
    <mergeCell ref="A42:C42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64" fitToHeight="0"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43">
    <tabColor theme="9"/>
  </sheetPr>
  <dimension ref="A1:EX57"/>
  <sheetViews>
    <sheetView showGridLines="0" zoomScale="80" zoomScaleNormal="80" workbookViewId="0">
      <selection activeCell="AG35" sqref="AG35"/>
    </sheetView>
  </sheetViews>
  <sheetFormatPr defaultColWidth="9.140625" defaultRowHeight="15" x14ac:dyDescent="0.25"/>
  <cols>
    <col min="1" max="1" width="29.5703125" customWidth="1"/>
    <col min="2" max="2" width="9.42578125" customWidth="1"/>
    <col min="3" max="3" width="16.42578125" customWidth="1"/>
    <col min="4" max="4" width="14.42578125" customWidth="1"/>
    <col min="5" max="5" width="1.85546875" customWidth="1"/>
    <col min="6" max="6" width="8.42578125" hidden="1" customWidth="1"/>
    <col min="7" max="25" width="13" hidden="1" customWidth="1"/>
    <col min="26" max="26" width="8.42578125" hidden="1" customWidth="1"/>
    <col min="27" max="29" width="13" hidden="1" customWidth="1"/>
    <col min="30" max="31" width="13" customWidth="1"/>
    <col min="32" max="32" width="7.85546875" customWidth="1"/>
    <col min="33" max="33" width="2" customWidth="1"/>
    <col min="34" max="34" width="18.42578125" customWidth="1"/>
    <col min="35" max="35" width="17.42578125" hidden="1" customWidth="1"/>
    <col min="36" max="36" width="1.7109375" customWidth="1"/>
    <col min="37" max="37" width="15.85546875" customWidth="1"/>
    <col min="38" max="38" width="2.5703125" customWidth="1"/>
    <col min="39" max="39" width="8.7109375" customWidth="1"/>
    <col min="40" max="41" width="13" customWidth="1"/>
    <col min="42" max="46" width="13" hidden="1" customWidth="1"/>
    <col min="47" max="47" width="8.7109375" hidden="1" customWidth="1"/>
    <col min="48" max="56" width="13" hidden="1" customWidth="1"/>
    <col min="57" max="57" width="9.140625" customWidth="1"/>
    <col min="58" max="58" width="21.85546875" customWidth="1"/>
    <col min="59" max="59" width="9.140625" customWidth="1"/>
    <col min="60" max="64" width="13" hidden="1" customWidth="1"/>
    <col min="65" max="65" width="9.140625" hidden="1" customWidth="1"/>
    <col min="66" max="68" width="13" hidden="1" customWidth="1"/>
    <col min="69" max="70" width="13" customWidth="1"/>
  </cols>
  <sheetData>
    <row r="1" spans="1:71" ht="23.25" customHeight="1" x14ac:dyDescent="0.25">
      <c r="A1" s="477" t="s">
        <v>117</v>
      </c>
      <c r="B1" s="478"/>
      <c r="C1" s="478"/>
      <c r="D1" s="478"/>
      <c r="E1" s="478"/>
      <c r="F1" s="478"/>
      <c r="G1" s="478"/>
      <c r="H1" s="478"/>
      <c r="I1" s="478"/>
      <c r="J1" s="478"/>
      <c r="K1" s="478"/>
      <c r="L1" s="478"/>
      <c r="M1" s="478"/>
      <c r="N1" s="478"/>
      <c r="O1" s="478"/>
      <c r="P1" s="478"/>
      <c r="Q1" s="478"/>
      <c r="R1" s="478"/>
      <c r="S1" s="478"/>
      <c r="T1" s="478"/>
      <c r="U1" s="478"/>
      <c r="V1" s="478"/>
      <c r="W1" s="478"/>
      <c r="X1" s="478"/>
      <c r="Y1" s="478"/>
      <c r="Z1" s="478"/>
      <c r="AA1" s="478"/>
      <c r="AB1" s="478"/>
      <c r="AG1" s="338"/>
      <c r="AH1" s="353"/>
      <c r="AI1" s="353"/>
      <c r="AJ1" s="353"/>
      <c r="AK1" s="353"/>
      <c r="AL1" s="353"/>
      <c r="AM1" s="353"/>
      <c r="AN1" s="353"/>
      <c r="AO1" s="353"/>
      <c r="AP1" s="353"/>
      <c r="AQ1" s="353"/>
      <c r="AR1" s="353"/>
      <c r="AS1" s="353"/>
      <c r="AT1" s="353"/>
      <c r="AU1" s="353"/>
      <c r="AV1" s="353"/>
      <c r="AW1" s="353"/>
      <c r="AX1" s="353"/>
      <c r="AY1" s="353"/>
      <c r="AZ1" s="353"/>
      <c r="BA1" s="353"/>
      <c r="BB1" s="353"/>
      <c r="BC1" s="353"/>
      <c r="BD1" s="353"/>
    </row>
    <row r="2" spans="1:71" ht="18.75" x14ac:dyDescent="0.3">
      <c r="A2" s="63" t="s">
        <v>118</v>
      </c>
      <c r="B2" s="473" t="s">
        <v>209</v>
      </c>
      <c r="C2" s="463"/>
      <c r="D2" s="464"/>
      <c r="AH2" s="11"/>
      <c r="AI2" s="11"/>
      <c r="AK2" s="11"/>
    </row>
    <row r="3" spans="1:71" ht="18.75" x14ac:dyDescent="0.3">
      <c r="A3" s="63" t="s">
        <v>120</v>
      </c>
      <c r="B3" s="465" t="s">
        <v>210</v>
      </c>
      <c r="C3" s="463"/>
      <c r="D3" s="464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442"/>
      <c r="AC3" s="442"/>
      <c r="AD3" s="442"/>
      <c r="AE3" s="442"/>
      <c r="AF3" s="7"/>
      <c r="AG3" s="7"/>
      <c r="AH3" s="11"/>
      <c r="AI3" s="11"/>
      <c r="AJ3" s="7"/>
    </row>
    <row r="4" spans="1:71" ht="18.75" x14ac:dyDescent="0.3">
      <c r="AK4" s="11"/>
      <c r="AL4" s="154"/>
      <c r="AM4" s="387"/>
      <c r="AN4" s="387"/>
      <c r="AO4" s="387"/>
      <c r="AP4" s="387"/>
      <c r="AQ4" s="387"/>
      <c r="AR4" s="387"/>
      <c r="AS4" s="387"/>
      <c r="AT4" s="387"/>
      <c r="AU4" s="387"/>
      <c r="AV4" s="387"/>
      <c r="AW4" s="387"/>
      <c r="AX4" s="387"/>
      <c r="AY4" s="387"/>
      <c r="AZ4" s="387"/>
      <c r="BA4" s="387"/>
      <c r="BB4" s="387"/>
      <c r="BC4" s="387"/>
      <c r="BD4" s="387"/>
    </row>
    <row r="5" spans="1:71" ht="18.75" customHeight="1" x14ac:dyDescent="0.3">
      <c r="A5" s="460" t="s">
        <v>122</v>
      </c>
      <c r="B5" s="471" t="s">
        <v>123</v>
      </c>
      <c r="C5" s="471" t="s">
        <v>124</v>
      </c>
      <c r="D5" s="474" t="s">
        <v>125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H5" s="29" t="s">
        <v>126</v>
      </c>
      <c r="AI5" s="29" t="s">
        <v>126</v>
      </c>
      <c r="AK5" s="9" t="s">
        <v>127</v>
      </c>
      <c r="AL5" s="363">
        <v>46161.483285490998</v>
      </c>
      <c r="AM5" s="363"/>
      <c r="AN5" s="363">
        <v>46142</v>
      </c>
      <c r="AO5" s="363">
        <v>46114</v>
      </c>
      <c r="AP5" s="363">
        <v>46107</v>
      </c>
      <c r="AQ5" s="363">
        <v>46099</v>
      </c>
      <c r="AR5" s="409">
        <v>46065</v>
      </c>
      <c r="AS5" s="363">
        <v>46092</v>
      </c>
      <c r="AT5" s="363">
        <v>46084</v>
      </c>
      <c r="AU5" s="363">
        <v>46071</v>
      </c>
      <c r="AV5" s="363">
        <v>46056</v>
      </c>
      <c r="AW5" s="363">
        <v>46048</v>
      </c>
      <c r="AX5" s="363">
        <v>46043</v>
      </c>
      <c r="AY5" s="363">
        <v>46035</v>
      </c>
      <c r="AZ5" s="363">
        <v>46024</v>
      </c>
      <c r="BA5" s="363">
        <v>46017</v>
      </c>
      <c r="BB5" s="363">
        <v>46007</v>
      </c>
      <c r="BC5" s="363">
        <v>46001</v>
      </c>
      <c r="BD5" s="363">
        <v>45994</v>
      </c>
    </row>
    <row r="6" spans="1:71" s="3" customFormat="1" ht="18.75" x14ac:dyDescent="0.3">
      <c r="A6" s="461"/>
      <c r="B6" s="461"/>
      <c r="C6" s="461"/>
      <c r="D6" s="461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13">
        <v>46160</v>
      </c>
      <c r="AB6" s="13">
        <v>46161.480126249997</v>
      </c>
      <c r="AC6" s="13">
        <v>46161.480799849538</v>
      </c>
      <c r="AD6" s="13">
        <v>46161.482957499997</v>
      </c>
      <c r="AE6" s="13">
        <v>46161.483286050083</v>
      </c>
      <c r="AF6" s="35" t="s">
        <v>129</v>
      </c>
      <c r="AG6" s="30"/>
      <c r="AH6" s="180">
        <v>46142</v>
      </c>
      <c r="AI6" s="180">
        <v>45965</v>
      </c>
      <c r="AJ6" s="31"/>
      <c r="AK6" s="179"/>
      <c r="AL6" s="363">
        <v>46161.483285491217</v>
      </c>
      <c r="AM6" s="363"/>
      <c r="AN6" s="363">
        <v>46153</v>
      </c>
      <c r="AO6" s="363">
        <v>46125</v>
      </c>
      <c r="AP6" s="363">
        <v>46113</v>
      </c>
      <c r="AQ6" s="363">
        <v>46106</v>
      </c>
      <c r="AR6" s="409">
        <v>46107</v>
      </c>
      <c r="AS6" s="363">
        <v>46099</v>
      </c>
      <c r="AT6" s="363">
        <v>46092</v>
      </c>
      <c r="AU6" s="363">
        <v>46078</v>
      </c>
      <c r="AV6" s="363">
        <v>46062</v>
      </c>
      <c r="AW6" s="363">
        <v>46055</v>
      </c>
      <c r="AX6" s="363">
        <v>46055</v>
      </c>
      <c r="AY6" s="363">
        <v>46038</v>
      </c>
      <c r="AZ6" s="363">
        <v>46031</v>
      </c>
      <c r="BA6" s="363">
        <v>46029</v>
      </c>
      <c r="BB6" s="363">
        <v>46013</v>
      </c>
      <c r="BC6" s="363">
        <v>45978</v>
      </c>
      <c r="BD6" s="363">
        <v>45999</v>
      </c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</row>
    <row r="7" spans="1:71" s="3" customFormat="1" ht="21.75" customHeight="1" x14ac:dyDescent="0.3">
      <c r="A7" s="68" t="s">
        <v>130</v>
      </c>
      <c r="B7" s="5"/>
      <c r="C7" s="5"/>
      <c r="D7" s="233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1"/>
      <c r="AH7" s="381" t="s">
        <v>211</v>
      </c>
      <c r="AI7" s="84" t="s">
        <v>211</v>
      </c>
      <c r="AJ7" s="11"/>
      <c r="AK7" s="12"/>
      <c r="AL7" s="12"/>
      <c r="AM7" s="12"/>
      <c r="AN7" s="12"/>
      <c r="AO7" s="12"/>
      <c r="AP7" s="12"/>
      <c r="AQ7" s="12"/>
      <c r="AR7" s="12" t="s">
        <v>131</v>
      </c>
      <c r="AS7" s="12"/>
      <c r="AT7" s="12"/>
      <c r="AU7" s="12"/>
      <c r="AV7" s="12"/>
      <c r="AW7" s="12"/>
      <c r="AX7" s="12"/>
      <c r="AY7" s="12"/>
      <c r="AZ7" s="12"/>
      <c r="BA7" s="12"/>
      <c r="BB7" s="466"/>
      <c r="BC7" s="466"/>
      <c r="BD7" s="467"/>
      <c r="BE7" s="467"/>
      <c r="BF7" s="467"/>
      <c r="BG7" s="467"/>
      <c r="BH7" s="467"/>
      <c r="BI7" s="467"/>
      <c r="BJ7" s="467"/>
      <c r="BK7" s="447"/>
      <c r="BL7" s="447"/>
      <c r="BM7" s="452"/>
      <c r="BN7" s="443"/>
      <c r="BO7" s="444"/>
      <c r="BP7" s="444"/>
      <c r="BQ7" s="444"/>
      <c r="BR7" s="444"/>
      <c r="BS7" s="412"/>
    </row>
    <row r="8" spans="1:71" s="3" customFormat="1" ht="18.75" x14ac:dyDescent="0.3">
      <c r="A8" s="21" t="s">
        <v>132</v>
      </c>
      <c r="B8" s="6">
        <v>300</v>
      </c>
      <c r="C8" s="82">
        <v>187.12</v>
      </c>
      <c r="D8" s="234">
        <v>300</v>
      </c>
      <c r="E8" s="11"/>
      <c r="F8" s="39">
        <f>440+AX8</f>
        <v>440</v>
      </c>
      <c r="G8" s="39">
        <v>600</v>
      </c>
      <c r="H8" s="39">
        <v>600</v>
      </c>
      <c r="I8" s="39">
        <v>520</v>
      </c>
      <c r="J8" s="39">
        <v>500</v>
      </c>
      <c r="K8" s="39">
        <v>440</v>
      </c>
      <c r="L8" s="39">
        <v>380</v>
      </c>
      <c r="M8" s="39">
        <f>320+AR8</f>
        <v>320</v>
      </c>
      <c r="N8" s="39">
        <v>580</v>
      </c>
      <c r="O8" s="39">
        <v>480</v>
      </c>
      <c r="P8" s="39">
        <v>420</v>
      </c>
      <c r="Q8" s="39">
        <v>360</v>
      </c>
      <c r="R8" s="39">
        <f>300+AO8</f>
        <v>300</v>
      </c>
      <c r="S8" s="39">
        <v>220</v>
      </c>
      <c r="T8" s="39">
        <f>160+AL8</f>
        <v>160</v>
      </c>
      <c r="U8" s="39">
        <v>700</v>
      </c>
      <c r="V8" s="39">
        <v>620</v>
      </c>
      <c r="W8" s="39">
        <v>480</v>
      </c>
      <c r="X8" s="39">
        <v>400</v>
      </c>
      <c r="Y8" s="39">
        <f>360+AJ8</f>
        <v>360</v>
      </c>
      <c r="Z8" s="39">
        <f>320+AJ8</f>
        <v>320</v>
      </c>
      <c r="AA8" s="39"/>
      <c r="AB8" s="6"/>
      <c r="AC8" s="6"/>
      <c r="AD8" s="6"/>
      <c r="AE8" s="6"/>
      <c r="AF8" s="372">
        <f ca="1">AD8+IF(NOT(ISBLANK(OFFSET(AF8,0,6))),N(OFFSET(AF8,0,6)),N(OFFSET(AF8,0,7)))-AE8</f>
        <v>0</v>
      </c>
      <c r="AG8" s="11"/>
      <c r="AH8" s="78"/>
      <c r="AI8" s="78"/>
      <c r="AJ8" s="11"/>
      <c r="AK8" s="32"/>
      <c r="AL8" s="445">
        <v>0</v>
      </c>
      <c r="AM8" s="19">
        <v>0</v>
      </c>
      <c r="AN8" s="19">
        <v>300</v>
      </c>
      <c r="AO8" s="19"/>
      <c r="AP8" s="19">
        <v>300</v>
      </c>
      <c r="AQ8" s="19"/>
      <c r="AR8" s="19"/>
      <c r="AS8" s="19">
        <v>300</v>
      </c>
      <c r="AT8" s="19"/>
      <c r="AU8" s="19"/>
      <c r="AV8" s="19">
        <v>300</v>
      </c>
      <c r="AW8" s="19"/>
      <c r="AX8" s="19"/>
      <c r="AY8" s="19"/>
      <c r="AZ8" s="19"/>
      <c r="BA8" s="19"/>
      <c r="BB8" s="19">
        <v>300</v>
      </c>
      <c r="BC8" s="19">
        <v>300</v>
      </c>
      <c r="BD8" s="19">
        <v>300</v>
      </c>
      <c r="BF8" s="389" t="s">
        <v>130</v>
      </c>
      <c r="BG8" s="376" t="s">
        <v>123</v>
      </c>
      <c r="BH8" s="13">
        <v>46118</v>
      </c>
      <c r="BI8" s="13">
        <v>46125</v>
      </c>
      <c r="BJ8" s="13">
        <v>46132</v>
      </c>
      <c r="BK8" s="13">
        <v>46139</v>
      </c>
      <c r="BL8" s="13">
        <v>46146</v>
      </c>
      <c r="BM8" s="13">
        <v>46154</v>
      </c>
      <c r="BN8" s="13">
        <v>46160</v>
      </c>
      <c r="BO8" s="13">
        <v>46161.480125868053</v>
      </c>
      <c r="BP8" s="13">
        <v>46161.480799456018</v>
      </c>
      <c r="BQ8" s="13">
        <v>46161.48295716435</v>
      </c>
      <c r="BR8" s="13">
        <v>46161.483285731018</v>
      </c>
      <c r="BS8" s="35" t="s">
        <v>129</v>
      </c>
    </row>
    <row r="9" spans="1:71" s="3" customFormat="1" ht="18.75" customHeight="1" x14ac:dyDescent="0.3">
      <c r="A9" s="21" t="s">
        <v>134</v>
      </c>
      <c r="B9" s="6">
        <v>200</v>
      </c>
      <c r="C9" s="82">
        <v>193.08</v>
      </c>
      <c r="D9" s="234">
        <v>700</v>
      </c>
      <c r="E9" s="11"/>
      <c r="F9" s="39">
        <f>180+AX9</f>
        <v>180</v>
      </c>
      <c r="G9" s="39">
        <v>320</v>
      </c>
      <c r="H9" s="39">
        <v>100</v>
      </c>
      <c r="I9" s="39">
        <v>920</v>
      </c>
      <c r="J9" s="39">
        <v>980</v>
      </c>
      <c r="K9" s="39">
        <v>740</v>
      </c>
      <c r="L9" s="39">
        <v>980</v>
      </c>
      <c r="M9" s="39">
        <f>800+AR9</f>
        <v>2200</v>
      </c>
      <c r="N9" s="39">
        <v>760</v>
      </c>
      <c r="O9" s="39">
        <v>620</v>
      </c>
      <c r="P9" s="39">
        <v>620</v>
      </c>
      <c r="Q9" s="39">
        <f>400+AP9</f>
        <v>400</v>
      </c>
      <c r="R9" s="39">
        <v>560</v>
      </c>
      <c r="S9" s="39">
        <f>420+AM9</f>
        <v>420</v>
      </c>
      <c r="T9" s="39">
        <v>400</v>
      </c>
      <c r="U9" s="39">
        <v>240</v>
      </c>
      <c r="V9" s="39">
        <f>100+AH9</f>
        <v>300</v>
      </c>
      <c r="W9" s="39">
        <v>500</v>
      </c>
      <c r="X9" s="39">
        <v>500</v>
      </c>
      <c r="Y9" s="39">
        <f>480+AJ9</f>
        <v>480</v>
      </c>
      <c r="Z9" s="39">
        <f>480+AJ9</f>
        <v>480</v>
      </c>
      <c r="AA9" s="39"/>
      <c r="AB9" s="6"/>
      <c r="AC9" s="6"/>
      <c r="AD9" s="6"/>
      <c r="AE9" s="6"/>
      <c r="AF9" s="372">
        <f ca="1">AD9+IF(NOT(ISBLANK(OFFSET(AF9,0,6))),N(OFFSET(AF9,0,6)),N(OFFSET(AF9,0,7)))-AE9</f>
        <v>0</v>
      </c>
      <c r="AG9" s="11"/>
      <c r="AH9" s="78">
        <v>200</v>
      </c>
      <c r="AI9" s="78"/>
      <c r="AJ9" s="11"/>
      <c r="AK9" s="32"/>
      <c r="AL9" s="446">
        <v>0</v>
      </c>
      <c r="AM9" s="296">
        <v>0</v>
      </c>
      <c r="AN9" s="296">
        <v>200</v>
      </c>
      <c r="AO9" s="19">
        <v>400</v>
      </c>
      <c r="AP9" s="19"/>
      <c r="AQ9" s="19">
        <v>200</v>
      </c>
      <c r="AR9" s="117">
        <v>1400</v>
      </c>
      <c r="AS9" s="19"/>
      <c r="AT9" s="19">
        <v>400</v>
      </c>
      <c r="AU9" s="19">
        <v>200</v>
      </c>
      <c r="AV9" s="19">
        <v>200</v>
      </c>
      <c r="AW9" s="19">
        <v>400</v>
      </c>
      <c r="AX9" s="19"/>
      <c r="AY9" s="19">
        <v>200</v>
      </c>
      <c r="AZ9" s="19">
        <v>200</v>
      </c>
      <c r="BA9" s="19">
        <v>800</v>
      </c>
      <c r="BB9" s="19">
        <v>800</v>
      </c>
      <c r="BC9" s="19">
        <v>400</v>
      </c>
      <c r="BD9" s="19"/>
      <c r="BF9" s="364" t="s">
        <v>136</v>
      </c>
      <c r="BG9" s="135">
        <v>200</v>
      </c>
      <c r="BH9" s="39">
        <f>AN9</f>
        <v>200</v>
      </c>
      <c r="BI9" s="39">
        <v>1380</v>
      </c>
      <c r="BJ9" s="39">
        <v>1220</v>
      </c>
      <c r="BK9" s="39">
        <v>1040</v>
      </c>
      <c r="BL9" s="39">
        <v>840</v>
      </c>
      <c r="BM9" s="39">
        <v>480</v>
      </c>
      <c r="BN9" s="39"/>
      <c r="BO9" s="6"/>
      <c r="BP9" s="6"/>
      <c r="BQ9" s="6"/>
      <c r="BR9" s="6"/>
      <c r="BS9" s="26">
        <f ca="1">BQ9+IF(NOT(ISBLANK(OFFSET(BS9,0,6))),N(OFFSET(BS9,0,6)),N(OFFSET(BS9,0,7)))-BR9</f>
        <v>0</v>
      </c>
    </row>
    <row r="10" spans="1:71" s="3" customFormat="1" ht="18.75" x14ac:dyDescent="0.3">
      <c r="A10" s="21" t="s">
        <v>137</v>
      </c>
      <c r="B10" s="6">
        <v>200</v>
      </c>
      <c r="C10" s="82">
        <v>253.83</v>
      </c>
      <c r="D10" s="234">
        <v>350</v>
      </c>
      <c r="E10" s="11"/>
      <c r="F10" s="39">
        <f>120+AX10</f>
        <v>120</v>
      </c>
      <c r="G10" s="39">
        <v>580</v>
      </c>
      <c r="H10" s="39">
        <v>420</v>
      </c>
      <c r="I10" s="39">
        <v>800</v>
      </c>
      <c r="J10" s="39">
        <v>800</v>
      </c>
      <c r="K10" s="39">
        <v>720</v>
      </c>
      <c r="L10" s="39">
        <v>680</v>
      </c>
      <c r="M10" s="39">
        <v>600</v>
      </c>
      <c r="N10" s="39">
        <v>500</v>
      </c>
      <c r="O10" s="39">
        <v>440</v>
      </c>
      <c r="P10" s="39">
        <v>380</v>
      </c>
      <c r="Q10" s="39">
        <v>300</v>
      </c>
      <c r="R10" s="39">
        <f>220+AO10</f>
        <v>420</v>
      </c>
      <c r="S10" s="39">
        <v>140</v>
      </c>
      <c r="T10" s="39">
        <f>60+AL10</f>
        <v>60</v>
      </c>
      <c r="U10" s="39">
        <v>200</v>
      </c>
      <c r="V10" s="39">
        <f>300+AH10</f>
        <v>300</v>
      </c>
      <c r="W10" s="39">
        <v>500</v>
      </c>
      <c r="X10" s="39">
        <v>500</v>
      </c>
      <c r="Y10" s="39">
        <v>500</v>
      </c>
      <c r="Z10" s="39">
        <v>480</v>
      </c>
      <c r="AA10" s="39"/>
      <c r="AB10" s="6"/>
      <c r="AC10" s="6"/>
      <c r="AD10" s="6"/>
      <c r="AE10" s="6"/>
      <c r="AF10" s="372">
        <f ca="1">AD10+IF(NOT(ISBLANK(OFFSET(AF10,0,6))),N(OFFSET(AF10,0,6)),N(OFFSET(AF10,0,7)))-AE10</f>
        <v>0</v>
      </c>
      <c r="AG10" s="11"/>
      <c r="AH10" s="78"/>
      <c r="AI10" s="78"/>
      <c r="AJ10" s="11"/>
      <c r="AK10" s="32"/>
      <c r="AL10" s="446">
        <v>0</v>
      </c>
      <c r="AM10" s="296">
        <v>0</v>
      </c>
      <c r="AN10" s="296">
        <v>0</v>
      </c>
      <c r="AO10" s="19">
        <v>200</v>
      </c>
      <c r="AP10" s="19">
        <v>200</v>
      </c>
      <c r="AQ10" s="19"/>
      <c r="AR10" s="117">
        <v>800</v>
      </c>
      <c r="AS10" s="19">
        <v>200</v>
      </c>
      <c r="AT10" s="19"/>
      <c r="AU10" s="19"/>
      <c r="AV10" s="19"/>
      <c r="AW10" s="19"/>
      <c r="AX10" s="19"/>
      <c r="AY10" s="19"/>
      <c r="AZ10" s="19"/>
      <c r="BA10" s="19">
        <v>400</v>
      </c>
      <c r="BB10" s="19">
        <v>600</v>
      </c>
      <c r="BC10" s="19">
        <v>200</v>
      </c>
      <c r="BD10" s="19"/>
      <c r="BF10" s="21" t="s">
        <v>138</v>
      </c>
      <c r="BG10" s="6">
        <v>200</v>
      </c>
      <c r="BH10" s="39">
        <f>AN10</f>
        <v>0</v>
      </c>
      <c r="BI10" s="39">
        <v>760</v>
      </c>
      <c r="BJ10" s="39">
        <v>700</v>
      </c>
      <c r="BK10" s="39">
        <v>540</v>
      </c>
      <c r="BL10" s="39">
        <v>440</v>
      </c>
      <c r="BM10" s="39">
        <v>0</v>
      </c>
      <c r="BN10" s="39"/>
      <c r="BO10" s="6"/>
      <c r="BP10" s="6"/>
      <c r="BQ10" s="6"/>
      <c r="BR10" s="6"/>
      <c r="BS10" s="26">
        <f ca="1">BQ10+IF(NOT(ISBLANK(OFFSET(BS10,0,6))),N(OFFSET(BS10,0,6)),N(OFFSET(BS10,0,7)))-BR10</f>
        <v>0</v>
      </c>
    </row>
    <row r="11" spans="1:71" s="3" customFormat="1" ht="18.75" x14ac:dyDescent="0.3">
      <c r="A11" s="22" t="s">
        <v>139</v>
      </c>
      <c r="B11" s="6">
        <v>100</v>
      </c>
      <c r="C11" s="82">
        <v>184.57</v>
      </c>
      <c r="D11" s="234">
        <v>50</v>
      </c>
      <c r="E11" s="11"/>
      <c r="F11" s="39">
        <v>100</v>
      </c>
      <c r="G11" s="39">
        <v>60</v>
      </c>
      <c r="H11" s="39">
        <v>60</v>
      </c>
      <c r="I11" s="39">
        <v>100</v>
      </c>
      <c r="J11" s="39">
        <v>80</v>
      </c>
      <c r="K11" s="39">
        <v>60</v>
      </c>
      <c r="L11" s="39">
        <v>40</v>
      </c>
      <c r="M11" s="39">
        <f>20+AR11</f>
        <v>120</v>
      </c>
      <c r="N11" s="39">
        <v>120</v>
      </c>
      <c r="O11" s="39">
        <v>100</v>
      </c>
      <c r="P11" s="39">
        <v>100</v>
      </c>
      <c r="Q11" s="39">
        <v>60</v>
      </c>
      <c r="R11" s="39">
        <f>40+AO11</f>
        <v>40</v>
      </c>
      <c r="S11" s="39">
        <v>40</v>
      </c>
      <c r="T11" s="39">
        <f>40+AL11</f>
        <v>40</v>
      </c>
      <c r="U11" s="39">
        <v>220</v>
      </c>
      <c r="V11" s="39">
        <v>220</v>
      </c>
      <c r="W11" s="39">
        <v>220</v>
      </c>
      <c r="X11" s="39">
        <v>220</v>
      </c>
      <c r="Y11" s="39">
        <v>220</v>
      </c>
      <c r="Z11" s="39">
        <v>120</v>
      </c>
      <c r="AA11" s="39"/>
      <c r="AB11" s="6"/>
      <c r="AC11" s="6"/>
      <c r="AD11" s="6"/>
      <c r="AE11" s="6"/>
      <c r="AF11" s="372">
        <f ca="1">AD11+IF(NOT(ISBLANK(OFFSET(AF11,0,6))),N(OFFSET(AF11,0,6)),N(OFFSET(AF11,0,7)))-AE11</f>
        <v>0</v>
      </c>
      <c r="AG11" s="11"/>
      <c r="AH11" s="78"/>
      <c r="AI11" s="78"/>
      <c r="AJ11" s="11"/>
      <c r="AK11" s="32"/>
      <c r="AL11" s="446">
        <v>0</v>
      </c>
      <c r="AM11" s="296">
        <v>0</v>
      </c>
      <c r="AN11" s="296">
        <v>0</v>
      </c>
      <c r="AO11" s="19"/>
      <c r="AP11" s="19">
        <v>100</v>
      </c>
      <c r="AQ11" s="19"/>
      <c r="AR11" s="117">
        <v>100</v>
      </c>
      <c r="AS11" s="19">
        <v>100</v>
      </c>
      <c r="AT11" s="19"/>
      <c r="AU11" s="19"/>
      <c r="AV11" s="19">
        <v>100</v>
      </c>
      <c r="AW11" s="19"/>
      <c r="AX11" s="19"/>
      <c r="AY11" s="19"/>
      <c r="AZ11" s="19">
        <v>100</v>
      </c>
      <c r="BA11" s="19"/>
      <c r="BB11" s="19"/>
      <c r="BC11" s="19"/>
      <c r="BD11" s="19"/>
      <c r="BF11" s="22" t="s">
        <v>140</v>
      </c>
      <c r="BG11" s="6">
        <v>100</v>
      </c>
      <c r="BH11" s="39">
        <f>AN11</f>
        <v>0</v>
      </c>
      <c r="BI11" s="39">
        <v>80</v>
      </c>
      <c r="BJ11" s="39">
        <v>80</v>
      </c>
      <c r="BK11" s="39">
        <v>40</v>
      </c>
      <c r="BL11" s="39">
        <v>0</v>
      </c>
      <c r="BM11" s="39">
        <v>0</v>
      </c>
      <c r="BN11" s="39"/>
      <c r="BO11" s="6"/>
      <c r="BP11" s="6"/>
      <c r="BQ11" s="6"/>
      <c r="BR11" s="6"/>
      <c r="BS11" s="26">
        <f ca="1">BQ11+IF(NOT(ISBLANK(OFFSET(BS11,0,6))),N(OFFSET(BS11,0,6)),N(OFFSET(BS11,0,7)))-BR11</f>
        <v>0</v>
      </c>
    </row>
    <row r="12" spans="1:71" s="3" customFormat="1" ht="16.5" customHeight="1" x14ac:dyDescent="0.3">
      <c r="A12" s="23"/>
      <c r="B12" s="1"/>
      <c r="C12" s="64"/>
      <c r="D12" s="235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1"/>
      <c r="AC12" s="1"/>
      <c r="AD12" s="1"/>
      <c r="AE12" s="1"/>
      <c r="AF12" s="2"/>
      <c r="AG12" s="11"/>
      <c r="AH12" s="342"/>
      <c r="AI12" s="342"/>
      <c r="AJ12" s="11"/>
      <c r="AK12" s="73"/>
      <c r="AL12" s="388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A12" s="75"/>
      <c r="BB12" s="75"/>
      <c r="BC12" s="75"/>
      <c r="BD12" s="75"/>
      <c r="BF12" s="23"/>
      <c r="BG12" s="1"/>
      <c r="BH12" s="2"/>
      <c r="BI12" s="2"/>
      <c r="BJ12" s="2"/>
      <c r="BK12" s="2"/>
      <c r="BL12" s="2"/>
      <c r="BM12" s="2"/>
      <c r="BN12" s="2"/>
      <c r="BO12" s="1"/>
      <c r="BP12" s="1"/>
      <c r="BQ12" s="1"/>
      <c r="BR12" s="1"/>
    </row>
    <row r="13" spans="1:71" s="3" customFormat="1" ht="18.75" x14ac:dyDescent="0.3">
      <c r="A13" s="69" t="s">
        <v>141</v>
      </c>
      <c r="B13" s="360"/>
      <c r="C13" s="65"/>
      <c r="D13" s="395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13">
        <v>46160</v>
      </c>
      <c r="AB13" s="13">
        <v>46161.480126249997</v>
      </c>
      <c r="AC13" s="13">
        <v>46161.480799849538</v>
      </c>
      <c r="AD13" s="13">
        <v>46161.482957499997</v>
      </c>
      <c r="AE13" s="13">
        <v>46161.483286050337</v>
      </c>
      <c r="AF13" s="35" t="s">
        <v>129</v>
      </c>
      <c r="AG13" s="7"/>
      <c r="AH13" s="29" t="s">
        <v>126</v>
      </c>
      <c r="AI13" s="29" t="s">
        <v>126</v>
      </c>
      <c r="AJ13" s="11"/>
      <c r="AK13" s="9" t="s">
        <v>127</v>
      </c>
      <c r="AL13" s="363">
        <v>46161.483285491631</v>
      </c>
      <c r="AM13" s="363"/>
      <c r="AN13" s="363">
        <v>46142</v>
      </c>
      <c r="AO13" s="363">
        <v>46114</v>
      </c>
      <c r="AP13" s="363">
        <v>46107</v>
      </c>
      <c r="AQ13" s="363">
        <v>46099</v>
      </c>
      <c r="AR13" s="409">
        <v>46065</v>
      </c>
      <c r="AS13" s="363">
        <v>46092</v>
      </c>
      <c r="AT13" s="363">
        <v>46084</v>
      </c>
      <c r="AU13" s="363">
        <v>46071</v>
      </c>
      <c r="AV13" s="363">
        <v>46056</v>
      </c>
      <c r="AW13" s="363">
        <v>46048</v>
      </c>
      <c r="AX13" s="363">
        <v>46043</v>
      </c>
      <c r="AY13" s="363">
        <v>46035</v>
      </c>
      <c r="AZ13" s="363">
        <v>46024</v>
      </c>
      <c r="BA13" s="363">
        <v>46017</v>
      </c>
      <c r="BB13" s="363">
        <v>46007</v>
      </c>
      <c r="BC13" s="363">
        <v>46001</v>
      </c>
      <c r="BD13" s="363">
        <v>45994</v>
      </c>
      <c r="BF13" s="389" t="s">
        <v>141</v>
      </c>
      <c r="BG13" s="376" t="s">
        <v>123</v>
      </c>
      <c r="BH13" s="13">
        <v>46118</v>
      </c>
      <c r="BI13" s="13">
        <v>46125</v>
      </c>
      <c r="BJ13" s="13">
        <v>46132</v>
      </c>
      <c r="BK13" s="13">
        <v>46139</v>
      </c>
      <c r="BL13" s="13">
        <v>46146</v>
      </c>
      <c r="BM13" s="13">
        <v>46154</v>
      </c>
      <c r="BN13" s="13">
        <v>46160</v>
      </c>
      <c r="BO13" s="13">
        <v>46161.480125868053</v>
      </c>
      <c r="BP13" s="13">
        <v>46161.480799456018</v>
      </c>
      <c r="BQ13" s="13">
        <v>46161.48295716435</v>
      </c>
      <c r="BR13" s="13">
        <v>46161.483285731258</v>
      </c>
      <c r="BS13" s="35" t="s">
        <v>129</v>
      </c>
    </row>
    <row r="14" spans="1:71" s="3" customFormat="1" ht="18.75" x14ac:dyDescent="0.3">
      <c r="A14" s="25" t="s">
        <v>142</v>
      </c>
      <c r="B14" s="6">
        <v>200</v>
      </c>
      <c r="C14" s="66">
        <v>38</v>
      </c>
      <c r="D14" s="234">
        <v>3</v>
      </c>
      <c r="E14" s="7"/>
      <c r="F14" s="39">
        <f>3+AX14</f>
        <v>3</v>
      </c>
      <c r="G14" s="39">
        <v>2</v>
      </c>
      <c r="H14" s="39">
        <v>0</v>
      </c>
      <c r="I14" s="39">
        <v>7</v>
      </c>
      <c r="J14" s="39">
        <v>9</v>
      </c>
      <c r="K14" s="39">
        <v>6</v>
      </c>
      <c r="L14" s="39">
        <v>11</v>
      </c>
      <c r="M14" s="39">
        <v>10</v>
      </c>
      <c r="N14" s="39">
        <v>8</v>
      </c>
      <c r="O14" s="39">
        <v>7</v>
      </c>
      <c r="P14" s="39">
        <v>9</v>
      </c>
      <c r="Q14" s="39">
        <v>7</v>
      </c>
      <c r="R14" s="39">
        <v>5</v>
      </c>
      <c r="S14" s="39">
        <f>4+AM14</f>
        <v>4</v>
      </c>
      <c r="T14" s="39">
        <v>5</v>
      </c>
      <c r="U14" s="39">
        <v>3</v>
      </c>
      <c r="V14" s="39">
        <f>2+AH14</f>
        <v>2</v>
      </c>
      <c r="W14" s="39">
        <v>4</v>
      </c>
      <c r="X14" s="39">
        <v>3</v>
      </c>
      <c r="Y14" s="39">
        <f>3+AJ14</f>
        <v>3</v>
      </c>
      <c r="Z14" s="39">
        <f>1+AJ14</f>
        <v>1</v>
      </c>
      <c r="AA14" s="39"/>
      <c r="AB14" s="6"/>
      <c r="AC14" s="6"/>
      <c r="AD14" s="6"/>
      <c r="AE14" s="6"/>
      <c r="AF14" s="372">
        <f ca="1">AD14+IF(NOT(ISBLANK(OFFSET(AF14,0,6))),N(OFFSET(AF14,0,6)),N(OFFSET(AF14,0,7)))-AE14</f>
        <v>0</v>
      </c>
      <c r="AG14" s="7"/>
      <c r="AH14" s="78"/>
      <c r="AI14" s="78"/>
      <c r="AJ14" s="11"/>
      <c r="AK14" s="32"/>
      <c r="AL14" s="446">
        <v>0</v>
      </c>
      <c r="AM14" s="296">
        <v>0</v>
      </c>
      <c r="AN14" s="296">
        <v>6</v>
      </c>
      <c r="AO14" s="19">
        <v>3</v>
      </c>
      <c r="AP14" s="19"/>
      <c r="AQ14" s="19">
        <v>3</v>
      </c>
      <c r="AR14" s="117">
        <v>7</v>
      </c>
      <c r="AS14" s="19"/>
      <c r="AT14" s="19"/>
      <c r="AU14" s="19">
        <v>2</v>
      </c>
      <c r="AV14" s="19"/>
      <c r="AW14" s="19">
        <v>5</v>
      </c>
      <c r="AX14" s="19"/>
      <c r="AY14" s="19">
        <v>2</v>
      </c>
      <c r="AZ14" s="19"/>
      <c r="BA14" s="19">
        <v>8</v>
      </c>
      <c r="BB14" s="19">
        <v>3</v>
      </c>
      <c r="BC14" s="19"/>
      <c r="BD14" s="19"/>
      <c r="BF14" s="364" t="s">
        <v>143</v>
      </c>
      <c r="BG14" s="135">
        <v>200</v>
      </c>
      <c r="BH14" s="39">
        <f>AN14</f>
        <v>6</v>
      </c>
      <c r="BI14" s="39">
        <v>6</v>
      </c>
      <c r="BJ14" s="39">
        <v>6</v>
      </c>
      <c r="BK14" s="39">
        <v>4</v>
      </c>
      <c r="BL14" s="39">
        <v>3</v>
      </c>
      <c r="BM14" s="39">
        <v>0</v>
      </c>
      <c r="BN14" s="39"/>
      <c r="BO14" s="6"/>
      <c r="BP14" s="6"/>
      <c r="BQ14" s="6"/>
      <c r="BR14" s="6"/>
      <c r="BS14" s="26">
        <f ca="1">BQ14+IF(NOT(ISBLANK(OFFSET(BS14,0,6))),N(OFFSET(BS14,0,6)),N(OFFSET(BS14,0,7)))-BR14</f>
        <v>0</v>
      </c>
    </row>
    <row r="15" spans="1:71" s="3" customFormat="1" ht="18.75" x14ac:dyDescent="0.3">
      <c r="A15" s="25" t="s">
        <v>144</v>
      </c>
      <c r="B15" s="6">
        <v>200</v>
      </c>
      <c r="C15" s="66">
        <v>18</v>
      </c>
      <c r="D15" s="234">
        <v>2</v>
      </c>
      <c r="E15" s="7"/>
      <c r="F15" s="39">
        <f>2+AX15</f>
        <v>2</v>
      </c>
      <c r="G15" s="39">
        <v>4</v>
      </c>
      <c r="H15" s="39">
        <v>4</v>
      </c>
      <c r="I15" s="39">
        <v>6</v>
      </c>
      <c r="J15" s="39">
        <v>6</v>
      </c>
      <c r="K15" s="39">
        <v>6</v>
      </c>
      <c r="L15" s="39">
        <v>6</v>
      </c>
      <c r="M15" s="39">
        <v>6</v>
      </c>
      <c r="N15" s="39">
        <v>6</v>
      </c>
      <c r="O15" s="39">
        <v>6</v>
      </c>
      <c r="P15" s="39">
        <v>6</v>
      </c>
      <c r="Q15" s="39">
        <v>6</v>
      </c>
      <c r="R15" s="39">
        <v>6</v>
      </c>
      <c r="S15" s="39">
        <v>6</v>
      </c>
      <c r="T15" s="39">
        <v>6</v>
      </c>
      <c r="U15" s="39">
        <v>6</v>
      </c>
      <c r="V15" s="39">
        <v>6</v>
      </c>
      <c r="W15" s="39">
        <v>6</v>
      </c>
      <c r="X15" s="39">
        <v>6</v>
      </c>
      <c r="Y15" s="39">
        <v>6</v>
      </c>
      <c r="Z15" s="39">
        <v>4</v>
      </c>
      <c r="AA15" s="39"/>
      <c r="AB15" s="6"/>
      <c r="AC15" s="6"/>
      <c r="AD15" s="6"/>
      <c r="AE15" s="6"/>
      <c r="AF15" s="372">
        <f ca="1">AD15+IF(NOT(ISBLANK(OFFSET(AF15,0,6))),N(OFFSET(AF15,0,6)),N(OFFSET(AF15,0,7)))-AE15</f>
        <v>0</v>
      </c>
      <c r="AG15" s="7"/>
      <c r="AH15" s="78"/>
      <c r="AI15" s="78">
        <v>1</v>
      </c>
      <c r="AJ15" s="7"/>
      <c r="AK15" s="32"/>
      <c r="AL15" s="446">
        <v>0</v>
      </c>
      <c r="AM15" s="296">
        <v>0</v>
      </c>
      <c r="AN15" s="296">
        <v>0</v>
      </c>
      <c r="AO15" s="19"/>
      <c r="AP15" s="19"/>
      <c r="AQ15" s="19"/>
      <c r="AR15" s="117">
        <v>3</v>
      </c>
      <c r="AS15" s="19"/>
      <c r="AT15" s="19"/>
      <c r="AU15" s="19"/>
      <c r="AV15" s="19"/>
      <c r="AW15" s="19"/>
      <c r="AX15" s="19"/>
      <c r="AY15" s="19"/>
      <c r="AZ15" s="19"/>
      <c r="BA15" s="19">
        <v>2</v>
      </c>
      <c r="BB15" s="19">
        <v>3</v>
      </c>
      <c r="BC15" s="19">
        <v>2</v>
      </c>
      <c r="BD15" s="19"/>
      <c r="BF15" s="21" t="s">
        <v>146</v>
      </c>
      <c r="BG15" s="6">
        <v>200</v>
      </c>
      <c r="BH15" s="39">
        <f>AN15</f>
        <v>0</v>
      </c>
      <c r="BI15" s="39">
        <v>2</v>
      </c>
      <c r="BJ15" s="39">
        <v>2</v>
      </c>
      <c r="BK15" s="39">
        <v>0</v>
      </c>
      <c r="BL15" s="39">
        <v>0</v>
      </c>
      <c r="BM15" s="39">
        <v>0</v>
      </c>
      <c r="BN15" s="39"/>
      <c r="BO15" s="6"/>
      <c r="BP15" s="6"/>
      <c r="BQ15" s="6"/>
      <c r="BR15" s="6"/>
      <c r="BS15" s="26">
        <f ca="1">BQ15+IF(NOT(ISBLANK(OFFSET(BS15,0,6))),N(OFFSET(BS15,0,6)),N(OFFSET(BS15,0,7)))-BR15</f>
        <v>0</v>
      </c>
    </row>
    <row r="16" spans="1:71" s="3" customFormat="1" ht="18.75" x14ac:dyDescent="0.25">
      <c r="A16" s="25" t="s">
        <v>147</v>
      </c>
      <c r="B16" s="6">
        <v>200</v>
      </c>
      <c r="C16" s="66">
        <v>10.28</v>
      </c>
      <c r="D16" s="234">
        <v>3</v>
      </c>
      <c r="E16" s="1"/>
      <c r="F16" s="39">
        <f>2+AX16</f>
        <v>2</v>
      </c>
      <c r="G16" s="39">
        <v>4</v>
      </c>
      <c r="H16" s="39">
        <v>4</v>
      </c>
      <c r="I16" s="39">
        <v>7</v>
      </c>
      <c r="J16" s="39">
        <v>7</v>
      </c>
      <c r="K16" s="39">
        <v>6</v>
      </c>
      <c r="L16" s="39">
        <v>6</v>
      </c>
      <c r="M16" s="39">
        <v>5</v>
      </c>
      <c r="N16" s="39">
        <v>5</v>
      </c>
      <c r="O16" s="39">
        <v>4</v>
      </c>
      <c r="P16" s="39">
        <v>3</v>
      </c>
      <c r="Q16" s="39">
        <v>3</v>
      </c>
      <c r="R16" s="39">
        <v>2</v>
      </c>
      <c r="S16" s="39">
        <f>1+AM16</f>
        <v>1</v>
      </c>
      <c r="T16" s="39">
        <v>2</v>
      </c>
      <c r="U16" s="39">
        <v>2</v>
      </c>
      <c r="V16" s="39">
        <f>1+AH16</f>
        <v>1</v>
      </c>
      <c r="W16" s="39">
        <v>3</v>
      </c>
      <c r="X16" s="39">
        <v>3</v>
      </c>
      <c r="Y16" s="39">
        <f>3+AJ16</f>
        <v>3</v>
      </c>
      <c r="Z16" s="39">
        <f>0+AJ16</f>
        <v>0</v>
      </c>
      <c r="AA16" s="39"/>
      <c r="AB16" s="6"/>
      <c r="AC16" s="6"/>
      <c r="AD16" s="6"/>
      <c r="AE16" s="6"/>
      <c r="AF16" s="372">
        <f ca="1">AD16+IF(NOT(ISBLANK(OFFSET(AF16,0,6))),N(OFFSET(AF16,0,6)),N(OFFSET(AF16,0,7)))-AE16</f>
        <v>0</v>
      </c>
      <c r="AG16" s="1"/>
      <c r="AH16" s="78"/>
      <c r="AI16" s="78"/>
      <c r="AJ16" s="1"/>
      <c r="AK16" s="32"/>
      <c r="AL16" s="445">
        <v>0</v>
      </c>
      <c r="AM16" s="19">
        <v>0</v>
      </c>
      <c r="AN16" s="19">
        <v>2</v>
      </c>
      <c r="AO16" s="19">
        <v>2</v>
      </c>
      <c r="AP16" s="19"/>
      <c r="AQ16" s="19">
        <v>2</v>
      </c>
      <c r="AR16" s="19"/>
      <c r="AS16" s="19"/>
      <c r="AT16" s="19"/>
      <c r="AU16" s="19"/>
      <c r="AV16" s="19"/>
      <c r="AW16" s="19"/>
      <c r="AX16" s="19"/>
      <c r="AY16" s="19"/>
      <c r="AZ16" s="19"/>
      <c r="BA16" s="19">
        <v>3</v>
      </c>
      <c r="BB16" s="19">
        <v>4</v>
      </c>
      <c r="BC16" s="19"/>
      <c r="BD16" s="19">
        <v>1</v>
      </c>
    </row>
    <row r="17" spans="1:71" s="3" customFormat="1" ht="18.75" x14ac:dyDescent="0.25">
      <c r="A17" s="25" t="s">
        <v>148</v>
      </c>
      <c r="B17" s="6">
        <v>3000</v>
      </c>
      <c r="C17" s="66">
        <v>71.8</v>
      </c>
      <c r="D17" s="234">
        <v>2</v>
      </c>
      <c r="E17" s="1"/>
      <c r="F17" s="39">
        <f>3+AX17</f>
        <v>3</v>
      </c>
      <c r="G17" s="39">
        <v>3</v>
      </c>
      <c r="H17" s="39">
        <v>3</v>
      </c>
      <c r="I17" s="39">
        <v>5</v>
      </c>
      <c r="J17" s="39">
        <v>5</v>
      </c>
      <c r="K17" s="39">
        <v>4</v>
      </c>
      <c r="L17" s="39">
        <v>4</v>
      </c>
      <c r="M17" s="39">
        <v>3</v>
      </c>
      <c r="N17" s="39">
        <v>3</v>
      </c>
      <c r="O17" s="39">
        <v>2</v>
      </c>
      <c r="P17" s="39">
        <v>2</v>
      </c>
      <c r="Q17" s="39">
        <v>2</v>
      </c>
      <c r="R17" s="39">
        <v>1</v>
      </c>
      <c r="S17" s="39">
        <v>1</v>
      </c>
      <c r="T17" s="39">
        <v>1</v>
      </c>
      <c r="U17" s="39">
        <v>0</v>
      </c>
      <c r="V17" s="39">
        <v>1</v>
      </c>
      <c r="W17" s="39">
        <v>1</v>
      </c>
      <c r="X17" s="39">
        <v>1</v>
      </c>
      <c r="Y17" s="39">
        <f>0+AJ17</f>
        <v>0</v>
      </c>
      <c r="Z17" s="39">
        <f>0+AJ17</f>
        <v>0</v>
      </c>
      <c r="AA17" s="39"/>
      <c r="AB17" s="6"/>
      <c r="AC17" s="6"/>
      <c r="AD17" s="6"/>
      <c r="AE17" s="6"/>
      <c r="AF17" s="372">
        <f ca="1">AD17+IF(NOT(ISBLANK(OFFSET(AF17,0,6))),N(OFFSET(AF17,0,6)),N(OFFSET(AF17,0,7)))-AE17</f>
        <v>0</v>
      </c>
      <c r="AG17" s="1"/>
      <c r="AH17" s="78"/>
      <c r="AI17" s="78"/>
      <c r="AJ17" s="1"/>
      <c r="AK17" s="32"/>
      <c r="AL17" s="445">
        <v>0</v>
      </c>
      <c r="AM17" s="19">
        <v>0</v>
      </c>
      <c r="AN17" s="19">
        <v>2</v>
      </c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>
        <v>2</v>
      </c>
      <c r="BA17" s="19"/>
      <c r="BB17" s="19">
        <v>2</v>
      </c>
      <c r="BC17" s="19">
        <v>1</v>
      </c>
      <c r="BD17" s="19">
        <v>3</v>
      </c>
    </row>
    <row r="18" spans="1:71" s="3" customFormat="1" ht="19.5" customHeight="1" x14ac:dyDescent="0.25">
      <c r="D18" s="235"/>
      <c r="AH18" s="390"/>
      <c r="AI18" s="390"/>
      <c r="AK18" s="344"/>
      <c r="AL18" s="388"/>
      <c r="AM18" s="388"/>
      <c r="AN18" s="388"/>
      <c r="AO18" s="388"/>
      <c r="AP18" s="388"/>
      <c r="AQ18" s="388"/>
      <c r="AR18" s="388"/>
      <c r="AS18" s="388"/>
      <c r="AT18" s="388"/>
      <c r="AU18" s="388"/>
      <c r="AV18" s="388"/>
      <c r="AW18" s="388"/>
      <c r="AX18" s="388"/>
      <c r="AY18" s="388"/>
      <c r="AZ18" s="388"/>
      <c r="BA18" s="388"/>
      <c r="BB18" s="388"/>
      <c r="BC18" s="388"/>
      <c r="BD18" s="388"/>
    </row>
    <row r="19" spans="1:71" s="3" customFormat="1" ht="18.75" x14ac:dyDescent="0.3">
      <c r="A19" s="24" t="s">
        <v>150</v>
      </c>
      <c r="B19" s="12" t="s">
        <v>151</v>
      </c>
      <c r="C19" s="65" t="s">
        <v>152</v>
      </c>
      <c r="D19" s="395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13">
        <v>46160</v>
      </c>
      <c r="AB19" s="13">
        <v>46161.480126249997</v>
      </c>
      <c r="AC19" s="13">
        <v>46161.480799849538</v>
      </c>
      <c r="AD19" s="13">
        <v>46161.482957499997</v>
      </c>
      <c r="AE19" s="13">
        <v>46161.483286050483</v>
      </c>
      <c r="AF19" s="35" t="s">
        <v>129</v>
      </c>
      <c r="AG19" s="11"/>
      <c r="AH19" s="29" t="s">
        <v>126</v>
      </c>
      <c r="AI19" s="29" t="s">
        <v>126</v>
      </c>
      <c r="AJ19" s="11"/>
      <c r="AK19" s="9" t="s">
        <v>127</v>
      </c>
      <c r="AL19" s="363">
        <v>46161.483285491959</v>
      </c>
      <c r="AM19" s="363"/>
      <c r="AN19" s="363">
        <v>46142</v>
      </c>
      <c r="AO19" s="363">
        <v>46114</v>
      </c>
      <c r="AP19" s="363">
        <v>46107</v>
      </c>
      <c r="AQ19" s="363">
        <v>46099</v>
      </c>
      <c r="AR19" s="409">
        <v>46065</v>
      </c>
      <c r="AS19" s="363">
        <v>46092</v>
      </c>
      <c r="AT19" s="363">
        <v>46084</v>
      </c>
      <c r="AU19" s="363">
        <v>46071</v>
      </c>
      <c r="AV19" s="363">
        <v>46056</v>
      </c>
      <c r="AW19" s="363">
        <v>46048</v>
      </c>
      <c r="AX19" s="363">
        <v>46043</v>
      </c>
      <c r="AY19" s="363">
        <v>46035</v>
      </c>
      <c r="AZ19" s="363">
        <v>46024</v>
      </c>
      <c r="BA19" s="363">
        <v>46017</v>
      </c>
      <c r="BB19" s="363">
        <v>46007</v>
      </c>
      <c r="BC19" s="363">
        <v>46001</v>
      </c>
      <c r="BD19" s="363">
        <v>45994</v>
      </c>
      <c r="BF19" s="389" t="s">
        <v>150</v>
      </c>
      <c r="BG19" s="376" t="s">
        <v>123</v>
      </c>
      <c r="BH19" s="13">
        <v>46118</v>
      </c>
      <c r="BI19" s="13">
        <v>46125</v>
      </c>
      <c r="BJ19" s="13">
        <v>46132</v>
      </c>
      <c r="BK19" s="13">
        <v>46139</v>
      </c>
      <c r="BL19" s="13">
        <v>46146</v>
      </c>
      <c r="BM19" s="13">
        <v>46154</v>
      </c>
      <c r="BN19" s="13">
        <v>46160</v>
      </c>
      <c r="BO19" s="13">
        <v>46161.480125868053</v>
      </c>
      <c r="BP19" s="13">
        <v>46161.480799456018</v>
      </c>
      <c r="BQ19" s="13">
        <v>46161.48295716435</v>
      </c>
      <c r="BR19" s="13">
        <v>46161.483285731389</v>
      </c>
      <c r="BS19" s="35" t="s">
        <v>129</v>
      </c>
    </row>
    <row r="20" spans="1:71" s="3" customFormat="1" ht="18.75" x14ac:dyDescent="0.3">
      <c r="A20" s="25" t="s">
        <v>153</v>
      </c>
      <c r="B20" s="6">
        <v>150</v>
      </c>
      <c r="C20" s="82">
        <v>334.31</v>
      </c>
      <c r="D20" s="234">
        <v>120</v>
      </c>
      <c r="E20" s="1"/>
      <c r="F20" s="27">
        <v>103</v>
      </c>
      <c r="G20" s="27">
        <v>91</v>
      </c>
      <c r="H20" s="27">
        <v>76</v>
      </c>
      <c r="I20" s="27">
        <v>57</v>
      </c>
      <c r="J20" s="27">
        <f>50+AU20</f>
        <v>50</v>
      </c>
      <c r="K20" s="27">
        <v>170</v>
      </c>
      <c r="L20" s="27">
        <v>294</v>
      </c>
      <c r="M20" s="27">
        <v>277</v>
      </c>
      <c r="N20" s="27">
        <v>268</v>
      </c>
      <c r="O20" s="27">
        <v>257</v>
      </c>
      <c r="P20" s="27">
        <v>249</v>
      </c>
      <c r="Q20" s="27">
        <v>239</v>
      </c>
      <c r="R20" s="27">
        <v>232</v>
      </c>
      <c r="S20" s="27">
        <v>229</v>
      </c>
      <c r="T20" s="27">
        <v>226</v>
      </c>
      <c r="U20" s="27"/>
      <c r="V20" s="27"/>
      <c r="W20" s="27"/>
      <c r="X20" s="27">
        <v>210</v>
      </c>
      <c r="Y20" s="27">
        <v>208</v>
      </c>
      <c r="Z20" s="27">
        <v>204</v>
      </c>
      <c r="AA20" s="27">
        <v>198</v>
      </c>
      <c r="AB20" s="451">
        <v>198</v>
      </c>
      <c r="AC20" s="451">
        <v>198</v>
      </c>
      <c r="AD20" s="451">
        <v>198</v>
      </c>
      <c r="AE20" s="451">
        <v>198</v>
      </c>
      <c r="AF20" s="372">
        <f ca="1">AD20+IF(NOT(ISBLANK(OFFSET(AF20,0,6))),N(OFFSET(AF20,0,6)),N(OFFSET(AF20,0,7)))-AE20</f>
        <v>0</v>
      </c>
      <c r="AG20" s="11"/>
      <c r="AH20" s="78"/>
      <c r="AI20" s="78"/>
      <c r="AJ20" s="1"/>
      <c r="AK20" s="32"/>
      <c r="AL20" s="445">
        <v>0</v>
      </c>
      <c r="AM20" s="19">
        <v>0</v>
      </c>
      <c r="AN20" s="19">
        <v>0</v>
      </c>
      <c r="AO20" s="19"/>
      <c r="AP20" s="19"/>
      <c r="AQ20" s="19"/>
      <c r="AR20" s="19"/>
      <c r="AS20" s="19"/>
      <c r="AT20" s="19"/>
      <c r="AU20" s="19"/>
      <c r="AV20" s="19"/>
      <c r="AW20" s="19">
        <v>150</v>
      </c>
      <c r="AX20" s="19"/>
      <c r="AY20" s="19">
        <v>150</v>
      </c>
      <c r="AZ20" s="19"/>
      <c r="BA20" s="19"/>
      <c r="BB20" s="19"/>
      <c r="BC20" s="19"/>
      <c r="BD20" s="19"/>
      <c r="BF20" s="364" t="s">
        <v>154</v>
      </c>
      <c r="BG20" s="135">
        <v>150</v>
      </c>
      <c r="BH20" s="39">
        <v>0</v>
      </c>
      <c r="BI20" s="39">
        <v>0</v>
      </c>
      <c r="BJ20" s="39">
        <v>0</v>
      </c>
      <c r="BK20" s="39">
        <v>0</v>
      </c>
      <c r="BL20" s="39">
        <v>0</v>
      </c>
      <c r="BM20" s="39">
        <v>0</v>
      </c>
      <c r="BN20" s="39">
        <v>0</v>
      </c>
      <c r="BO20" s="6"/>
      <c r="BP20" s="6"/>
      <c r="BQ20" s="6"/>
      <c r="BR20" s="6"/>
      <c r="BS20" s="26">
        <f ca="1">BQ20+IF(NOT(ISBLANK(OFFSET(BS20,0,6))),N(OFFSET(BS20,0,6)),N(OFFSET(BS20,0,7)))-BR20</f>
        <v>0</v>
      </c>
    </row>
    <row r="21" spans="1:71" s="3" customFormat="1" ht="18.75" x14ac:dyDescent="0.3">
      <c r="A21" s="25" t="s">
        <v>155</v>
      </c>
      <c r="B21" s="6">
        <v>100</v>
      </c>
      <c r="C21" s="81">
        <v>292.25</v>
      </c>
      <c r="D21" s="236">
        <v>120</v>
      </c>
      <c r="E21" s="1"/>
      <c r="F21" s="27">
        <v>108</v>
      </c>
      <c r="G21" s="27">
        <v>92</v>
      </c>
      <c r="H21" s="27">
        <v>77</v>
      </c>
      <c r="I21" s="27">
        <v>73</v>
      </c>
      <c r="J21" s="27">
        <f>64+AU21</f>
        <v>64</v>
      </c>
      <c r="K21" s="27">
        <v>138</v>
      </c>
      <c r="L21" s="27">
        <v>232</v>
      </c>
      <c r="M21" s="27">
        <v>223</v>
      </c>
      <c r="N21" s="27">
        <v>221</v>
      </c>
      <c r="O21" s="27">
        <v>211</v>
      </c>
      <c r="P21" s="27">
        <v>210</v>
      </c>
      <c r="Q21" s="27">
        <v>203</v>
      </c>
      <c r="R21" s="27">
        <v>197</v>
      </c>
      <c r="S21" s="27">
        <v>196</v>
      </c>
      <c r="T21" s="27">
        <v>182</v>
      </c>
      <c r="U21" s="27"/>
      <c r="V21" s="27"/>
      <c r="W21" s="27"/>
      <c r="X21" s="27">
        <v>258</v>
      </c>
      <c r="Y21" s="27">
        <v>253</v>
      </c>
      <c r="Z21" s="27">
        <v>248</v>
      </c>
      <c r="AA21" s="27">
        <v>248</v>
      </c>
      <c r="AB21" s="451">
        <v>248</v>
      </c>
      <c r="AC21" s="451">
        <v>248</v>
      </c>
      <c r="AD21" s="451">
        <v>248</v>
      </c>
      <c r="AE21" s="451">
        <v>248</v>
      </c>
      <c r="AF21" s="372">
        <f ca="1">AD21+IF(NOT(ISBLANK(OFFSET(AF21,0,6))),N(OFFSET(AF21,0,6)),N(OFFSET(AF21,0,7)))-AE21</f>
        <v>0</v>
      </c>
      <c r="AG21" s="11"/>
      <c r="AH21" s="78"/>
      <c r="AI21" s="78"/>
      <c r="AJ21" s="1"/>
      <c r="AK21" s="32"/>
      <c r="AL21" s="445">
        <v>0</v>
      </c>
      <c r="AM21" s="19">
        <v>0</v>
      </c>
      <c r="AN21" s="19">
        <v>0</v>
      </c>
      <c r="AO21" s="19">
        <v>100</v>
      </c>
      <c r="AP21" s="19"/>
      <c r="AQ21" s="19"/>
      <c r="AR21" s="117">
        <v>100</v>
      </c>
      <c r="AS21" s="19"/>
      <c r="AT21" s="19"/>
      <c r="AU21" s="19"/>
      <c r="AV21" s="19"/>
      <c r="AW21" s="19">
        <v>100</v>
      </c>
      <c r="AX21" s="19"/>
      <c r="AY21" s="19">
        <v>100</v>
      </c>
      <c r="AZ21" s="19"/>
      <c r="BA21" s="19"/>
      <c r="BB21" s="19"/>
      <c r="BC21" s="19"/>
      <c r="BD21" s="19"/>
      <c r="BF21" s="21" t="s">
        <v>156</v>
      </c>
      <c r="BG21" s="6">
        <v>100</v>
      </c>
      <c r="BH21" s="39">
        <f>AN21</f>
        <v>0</v>
      </c>
      <c r="BI21" s="39"/>
      <c r="BJ21" s="39"/>
      <c r="BK21" s="39">
        <v>77</v>
      </c>
      <c r="BL21" s="39">
        <v>65</v>
      </c>
      <c r="BM21" s="39">
        <v>9</v>
      </c>
      <c r="BN21" s="39">
        <v>5</v>
      </c>
      <c r="BO21" s="6"/>
      <c r="BP21" s="6"/>
      <c r="BQ21" s="6"/>
      <c r="BR21" s="6"/>
      <c r="BS21" s="26">
        <f ca="1">BQ21+IF(NOT(ISBLANK(OFFSET(BS21,0,6))),N(OFFSET(BS21,0,6)),N(OFFSET(BS21,0,7)))-BR21</f>
        <v>0</v>
      </c>
    </row>
    <row r="22" spans="1:71" s="3" customFormat="1" ht="18.75" x14ac:dyDescent="0.3">
      <c r="A22" s="25" t="s">
        <v>157</v>
      </c>
      <c r="B22" s="6">
        <v>75</v>
      </c>
      <c r="C22" s="66">
        <v>425.38</v>
      </c>
      <c r="D22" s="234">
        <v>25</v>
      </c>
      <c r="E22" s="7"/>
      <c r="F22" s="27">
        <v>65</v>
      </c>
      <c r="G22" s="27">
        <v>63</v>
      </c>
      <c r="H22" s="27">
        <v>63</v>
      </c>
      <c r="I22" s="27">
        <v>63</v>
      </c>
      <c r="J22" s="27">
        <v>63</v>
      </c>
      <c r="K22" s="27">
        <v>63</v>
      </c>
      <c r="L22" s="27">
        <v>63</v>
      </c>
      <c r="M22" s="27">
        <v>62</v>
      </c>
      <c r="N22" s="27">
        <v>61</v>
      </c>
      <c r="O22" s="27">
        <v>60</v>
      </c>
      <c r="P22" s="27">
        <v>60</v>
      </c>
      <c r="Q22" s="27">
        <v>60</v>
      </c>
      <c r="R22" s="27">
        <v>60</v>
      </c>
      <c r="S22" s="27">
        <v>60</v>
      </c>
      <c r="T22" s="27">
        <v>60</v>
      </c>
      <c r="U22" s="27">
        <v>60</v>
      </c>
      <c r="V22" s="27">
        <v>60</v>
      </c>
      <c r="W22" s="27">
        <v>60</v>
      </c>
      <c r="X22" s="27">
        <v>60</v>
      </c>
      <c r="Y22" s="27">
        <v>60</v>
      </c>
      <c r="Z22" s="27">
        <v>48</v>
      </c>
      <c r="AA22" s="27">
        <v>47</v>
      </c>
      <c r="AB22" s="451">
        <v>47</v>
      </c>
      <c r="AC22" s="451">
        <v>47</v>
      </c>
      <c r="AD22" s="451">
        <v>47</v>
      </c>
      <c r="AE22" s="451">
        <v>47</v>
      </c>
      <c r="AF22" s="372">
        <f ca="1">AD22+IF(NOT(ISBLANK(OFFSET(AF22,0,6))),N(OFFSET(AF22,0,6)),N(OFFSET(AF22,0,7)))-AE22</f>
        <v>0</v>
      </c>
      <c r="AG22" s="11"/>
      <c r="AH22" s="78"/>
      <c r="AI22" s="78"/>
      <c r="AJ22" s="7"/>
      <c r="AK22" s="32"/>
      <c r="AL22" s="445">
        <v>0</v>
      </c>
      <c r="AM22" s="19">
        <v>0</v>
      </c>
      <c r="AN22" s="19">
        <v>0</v>
      </c>
      <c r="AO22" s="19"/>
      <c r="AP22" s="19"/>
      <c r="AQ22" s="19"/>
      <c r="AR22" s="117">
        <v>200</v>
      </c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F22" s="22" t="s">
        <v>158</v>
      </c>
      <c r="BG22" s="6">
        <v>200</v>
      </c>
      <c r="BH22" s="39">
        <f>AN22</f>
        <v>0</v>
      </c>
      <c r="BI22" s="39"/>
      <c r="BJ22" s="39"/>
      <c r="BK22" s="39">
        <v>159</v>
      </c>
      <c r="BL22" s="39">
        <v>129</v>
      </c>
      <c r="BM22" s="39">
        <v>7</v>
      </c>
      <c r="BN22" s="39">
        <v>1</v>
      </c>
      <c r="BO22" s="6"/>
      <c r="BP22" s="6"/>
      <c r="BQ22" s="6"/>
      <c r="BR22" s="6"/>
      <c r="BS22" s="26">
        <f ca="1">BQ22+IF(NOT(ISBLANK(OFFSET(BS22,0,6))),N(OFFSET(BS22,0,6)),N(OFFSET(BS22,0,7)))-BR22</f>
        <v>0</v>
      </c>
    </row>
    <row r="23" spans="1:71" s="3" customFormat="1" ht="18.75" x14ac:dyDescent="0.3">
      <c r="A23" s="25" t="s">
        <v>159</v>
      </c>
      <c r="B23" s="6">
        <v>150</v>
      </c>
      <c r="C23" s="66">
        <v>427.5</v>
      </c>
      <c r="D23" s="234">
        <v>150</v>
      </c>
      <c r="E23" s="7"/>
      <c r="F23" s="2"/>
      <c r="G23" s="2"/>
      <c r="H23" s="2"/>
      <c r="I23" s="27">
        <v>0</v>
      </c>
      <c r="J23" s="27">
        <v>0</v>
      </c>
      <c r="K23" s="27">
        <v>0</v>
      </c>
      <c r="L23" s="27">
        <v>143</v>
      </c>
      <c r="M23" s="27">
        <v>110</v>
      </c>
      <c r="N23" s="27">
        <v>96</v>
      </c>
      <c r="O23" s="27">
        <v>65</v>
      </c>
      <c r="P23" s="27">
        <v>192</v>
      </c>
      <c r="Q23" s="27">
        <v>162</v>
      </c>
      <c r="R23" s="27">
        <v>136</v>
      </c>
      <c r="S23" s="27">
        <v>106</v>
      </c>
      <c r="T23" s="27">
        <v>89</v>
      </c>
      <c r="U23" s="27"/>
      <c r="V23" s="27"/>
      <c r="W23" s="27"/>
      <c r="X23" s="27">
        <v>186</v>
      </c>
      <c r="Y23" s="27">
        <v>186</v>
      </c>
      <c r="Z23" s="27">
        <v>184</v>
      </c>
      <c r="AA23" s="27">
        <v>168</v>
      </c>
      <c r="AB23" s="451">
        <v>168</v>
      </c>
      <c r="AC23" s="451">
        <v>168</v>
      </c>
      <c r="AD23" s="451">
        <v>168</v>
      </c>
      <c r="AE23" s="451">
        <v>168</v>
      </c>
      <c r="AF23" s="372">
        <f ca="1">AD23+IF(NOT(ISBLANK(OFFSET(AF23,0,6))),N(OFFSET(AF23,0,6)),N(OFFSET(AF23,0,7)))-AE23</f>
        <v>0</v>
      </c>
      <c r="AG23" s="11"/>
      <c r="AH23" s="78"/>
      <c r="AI23" s="10"/>
      <c r="AJ23" s="7"/>
      <c r="AK23" s="32"/>
      <c r="AL23" s="445">
        <v>0</v>
      </c>
      <c r="AM23" s="19">
        <v>0</v>
      </c>
      <c r="AN23" s="19">
        <v>0</v>
      </c>
      <c r="AO23" s="19">
        <v>150</v>
      </c>
      <c r="AP23" s="19"/>
      <c r="AQ23" s="19"/>
      <c r="AR23" s="117">
        <v>150</v>
      </c>
      <c r="AS23" s="19"/>
      <c r="AT23" s="19"/>
      <c r="AU23" s="19">
        <v>150</v>
      </c>
      <c r="AV23" s="19"/>
      <c r="AW23" s="19"/>
      <c r="AX23" s="19">
        <v>150</v>
      </c>
      <c r="AY23" s="19"/>
      <c r="AZ23" s="19"/>
      <c r="BA23" s="19"/>
      <c r="BB23" s="19"/>
      <c r="BC23" s="19"/>
      <c r="BD23" s="19"/>
      <c r="BF23" s="22" t="s">
        <v>160</v>
      </c>
      <c r="BG23" s="6">
        <v>150</v>
      </c>
      <c r="BH23" s="39">
        <f>AN23</f>
        <v>0</v>
      </c>
      <c r="BI23" s="39"/>
      <c r="BJ23" s="39"/>
      <c r="BK23" s="39">
        <v>113</v>
      </c>
      <c r="BL23" s="39">
        <v>89</v>
      </c>
      <c r="BM23" s="39">
        <v>4</v>
      </c>
      <c r="BN23" s="39">
        <v>0</v>
      </c>
      <c r="BO23" s="6"/>
      <c r="BP23" s="6"/>
      <c r="BQ23" s="6"/>
      <c r="BR23" s="6"/>
      <c r="BS23" s="26">
        <f ca="1">BQ23+IF(NOT(ISBLANK(OFFSET(BS23,0,6))),N(OFFSET(BS23,0,6)),N(OFFSET(BS23,0,7)))-BR23</f>
        <v>0</v>
      </c>
    </row>
    <row r="24" spans="1:71" ht="18.75" x14ac:dyDescent="0.3"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</row>
    <row r="25" spans="1:71" ht="18.75" x14ac:dyDescent="0.3">
      <c r="A25" s="378" t="s">
        <v>161</v>
      </c>
      <c r="B25" s="379" t="s">
        <v>123</v>
      </c>
      <c r="C25" s="379" t="s">
        <v>124</v>
      </c>
      <c r="D25" s="379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13">
        <v>46160</v>
      </c>
      <c r="AB25" s="13">
        <v>46161.480126249997</v>
      </c>
      <c r="AC25" s="13">
        <v>46161.480799849538</v>
      </c>
      <c r="AD25" s="13">
        <v>46161.482957499997</v>
      </c>
      <c r="AE25" s="13">
        <v>46161.483286050687</v>
      </c>
      <c r="AF25" s="35" t="s">
        <v>129</v>
      </c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</row>
    <row r="26" spans="1:71" ht="18.75" x14ac:dyDescent="0.3">
      <c r="A26" s="384" t="s">
        <v>162</v>
      </c>
      <c r="B26" s="385">
        <v>100</v>
      </c>
      <c r="C26" s="199">
        <v>790</v>
      </c>
      <c r="D26" s="396"/>
      <c r="F26" s="39">
        <v>127</v>
      </c>
      <c r="G26" s="39">
        <v>118</v>
      </c>
      <c r="H26" s="39">
        <v>102</v>
      </c>
      <c r="I26" s="39">
        <v>102</v>
      </c>
      <c r="J26" s="39">
        <v>102</v>
      </c>
      <c r="K26" s="39">
        <v>106</v>
      </c>
      <c r="L26" s="39">
        <v>105</v>
      </c>
      <c r="M26" s="39">
        <v>103</v>
      </c>
      <c r="N26" s="39">
        <v>101</v>
      </c>
      <c r="O26" s="39">
        <v>98</v>
      </c>
      <c r="P26" s="39">
        <v>96</v>
      </c>
      <c r="Q26" s="39">
        <v>93</v>
      </c>
      <c r="R26" s="39">
        <v>90</v>
      </c>
      <c r="S26" s="39">
        <v>90</v>
      </c>
      <c r="T26" s="39">
        <v>88</v>
      </c>
      <c r="U26" s="39">
        <v>85</v>
      </c>
      <c r="V26" s="39">
        <v>80</v>
      </c>
      <c r="W26" s="39">
        <v>80</v>
      </c>
      <c r="X26" s="39">
        <v>80</v>
      </c>
      <c r="Y26" s="39">
        <v>80</v>
      </c>
      <c r="Z26" s="39">
        <v>80</v>
      </c>
      <c r="AA26" s="39">
        <v>80</v>
      </c>
      <c r="AB26" s="6">
        <v>80</v>
      </c>
      <c r="AC26" s="6">
        <v>80</v>
      </c>
      <c r="AD26" s="6">
        <v>80</v>
      </c>
      <c r="AE26" s="6">
        <v>80</v>
      </c>
      <c r="AF26" s="372">
        <f t="shared" ref="AF26:AF34" ca="1" si="0">AD26+IF(NOT(ISBLANK(OFFSET(AF26,0,6))),N(OFFSET(AF26,0,6)),N(OFFSET(AF26,0,7)))-AE26</f>
        <v>0</v>
      </c>
      <c r="AH26" s="347"/>
      <c r="AI26" s="347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</row>
    <row r="27" spans="1:71" ht="18.75" hidden="1" x14ac:dyDescent="0.3">
      <c r="A27" s="386" t="s">
        <v>163</v>
      </c>
      <c r="B27" s="159">
        <v>100</v>
      </c>
      <c r="C27" s="200">
        <v>295</v>
      </c>
      <c r="D27" s="396"/>
      <c r="F27" s="39">
        <v>4</v>
      </c>
      <c r="G27" s="39">
        <v>4</v>
      </c>
      <c r="H27" s="39">
        <v>4</v>
      </c>
      <c r="I27" s="39">
        <v>0</v>
      </c>
      <c r="J27" s="39">
        <v>0</v>
      </c>
      <c r="K27" s="39">
        <v>0</v>
      </c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6"/>
      <c r="AC27" s="6"/>
      <c r="AD27" s="6"/>
      <c r="AE27" s="6"/>
      <c r="AF27" s="372">
        <f t="shared" ca="1" si="0"/>
        <v>0</v>
      </c>
      <c r="AH27" s="347"/>
      <c r="AI27" s="347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</row>
    <row r="28" spans="1:71" ht="18.75" hidden="1" x14ac:dyDescent="0.3">
      <c r="A28" s="386" t="s">
        <v>164</v>
      </c>
      <c r="B28" s="159">
        <v>100</v>
      </c>
      <c r="C28" s="200">
        <v>283</v>
      </c>
      <c r="D28" s="396"/>
      <c r="F28" s="39">
        <v>5</v>
      </c>
      <c r="G28" s="39">
        <v>4</v>
      </c>
      <c r="H28" s="39">
        <v>4</v>
      </c>
      <c r="I28" s="39">
        <v>0</v>
      </c>
      <c r="J28" s="39">
        <v>0</v>
      </c>
      <c r="K28" s="39">
        <v>0</v>
      </c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6"/>
      <c r="AC28" s="6"/>
      <c r="AD28" s="6"/>
      <c r="AE28" s="6"/>
      <c r="AF28" s="372">
        <f t="shared" ca="1" si="0"/>
        <v>0</v>
      </c>
      <c r="AH28" s="347"/>
      <c r="AI28" s="347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</row>
    <row r="29" spans="1:71" ht="18.75" customHeight="1" x14ac:dyDescent="0.3">
      <c r="A29" s="25" t="s">
        <v>169</v>
      </c>
      <c r="B29" s="6">
        <v>150</v>
      </c>
      <c r="C29" s="77">
        <v>805.35</v>
      </c>
      <c r="D29" s="396"/>
      <c r="F29" s="6">
        <v>206</v>
      </c>
      <c r="G29" s="6">
        <v>112</v>
      </c>
      <c r="H29" s="6">
        <v>108</v>
      </c>
      <c r="I29" s="6">
        <v>105</v>
      </c>
      <c r="J29" s="6">
        <v>98</v>
      </c>
      <c r="K29" s="6">
        <v>88</v>
      </c>
      <c r="L29" s="6">
        <v>84</v>
      </c>
      <c r="M29" s="6">
        <v>81</v>
      </c>
      <c r="N29" s="6">
        <v>81</v>
      </c>
      <c r="O29" s="6">
        <v>80</v>
      </c>
      <c r="P29" s="6">
        <v>80</v>
      </c>
      <c r="Q29" s="6">
        <v>79</v>
      </c>
      <c r="R29" s="6">
        <v>77</v>
      </c>
      <c r="S29" s="6">
        <v>77</v>
      </c>
      <c r="T29" s="6">
        <v>73</v>
      </c>
      <c r="U29" s="6"/>
      <c r="V29" s="6"/>
      <c r="W29" s="6"/>
      <c r="X29" s="6">
        <v>62</v>
      </c>
      <c r="Y29" s="6">
        <v>62</v>
      </c>
      <c r="Z29" s="6">
        <v>41</v>
      </c>
      <c r="AA29" s="6">
        <v>40</v>
      </c>
      <c r="AB29" s="6">
        <v>40</v>
      </c>
      <c r="AC29" s="6">
        <v>40</v>
      </c>
      <c r="AD29" s="6">
        <v>40</v>
      </c>
      <c r="AE29" s="6">
        <v>40</v>
      </c>
      <c r="AF29" s="372">
        <f t="shared" ca="1" si="0"/>
        <v>0</v>
      </c>
      <c r="AH29" s="347"/>
      <c r="AI29" s="347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</row>
    <row r="30" spans="1:71" ht="18.75" customHeight="1" x14ac:dyDescent="0.3">
      <c r="A30" s="25" t="s">
        <v>170</v>
      </c>
      <c r="B30" s="6">
        <v>100</v>
      </c>
      <c r="C30" s="77">
        <v>792.2</v>
      </c>
      <c r="D30" s="396"/>
      <c r="F30" s="6">
        <v>164</v>
      </c>
      <c r="G30" s="6">
        <v>105</v>
      </c>
      <c r="H30" s="6">
        <v>98</v>
      </c>
      <c r="I30" s="6">
        <v>82</v>
      </c>
      <c r="J30" s="6">
        <v>69</v>
      </c>
      <c r="K30" s="6">
        <v>62</v>
      </c>
      <c r="L30" s="6">
        <v>55</v>
      </c>
      <c r="M30" s="6">
        <v>35</v>
      </c>
      <c r="N30" s="6">
        <v>30</v>
      </c>
      <c r="O30" s="6">
        <v>25</v>
      </c>
      <c r="P30" s="6">
        <v>24</v>
      </c>
      <c r="Q30" s="6">
        <v>15</v>
      </c>
      <c r="R30" s="6">
        <v>10</v>
      </c>
      <c r="S30" s="6">
        <v>7</v>
      </c>
      <c r="T30" s="6">
        <v>7</v>
      </c>
      <c r="U30" s="6"/>
      <c r="V30" s="6"/>
      <c r="W30" s="6"/>
      <c r="X30" s="6">
        <v>0</v>
      </c>
      <c r="Y30" s="6">
        <v>0</v>
      </c>
      <c r="Z30" s="6">
        <v>0</v>
      </c>
      <c r="AA30" s="6">
        <v>0</v>
      </c>
      <c r="AB30" s="6">
        <v>0</v>
      </c>
      <c r="AC30" s="6">
        <v>0</v>
      </c>
      <c r="AD30" s="6">
        <v>0</v>
      </c>
      <c r="AE30" s="6">
        <v>0</v>
      </c>
      <c r="AF30" s="372">
        <f t="shared" ca="1" si="0"/>
        <v>0</v>
      </c>
      <c r="AH30" s="347"/>
      <c r="AI30" s="347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</row>
    <row r="31" spans="1:71" ht="18.75" hidden="1" customHeight="1" x14ac:dyDescent="0.3">
      <c r="A31" s="25" t="s">
        <v>171</v>
      </c>
      <c r="B31" s="6">
        <v>200</v>
      </c>
      <c r="C31" s="77">
        <v>487.2</v>
      </c>
      <c r="D31" s="396"/>
      <c r="F31" s="6">
        <v>-12</v>
      </c>
      <c r="G31" s="6">
        <v>-12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372">
        <f t="shared" ca="1" si="0"/>
        <v>0</v>
      </c>
      <c r="AH31" s="347"/>
      <c r="AI31" s="347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</row>
    <row r="32" spans="1:71" ht="18.75" hidden="1" customHeight="1" x14ac:dyDescent="0.3">
      <c r="A32" s="25" t="s">
        <v>172</v>
      </c>
      <c r="B32" s="6">
        <v>150</v>
      </c>
      <c r="C32" s="77">
        <v>460.35</v>
      </c>
      <c r="D32" s="396"/>
      <c r="F32" s="6">
        <v>-12</v>
      </c>
      <c r="G32" s="6">
        <v>-12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372">
        <f t="shared" ca="1" si="0"/>
        <v>0</v>
      </c>
      <c r="AH32" s="347"/>
      <c r="AI32" s="347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</row>
    <row r="33" spans="1:154" ht="18.75" customHeight="1" x14ac:dyDescent="0.3">
      <c r="A33" s="25" t="s">
        <v>173</v>
      </c>
      <c r="B33" s="6">
        <v>10</v>
      </c>
      <c r="C33" s="77">
        <v>120</v>
      </c>
      <c r="D33" s="396"/>
      <c r="F33" s="39">
        <v>17</v>
      </c>
      <c r="G33" s="39">
        <v>15</v>
      </c>
      <c r="H33" s="39">
        <v>5</v>
      </c>
      <c r="I33" s="39">
        <v>5</v>
      </c>
      <c r="J33" s="39">
        <v>5</v>
      </c>
      <c r="K33" s="39">
        <v>5</v>
      </c>
      <c r="L33" s="39">
        <v>5</v>
      </c>
      <c r="M33" s="39">
        <v>5</v>
      </c>
      <c r="N33" s="39">
        <v>5</v>
      </c>
      <c r="O33" s="39">
        <v>5</v>
      </c>
      <c r="P33" s="39">
        <v>5</v>
      </c>
      <c r="Q33" s="39">
        <v>5</v>
      </c>
      <c r="R33" s="39">
        <v>5</v>
      </c>
      <c r="S33" s="39">
        <v>5</v>
      </c>
      <c r="T33" s="39">
        <v>5</v>
      </c>
      <c r="U33" s="39"/>
      <c r="V33" s="39"/>
      <c r="W33" s="39"/>
      <c r="X33" s="39">
        <v>5</v>
      </c>
      <c r="Y33" s="39">
        <v>5</v>
      </c>
      <c r="Z33" s="39">
        <v>5</v>
      </c>
      <c r="AA33" s="39">
        <v>5</v>
      </c>
      <c r="AB33" s="6">
        <v>5</v>
      </c>
      <c r="AC33" s="6">
        <v>5</v>
      </c>
      <c r="AD33" s="6">
        <v>5</v>
      </c>
      <c r="AE33" s="6">
        <v>5</v>
      </c>
      <c r="AF33" s="372">
        <f t="shared" ca="1" si="0"/>
        <v>0</v>
      </c>
      <c r="AH33" s="347"/>
      <c r="AI33" s="347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</row>
    <row r="34" spans="1:154" ht="18.75" customHeight="1" x14ac:dyDescent="0.3">
      <c r="A34" s="283" t="s">
        <v>168</v>
      </c>
      <c r="B34" s="284">
        <v>100</v>
      </c>
      <c r="C34" s="285">
        <v>1490</v>
      </c>
      <c r="D34" s="396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39">
        <v>0</v>
      </c>
      <c r="S34" s="39">
        <v>0</v>
      </c>
      <c r="T34" s="39">
        <v>0</v>
      </c>
      <c r="U34" s="39"/>
      <c r="V34" s="39"/>
      <c r="W34" s="39"/>
      <c r="X34" s="39">
        <v>0</v>
      </c>
      <c r="Y34" s="39">
        <v>4</v>
      </c>
      <c r="Z34" s="39">
        <v>4</v>
      </c>
      <c r="AA34" s="39">
        <v>4</v>
      </c>
      <c r="AB34" s="6">
        <v>4</v>
      </c>
      <c r="AC34" s="6">
        <v>4</v>
      </c>
      <c r="AD34" s="6">
        <v>4</v>
      </c>
      <c r="AE34" s="6">
        <v>4</v>
      </c>
      <c r="AF34" s="372">
        <f t="shared" ca="1" si="0"/>
        <v>0</v>
      </c>
      <c r="AH34" s="347"/>
      <c r="AI34" s="347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</row>
    <row r="35" spans="1:154" ht="18.75" customHeight="1" x14ac:dyDescent="0.3">
      <c r="AH35" s="347"/>
      <c r="AI35" s="347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</row>
    <row r="36" spans="1:154" ht="21" customHeight="1" x14ac:dyDescent="0.3">
      <c r="A36" s="394" t="s">
        <v>174</v>
      </c>
      <c r="B36" s="394"/>
      <c r="C36" s="394"/>
      <c r="AH36" s="347"/>
      <c r="AI36" s="347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</row>
    <row r="37" spans="1:154" ht="18.75" x14ac:dyDescent="0.3">
      <c r="A37" s="361" t="s">
        <v>175</v>
      </c>
      <c r="B37" s="361"/>
      <c r="C37" s="361" t="s">
        <v>176</v>
      </c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347"/>
      <c r="AI37" s="347"/>
      <c r="AJ37" s="4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</row>
    <row r="38" spans="1:154" ht="18.75" x14ac:dyDescent="0.3">
      <c r="A38" s="286"/>
      <c r="B38" s="370"/>
      <c r="C38" s="357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347"/>
      <c r="AI38" s="347"/>
      <c r="AJ38" s="41"/>
      <c r="AK38" s="4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362"/>
      <c r="BT38" s="362"/>
      <c r="BU38" s="362"/>
      <c r="BV38" s="362"/>
      <c r="BW38" s="362"/>
      <c r="BX38" s="362"/>
      <c r="BY38" s="362"/>
      <c r="BZ38" s="362"/>
      <c r="CA38" s="362"/>
      <c r="CB38" s="362"/>
      <c r="CC38" s="362"/>
      <c r="CD38" s="71"/>
      <c r="CE38" s="41"/>
      <c r="CF38" s="34"/>
      <c r="CG38" s="41"/>
      <c r="CI38" s="401"/>
      <c r="CJ38" s="401"/>
      <c r="CK38" s="401"/>
      <c r="CL38" s="401"/>
      <c r="CM38" s="401"/>
      <c r="CN38" s="401"/>
      <c r="CO38" s="401"/>
      <c r="CP38" s="401"/>
      <c r="CQ38" s="401"/>
      <c r="CR38" s="401"/>
      <c r="CS38" s="401"/>
      <c r="CT38" s="401"/>
      <c r="CU38" s="401"/>
      <c r="CV38" s="401"/>
      <c r="CW38" s="401"/>
      <c r="CX38" s="401"/>
      <c r="CY38" s="401"/>
      <c r="CZ38" s="401"/>
      <c r="DA38" s="401"/>
      <c r="DB38" s="366"/>
      <c r="DC38" s="401"/>
      <c r="DD38" s="348"/>
      <c r="DE38" s="401"/>
      <c r="DF38" s="401"/>
      <c r="DG38" s="401"/>
      <c r="DH38" s="401"/>
      <c r="DI38" s="401"/>
      <c r="DJ38" s="401"/>
      <c r="DK38" s="401"/>
      <c r="DL38" s="401"/>
      <c r="DM38" s="401"/>
      <c r="DN38" s="401"/>
      <c r="DO38" s="401"/>
      <c r="DP38" s="401"/>
      <c r="DQ38" s="401"/>
      <c r="DR38" s="401"/>
      <c r="DS38" s="401"/>
      <c r="DT38" s="401"/>
      <c r="DU38" s="401"/>
      <c r="DV38" s="401"/>
      <c r="DW38" s="401"/>
      <c r="DX38" s="401"/>
      <c r="DY38" s="401"/>
      <c r="DZ38" s="401"/>
      <c r="EA38" s="401"/>
      <c r="EB38" s="401"/>
      <c r="EC38" s="401"/>
      <c r="ED38" s="401"/>
      <c r="EE38" s="401"/>
      <c r="EF38" s="401"/>
      <c r="EG38" s="401"/>
      <c r="EH38" s="401"/>
      <c r="EI38" s="401"/>
      <c r="EJ38" s="401"/>
      <c r="EK38" s="401"/>
      <c r="EL38" s="401"/>
      <c r="EM38" s="401"/>
      <c r="EN38" s="401"/>
      <c r="EO38" s="401"/>
      <c r="EP38" s="401"/>
      <c r="EQ38" s="401"/>
      <c r="ER38" s="401"/>
      <c r="ES38" s="401"/>
      <c r="ET38" s="401"/>
      <c r="EU38" s="401"/>
      <c r="EV38" s="401"/>
      <c r="EW38" s="401"/>
      <c r="EX38" s="401"/>
    </row>
    <row r="39" spans="1:154" ht="18.75" x14ac:dyDescent="0.3">
      <c r="A39" s="462"/>
      <c r="B39" s="463"/>
      <c r="C39" s="464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154"/>
      <c r="AG39" s="41"/>
      <c r="AH39" s="347"/>
      <c r="AI39" s="347"/>
      <c r="AJ39" s="41"/>
      <c r="AK39" s="4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71"/>
      <c r="CE39" s="41"/>
      <c r="CF39" s="34"/>
      <c r="CG39" s="41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66"/>
      <c r="DC39" s="34"/>
      <c r="DD39" s="350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150"/>
      <c r="EC39" s="34"/>
      <c r="ED39" s="150"/>
      <c r="EE39" s="34"/>
      <c r="EF39" s="34"/>
      <c r="EG39" s="34"/>
      <c r="EH39" s="150"/>
      <c r="EI39" s="34"/>
      <c r="EJ39" s="150"/>
      <c r="EK39" s="34"/>
      <c r="EL39" s="34"/>
      <c r="EM39" s="34"/>
      <c r="EN39" s="34"/>
      <c r="EO39" s="34"/>
      <c r="EP39" s="34"/>
      <c r="EQ39" s="34"/>
      <c r="ER39" s="34"/>
      <c r="ES39" s="34"/>
      <c r="ET39" s="34"/>
      <c r="EU39" s="34"/>
      <c r="EV39" s="34"/>
      <c r="EW39" s="34"/>
      <c r="EX39" s="34"/>
    </row>
    <row r="40" spans="1:154" ht="18.75" x14ac:dyDescent="0.3">
      <c r="A40" s="286"/>
      <c r="B40" s="370"/>
      <c r="C40" s="357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J40" s="41"/>
      <c r="AK40" s="41"/>
      <c r="AL40" s="401"/>
      <c r="AM40" s="401"/>
      <c r="AN40" s="401"/>
      <c r="AO40" s="401"/>
      <c r="AP40" s="401"/>
      <c r="AQ40" s="401"/>
      <c r="AR40" s="401"/>
      <c r="AS40" s="401"/>
      <c r="AT40" s="401"/>
      <c r="AU40" s="401"/>
      <c r="AV40" s="401"/>
      <c r="AW40" s="401"/>
      <c r="AX40" s="401"/>
      <c r="AY40" s="401"/>
      <c r="AZ40" s="401"/>
      <c r="BA40" s="401"/>
      <c r="BB40" s="401"/>
      <c r="BC40" s="401"/>
      <c r="BD40" s="401"/>
      <c r="BE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71"/>
      <c r="CE40" s="41"/>
      <c r="CF40" s="34"/>
      <c r="CG40" s="41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66"/>
      <c r="DC40" s="34"/>
      <c r="DD40" s="365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150"/>
      <c r="EC40" s="34"/>
      <c r="ED40" s="150"/>
      <c r="EE40" s="34"/>
      <c r="EF40" s="34"/>
      <c r="EG40" s="34"/>
      <c r="EH40" s="150"/>
      <c r="EI40" s="34"/>
      <c r="EJ40" s="150"/>
      <c r="EK40" s="34"/>
      <c r="EL40" s="34"/>
      <c r="EM40" s="34"/>
      <c r="EN40" s="34"/>
      <c r="EO40" s="34"/>
      <c r="EP40" s="34"/>
      <c r="EQ40" s="34"/>
      <c r="ER40" s="34"/>
      <c r="ES40" s="34"/>
      <c r="ET40" s="34"/>
      <c r="EU40" s="34"/>
      <c r="EV40" s="34"/>
      <c r="EW40" s="34"/>
      <c r="EX40" s="34"/>
    </row>
    <row r="41" spans="1:154" ht="18.75" x14ac:dyDescent="0.3">
      <c r="A41" s="286"/>
      <c r="B41" s="370"/>
      <c r="C41" s="357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J41" s="41"/>
      <c r="AK41" s="41"/>
      <c r="AL41" s="401"/>
      <c r="AM41" s="401"/>
      <c r="AN41" s="401"/>
      <c r="AO41" s="401"/>
      <c r="AP41" s="401"/>
      <c r="AQ41" s="401"/>
      <c r="AR41" s="401"/>
      <c r="AS41" s="401"/>
      <c r="AT41" s="401"/>
      <c r="AU41" s="401"/>
      <c r="AV41" s="401"/>
      <c r="AW41" s="401"/>
      <c r="AX41" s="401"/>
      <c r="AY41" s="401"/>
      <c r="AZ41" s="401"/>
      <c r="BA41" s="401"/>
      <c r="BB41" s="401"/>
      <c r="BC41" s="401"/>
      <c r="BD41" s="401"/>
      <c r="BE41" s="34"/>
      <c r="BM41" s="41"/>
      <c r="BN41" s="41"/>
      <c r="BO41" s="41"/>
      <c r="BP41" s="41"/>
      <c r="BQ41" s="41"/>
      <c r="BR41" s="41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71"/>
      <c r="CE41" s="41"/>
      <c r="CF41" s="34"/>
      <c r="CG41" s="41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66"/>
      <c r="DC41" s="34"/>
      <c r="DD41" s="348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150"/>
      <c r="EC41" s="34"/>
      <c r="ED41" s="150"/>
      <c r="EE41" s="34"/>
      <c r="EF41" s="34"/>
      <c r="EG41" s="34"/>
      <c r="EH41" s="150"/>
      <c r="EI41" s="34"/>
      <c r="EJ41" s="150"/>
      <c r="EK41" s="34"/>
      <c r="EL41" s="34"/>
      <c r="EM41" s="34"/>
      <c r="EN41" s="34"/>
      <c r="EO41" s="34"/>
      <c r="EP41" s="34"/>
      <c r="EQ41" s="34"/>
      <c r="ER41" s="34"/>
      <c r="ES41" s="34"/>
      <c r="ET41" s="34"/>
      <c r="EU41" s="34"/>
      <c r="EV41" s="34"/>
      <c r="EW41" s="34"/>
      <c r="EX41" s="34"/>
    </row>
    <row r="42" spans="1:154" ht="18.75" x14ac:dyDescent="0.3">
      <c r="A42" s="468"/>
      <c r="B42" s="467"/>
      <c r="C42" s="469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34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71"/>
      <c r="CE42" s="41"/>
      <c r="CF42" s="34"/>
      <c r="CG42" s="41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66"/>
      <c r="DC42" s="34"/>
      <c r="DD42" s="348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150"/>
      <c r="EC42" s="34"/>
      <c r="ED42" s="150"/>
      <c r="EE42" s="34"/>
      <c r="EF42" s="34"/>
      <c r="EG42" s="34"/>
      <c r="EH42" s="150"/>
      <c r="EI42" s="34"/>
      <c r="EJ42" s="150"/>
      <c r="EK42" s="34"/>
      <c r="EL42" s="34"/>
      <c r="EM42" s="34"/>
      <c r="EN42" s="34"/>
      <c r="EO42" s="34"/>
      <c r="EP42" s="34"/>
      <c r="EQ42" s="34"/>
      <c r="ER42" s="34"/>
      <c r="ES42" s="34"/>
      <c r="ET42" s="34"/>
      <c r="EU42" s="34"/>
      <c r="EV42" s="34"/>
      <c r="EW42" s="34"/>
      <c r="EX42" s="34"/>
    </row>
    <row r="43" spans="1:154" ht="18.75" x14ac:dyDescent="0.3"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1"/>
      <c r="BR43" s="41"/>
      <c r="BS43" s="41"/>
    </row>
    <row r="44" spans="1:154" ht="18.75" x14ac:dyDescent="0.3">
      <c r="A44" s="472" t="s">
        <v>177</v>
      </c>
      <c r="B44" s="467"/>
      <c r="C44" s="467"/>
      <c r="D44" s="469"/>
      <c r="F44" s="356">
        <v>46013</v>
      </c>
      <c r="G44" s="356">
        <v>46020</v>
      </c>
      <c r="H44" s="356">
        <v>46027</v>
      </c>
      <c r="I44" s="356">
        <v>46034</v>
      </c>
      <c r="J44" s="356">
        <v>46041</v>
      </c>
      <c r="K44" s="356">
        <v>46048</v>
      </c>
      <c r="L44" s="356">
        <v>46055</v>
      </c>
      <c r="M44" s="356">
        <v>46062</v>
      </c>
      <c r="N44" s="356">
        <v>46069</v>
      </c>
      <c r="O44" s="356">
        <v>46076</v>
      </c>
      <c r="P44" s="356">
        <v>46083</v>
      </c>
      <c r="Q44" s="356">
        <v>46090</v>
      </c>
      <c r="R44" s="356">
        <v>46097</v>
      </c>
      <c r="S44" s="356">
        <v>46104</v>
      </c>
      <c r="T44" s="356">
        <v>46111</v>
      </c>
      <c r="U44" s="356">
        <v>46118</v>
      </c>
      <c r="V44" s="356">
        <v>46125</v>
      </c>
      <c r="W44" s="356">
        <v>46132</v>
      </c>
      <c r="X44" s="356">
        <v>46139</v>
      </c>
      <c r="Y44" s="356">
        <v>46146</v>
      </c>
      <c r="Z44" s="356">
        <v>46154</v>
      </c>
      <c r="AA44" s="356">
        <v>46160</v>
      </c>
      <c r="AB44" s="356">
        <v>46161.480126249997</v>
      </c>
      <c r="AC44" s="356">
        <v>46161.480799849538</v>
      </c>
      <c r="AD44" s="356">
        <v>46161.482957499997</v>
      </c>
      <c r="AE44" s="356">
        <v>46161.48328605097</v>
      </c>
      <c r="AH44" s="41"/>
      <c r="AI44" s="41"/>
      <c r="AK44" s="1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41"/>
      <c r="BB44" s="41"/>
      <c r="BC44" s="41"/>
      <c r="BD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1"/>
      <c r="BR44" s="41"/>
      <c r="BS44" s="41"/>
    </row>
    <row r="45" spans="1:154" ht="18.75" x14ac:dyDescent="0.3">
      <c r="A45" s="470" t="s">
        <v>212</v>
      </c>
      <c r="B45" s="467"/>
      <c r="C45" s="467"/>
      <c r="D45" s="469"/>
      <c r="F45" s="358">
        <v>0</v>
      </c>
      <c r="G45" s="358">
        <v>0</v>
      </c>
      <c r="H45" s="358">
        <v>0</v>
      </c>
      <c r="I45" s="358">
        <v>0</v>
      </c>
      <c r="J45" s="358">
        <v>0</v>
      </c>
      <c r="K45" s="358">
        <v>0</v>
      </c>
      <c r="L45" s="358">
        <v>0</v>
      </c>
      <c r="M45" s="358">
        <v>0</v>
      </c>
      <c r="N45" s="358">
        <v>0</v>
      </c>
      <c r="O45" s="358">
        <v>0</v>
      </c>
      <c r="P45" s="358">
        <v>0</v>
      </c>
      <c r="Q45" s="358">
        <v>0</v>
      </c>
      <c r="R45" s="358">
        <v>0</v>
      </c>
      <c r="S45" s="358">
        <v>0</v>
      </c>
      <c r="T45" s="358">
        <v>0</v>
      </c>
      <c r="U45" s="358">
        <v>0</v>
      </c>
      <c r="V45" s="358">
        <v>0</v>
      </c>
      <c r="W45" s="358">
        <v>0</v>
      </c>
      <c r="X45" s="358">
        <v>0</v>
      </c>
      <c r="Y45" s="358">
        <v>0</v>
      </c>
      <c r="Z45" s="358">
        <v>0</v>
      </c>
      <c r="AA45" s="358"/>
      <c r="AB45" s="448"/>
      <c r="AC45" s="448"/>
      <c r="AD45" s="448"/>
      <c r="AE45" s="448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BF45" s="41"/>
      <c r="BG45" s="41"/>
      <c r="BH45" s="41"/>
      <c r="BI45" s="41"/>
      <c r="BJ45" s="41"/>
      <c r="BK45" s="41"/>
      <c r="BL45" s="41"/>
      <c r="BS45" s="41"/>
    </row>
    <row r="46" spans="1:154" ht="18.75" x14ac:dyDescent="0.25">
      <c r="A46" s="470" t="s">
        <v>213</v>
      </c>
      <c r="B46" s="467"/>
      <c r="C46" s="467"/>
      <c r="D46" s="469"/>
      <c r="F46" s="358">
        <v>0</v>
      </c>
      <c r="G46" s="358">
        <v>0</v>
      </c>
      <c r="H46" s="358">
        <v>0</v>
      </c>
      <c r="I46" s="358">
        <v>0</v>
      </c>
      <c r="J46" s="358">
        <v>0</v>
      </c>
      <c r="K46" s="358">
        <v>0</v>
      </c>
      <c r="L46" s="358">
        <v>0</v>
      </c>
      <c r="M46" s="358">
        <v>0</v>
      </c>
      <c r="N46" s="358">
        <v>0</v>
      </c>
      <c r="O46" s="358">
        <v>0</v>
      </c>
      <c r="P46" s="358">
        <v>0</v>
      </c>
      <c r="Q46" s="358">
        <v>0</v>
      </c>
      <c r="R46" s="358">
        <v>0</v>
      </c>
      <c r="S46" s="358">
        <v>0</v>
      </c>
      <c r="T46" s="358">
        <v>0</v>
      </c>
      <c r="U46" s="358">
        <v>0</v>
      </c>
      <c r="V46" s="358">
        <v>0</v>
      </c>
      <c r="W46" s="358">
        <v>0</v>
      </c>
      <c r="X46" s="358">
        <v>0</v>
      </c>
      <c r="Y46" s="358">
        <v>0</v>
      </c>
      <c r="Z46" s="358">
        <v>0</v>
      </c>
      <c r="AA46" s="358"/>
      <c r="AB46" s="448"/>
      <c r="AC46" s="448"/>
      <c r="AD46" s="448"/>
      <c r="AE46" s="448"/>
    </row>
    <row r="47" spans="1:154" ht="18.75" x14ac:dyDescent="0.25">
      <c r="A47" s="470" t="s">
        <v>214</v>
      </c>
      <c r="B47" s="467"/>
      <c r="C47" s="467"/>
      <c r="D47" s="469"/>
      <c r="F47" s="358">
        <v>0</v>
      </c>
      <c r="G47" s="358">
        <v>0</v>
      </c>
      <c r="H47" s="358">
        <v>0</v>
      </c>
      <c r="I47" s="358">
        <v>0</v>
      </c>
      <c r="J47" s="358">
        <v>0</v>
      </c>
      <c r="K47" s="358">
        <v>0</v>
      </c>
      <c r="L47" s="358">
        <v>0</v>
      </c>
      <c r="M47" s="358">
        <v>0</v>
      </c>
      <c r="N47" s="358">
        <v>0</v>
      </c>
      <c r="O47" s="358">
        <v>0</v>
      </c>
      <c r="P47" s="358">
        <v>0</v>
      </c>
      <c r="Q47" s="358">
        <v>0</v>
      </c>
      <c r="R47" s="358">
        <v>0</v>
      </c>
      <c r="S47" s="358">
        <v>0</v>
      </c>
      <c r="T47" s="358">
        <v>0</v>
      </c>
      <c r="U47" s="358">
        <v>0</v>
      </c>
      <c r="V47" s="358">
        <v>0</v>
      </c>
      <c r="W47" s="358">
        <v>0</v>
      </c>
      <c r="X47" s="358">
        <v>0</v>
      </c>
      <c r="Y47" s="358">
        <v>0</v>
      </c>
      <c r="Z47" s="358">
        <v>0</v>
      </c>
      <c r="AA47" s="358"/>
      <c r="AB47" s="448"/>
      <c r="AC47" s="448"/>
      <c r="AD47" s="448"/>
      <c r="AE47" s="448"/>
    </row>
    <row r="48" spans="1:154" ht="18.75" x14ac:dyDescent="0.3">
      <c r="A48" s="470" t="s">
        <v>215</v>
      </c>
      <c r="B48" s="467"/>
      <c r="C48" s="467"/>
      <c r="D48" s="469"/>
      <c r="F48" s="358">
        <v>0</v>
      </c>
      <c r="G48" s="358">
        <v>0</v>
      </c>
      <c r="H48" s="358">
        <v>0</v>
      </c>
      <c r="I48" s="358">
        <v>0</v>
      </c>
      <c r="J48" s="358">
        <v>0</v>
      </c>
      <c r="K48" s="358">
        <v>0</v>
      </c>
      <c r="L48" s="358">
        <v>0</v>
      </c>
      <c r="M48" s="358">
        <v>0</v>
      </c>
      <c r="N48" s="358">
        <v>0</v>
      </c>
      <c r="O48" s="358">
        <v>0</v>
      </c>
      <c r="P48" s="358">
        <v>0</v>
      </c>
      <c r="Q48" s="358">
        <v>0</v>
      </c>
      <c r="R48" s="358">
        <v>0</v>
      </c>
      <c r="S48" s="358">
        <v>0</v>
      </c>
      <c r="T48" s="358">
        <v>0</v>
      </c>
      <c r="U48" s="358">
        <v>0</v>
      </c>
      <c r="V48" s="358">
        <v>0</v>
      </c>
      <c r="W48" s="358">
        <v>0</v>
      </c>
      <c r="X48" s="358">
        <v>0</v>
      </c>
      <c r="Y48" s="358">
        <v>0</v>
      </c>
      <c r="Z48" s="358">
        <v>0</v>
      </c>
      <c r="AA48" s="358"/>
      <c r="AB48" s="448"/>
      <c r="AC48" s="448"/>
      <c r="AD48" s="448"/>
      <c r="AE48" s="448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</row>
    <row r="49" spans="1:31" ht="18.75" x14ac:dyDescent="0.25">
      <c r="A49" s="470" t="s">
        <v>216</v>
      </c>
      <c r="B49" s="467"/>
      <c r="C49" s="467"/>
      <c r="D49" s="469"/>
      <c r="F49" s="358">
        <v>0</v>
      </c>
      <c r="G49" s="358">
        <v>0</v>
      </c>
      <c r="H49" s="358">
        <v>0</v>
      </c>
      <c r="I49" s="358">
        <v>0</v>
      </c>
      <c r="J49" s="358">
        <v>0</v>
      </c>
      <c r="K49" s="358">
        <v>0</v>
      </c>
      <c r="L49" s="358">
        <v>0</v>
      </c>
      <c r="M49" s="358">
        <v>0</v>
      </c>
      <c r="N49" s="358">
        <v>0</v>
      </c>
      <c r="O49" s="358">
        <v>0</v>
      </c>
      <c r="P49" s="358">
        <v>0</v>
      </c>
      <c r="Q49" s="358">
        <v>0</v>
      </c>
      <c r="R49" s="358">
        <v>0</v>
      </c>
      <c r="S49" s="358">
        <v>0</v>
      </c>
      <c r="T49" s="358">
        <v>0</v>
      </c>
      <c r="U49" s="358">
        <v>0</v>
      </c>
      <c r="V49" s="358">
        <v>0</v>
      </c>
      <c r="W49" s="358">
        <v>0</v>
      </c>
      <c r="X49" s="358">
        <v>0</v>
      </c>
      <c r="Y49" s="358">
        <v>0</v>
      </c>
      <c r="Z49" s="358">
        <v>0</v>
      </c>
      <c r="AA49" s="358"/>
      <c r="AB49" s="448"/>
      <c r="AC49" s="448"/>
      <c r="AD49" s="448"/>
      <c r="AE49" s="448"/>
    </row>
    <row r="50" spans="1:31" ht="18.75" x14ac:dyDescent="0.25">
      <c r="A50" s="470" t="s">
        <v>217</v>
      </c>
      <c r="B50" s="467"/>
      <c r="C50" s="467"/>
      <c r="D50" s="469"/>
      <c r="F50" s="358">
        <v>0</v>
      </c>
      <c r="G50" s="358">
        <v>0</v>
      </c>
      <c r="H50" s="358">
        <v>0</v>
      </c>
      <c r="I50" s="358">
        <v>0</v>
      </c>
      <c r="J50" s="358">
        <v>0</v>
      </c>
      <c r="K50" s="358">
        <v>0</v>
      </c>
      <c r="L50" s="358">
        <v>0</v>
      </c>
      <c r="M50" s="358">
        <v>0</v>
      </c>
      <c r="N50" s="358">
        <v>0</v>
      </c>
      <c r="O50" s="358">
        <v>0</v>
      </c>
      <c r="P50" s="358">
        <v>0</v>
      </c>
      <c r="Q50" s="358">
        <v>0</v>
      </c>
      <c r="R50" s="358">
        <v>0</v>
      </c>
      <c r="S50" s="358">
        <v>0</v>
      </c>
      <c r="T50" s="358">
        <v>0</v>
      </c>
      <c r="U50" s="358">
        <v>0</v>
      </c>
      <c r="V50" s="358">
        <v>0</v>
      </c>
      <c r="W50" s="358">
        <v>0</v>
      </c>
      <c r="X50" s="358">
        <v>0</v>
      </c>
      <c r="Y50" s="358">
        <v>0</v>
      </c>
      <c r="Z50" s="358">
        <v>0</v>
      </c>
      <c r="AA50" s="358"/>
      <c r="AB50" s="448"/>
      <c r="AC50" s="448"/>
      <c r="AD50" s="448"/>
      <c r="AE50" s="448"/>
    </row>
    <row r="51" spans="1:31" ht="18.75" x14ac:dyDescent="0.25">
      <c r="A51" s="470" t="s">
        <v>218</v>
      </c>
      <c r="B51" s="467"/>
      <c r="C51" s="467"/>
      <c r="D51" s="469"/>
      <c r="F51" s="358">
        <v>0</v>
      </c>
      <c r="G51" s="358">
        <v>0</v>
      </c>
      <c r="H51" s="358">
        <v>0</v>
      </c>
      <c r="I51" s="358">
        <v>0</v>
      </c>
      <c r="J51" s="358">
        <v>0</v>
      </c>
      <c r="K51" s="358">
        <v>0</v>
      </c>
      <c r="L51" s="358">
        <v>0</v>
      </c>
      <c r="M51" s="358">
        <v>0</v>
      </c>
      <c r="N51" s="358">
        <v>0</v>
      </c>
      <c r="O51" s="358">
        <v>0</v>
      </c>
      <c r="P51" s="358">
        <v>0</v>
      </c>
      <c r="Q51" s="358">
        <v>0</v>
      </c>
      <c r="R51" s="358">
        <v>0</v>
      </c>
      <c r="S51" s="358">
        <v>0</v>
      </c>
      <c r="T51" s="358">
        <v>0</v>
      </c>
      <c r="U51" s="358">
        <v>0</v>
      </c>
      <c r="V51" s="358">
        <v>0</v>
      </c>
      <c r="W51" s="358">
        <v>0</v>
      </c>
      <c r="X51" s="358">
        <v>0</v>
      </c>
      <c r="Y51" s="358">
        <v>0</v>
      </c>
      <c r="Z51" s="358">
        <v>0</v>
      </c>
      <c r="AA51" s="358"/>
      <c r="AB51" s="448"/>
      <c r="AC51" s="448"/>
      <c r="AD51" s="448"/>
      <c r="AE51" s="448"/>
    </row>
    <row r="52" spans="1:31" ht="18.75" x14ac:dyDescent="0.25">
      <c r="A52" s="470" t="s">
        <v>219</v>
      </c>
      <c r="B52" s="467"/>
      <c r="C52" s="467"/>
      <c r="D52" s="469"/>
      <c r="F52" s="358">
        <v>0</v>
      </c>
      <c r="G52" s="358">
        <v>0</v>
      </c>
      <c r="H52" s="358">
        <v>0</v>
      </c>
      <c r="I52" s="358">
        <v>0</v>
      </c>
      <c r="J52" s="358">
        <v>0</v>
      </c>
      <c r="K52" s="358">
        <v>0</v>
      </c>
      <c r="L52" s="358">
        <v>0</v>
      </c>
      <c r="M52" s="358">
        <v>0</v>
      </c>
      <c r="N52" s="358">
        <v>0</v>
      </c>
      <c r="O52" s="358">
        <v>0</v>
      </c>
      <c r="P52" s="358">
        <v>0</v>
      </c>
      <c r="Q52" s="358">
        <v>0</v>
      </c>
      <c r="R52" s="358">
        <v>0</v>
      </c>
      <c r="S52" s="358">
        <v>0</v>
      </c>
      <c r="T52" s="358">
        <v>0</v>
      </c>
      <c r="U52" s="358">
        <v>0</v>
      </c>
      <c r="V52" s="358">
        <v>0</v>
      </c>
      <c r="W52" s="358">
        <v>0</v>
      </c>
      <c r="X52" s="358">
        <v>0</v>
      </c>
      <c r="Y52" s="358">
        <v>0</v>
      </c>
      <c r="Z52" s="358">
        <v>0</v>
      </c>
      <c r="AA52" s="358"/>
      <c r="AB52" s="448"/>
      <c r="AC52" s="448"/>
      <c r="AD52" s="448"/>
      <c r="AE52" s="448"/>
    </row>
    <row r="53" spans="1:31" ht="18.75" x14ac:dyDescent="0.25">
      <c r="A53" s="470" t="s">
        <v>203</v>
      </c>
      <c r="B53" s="467"/>
      <c r="C53" s="467"/>
      <c r="D53" s="469"/>
      <c r="F53" s="358">
        <v>0</v>
      </c>
      <c r="G53" s="358">
        <v>0</v>
      </c>
      <c r="H53" s="358">
        <v>0</v>
      </c>
      <c r="I53" s="358">
        <v>0</v>
      </c>
      <c r="J53" s="358">
        <v>0</v>
      </c>
      <c r="K53" s="358">
        <v>0</v>
      </c>
      <c r="L53" s="358">
        <v>0</v>
      </c>
      <c r="M53" s="358">
        <v>0</v>
      </c>
      <c r="N53" s="358">
        <v>0</v>
      </c>
      <c r="O53" s="358">
        <v>0</v>
      </c>
      <c r="P53" s="358">
        <v>0</v>
      </c>
      <c r="Q53" s="358">
        <v>0</v>
      </c>
      <c r="R53" s="358">
        <v>0</v>
      </c>
      <c r="S53" s="358">
        <v>0</v>
      </c>
      <c r="T53" s="358">
        <v>0</v>
      </c>
      <c r="U53" s="358">
        <v>0</v>
      </c>
      <c r="V53" s="358">
        <v>0</v>
      </c>
      <c r="W53" s="358">
        <v>0</v>
      </c>
      <c r="X53" s="358">
        <v>0</v>
      </c>
      <c r="Y53" s="358">
        <v>0</v>
      </c>
      <c r="Z53" s="358">
        <v>0</v>
      </c>
      <c r="AA53" s="358"/>
      <c r="AB53" s="448"/>
      <c r="AC53" s="448"/>
      <c r="AD53" s="448"/>
      <c r="AE53" s="448"/>
    </row>
    <row r="54" spans="1:31" ht="18.75" x14ac:dyDescent="0.25">
      <c r="A54" s="470" t="s">
        <v>220</v>
      </c>
      <c r="B54" s="467"/>
      <c r="C54" s="467"/>
      <c r="D54" s="469"/>
      <c r="F54" s="358">
        <v>0</v>
      </c>
      <c r="G54" s="358">
        <v>0</v>
      </c>
      <c r="H54" s="358">
        <v>0</v>
      </c>
      <c r="I54" s="358">
        <v>0</v>
      </c>
      <c r="J54" s="358">
        <v>0</v>
      </c>
      <c r="K54" s="358">
        <v>0</v>
      </c>
      <c r="L54" s="358">
        <v>0</v>
      </c>
      <c r="M54" s="358">
        <v>0</v>
      </c>
      <c r="N54" s="358">
        <v>0</v>
      </c>
      <c r="O54" s="358">
        <v>0</v>
      </c>
      <c r="P54" s="358">
        <v>0</v>
      </c>
      <c r="Q54" s="358">
        <v>0</v>
      </c>
      <c r="R54" s="358">
        <v>0</v>
      </c>
      <c r="S54" s="358">
        <v>0</v>
      </c>
      <c r="T54" s="358">
        <v>0</v>
      </c>
      <c r="U54" s="358">
        <v>0</v>
      </c>
      <c r="V54" s="358">
        <v>0</v>
      </c>
      <c r="W54" s="358">
        <v>0</v>
      </c>
      <c r="X54" s="358">
        <v>0</v>
      </c>
      <c r="Y54" s="358">
        <v>0</v>
      </c>
      <c r="Z54" s="358">
        <v>0</v>
      </c>
      <c r="AA54" s="358"/>
      <c r="AB54" s="448"/>
      <c r="AC54" s="448"/>
      <c r="AD54" s="448"/>
      <c r="AE54" s="448"/>
    </row>
    <row r="55" spans="1:31" ht="18.75" x14ac:dyDescent="0.25">
      <c r="A55" s="470" t="s">
        <v>221</v>
      </c>
      <c r="B55" s="467"/>
      <c r="C55" s="467"/>
      <c r="D55" s="469"/>
      <c r="F55" s="358">
        <v>0</v>
      </c>
      <c r="G55" s="358">
        <v>0</v>
      </c>
      <c r="H55" s="358">
        <v>0</v>
      </c>
      <c r="I55" s="358">
        <v>0</v>
      </c>
      <c r="J55" s="358">
        <v>0</v>
      </c>
      <c r="K55" s="358">
        <v>0</v>
      </c>
      <c r="L55" s="358">
        <v>0</v>
      </c>
      <c r="M55" s="358">
        <v>0</v>
      </c>
      <c r="N55" s="358">
        <v>0</v>
      </c>
      <c r="O55" s="358">
        <v>0</v>
      </c>
      <c r="P55" s="358">
        <v>0</v>
      </c>
      <c r="Q55" s="358">
        <v>0</v>
      </c>
      <c r="R55" s="358">
        <v>0</v>
      </c>
      <c r="S55" s="358">
        <v>0</v>
      </c>
      <c r="T55" s="358">
        <v>0</v>
      </c>
      <c r="U55" s="358">
        <v>0</v>
      </c>
      <c r="V55" s="358">
        <v>0</v>
      </c>
      <c r="W55" s="358">
        <v>0</v>
      </c>
      <c r="X55" s="358">
        <v>0</v>
      </c>
      <c r="Y55" s="358">
        <v>0</v>
      </c>
      <c r="Z55" s="358">
        <v>0</v>
      </c>
      <c r="AA55" s="358"/>
      <c r="AB55" s="448"/>
      <c r="AC55" s="448"/>
      <c r="AD55" s="448"/>
      <c r="AE55" s="448"/>
    </row>
    <row r="56" spans="1:31" ht="18.75" x14ac:dyDescent="0.25">
      <c r="A56" s="470" t="s">
        <v>179</v>
      </c>
      <c r="B56" s="467"/>
      <c r="C56" s="467"/>
      <c r="D56" s="469"/>
      <c r="F56" s="358">
        <v>0</v>
      </c>
      <c r="G56" s="358">
        <v>0</v>
      </c>
      <c r="H56" s="358">
        <v>0</v>
      </c>
      <c r="I56" s="358">
        <v>0</v>
      </c>
      <c r="J56" s="358">
        <v>0</v>
      </c>
      <c r="K56" s="358">
        <v>0</v>
      </c>
      <c r="L56" s="358">
        <v>0</v>
      </c>
      <c r="M56" s="358">
        <v>0</v>
      </c>
      <c r="N56" s="358">
        <v>0</v>
      </c>
      <c r="O56" s="358">
        <v>0</v>
      </c>
      <c r="P56" s="358">
        <v>0</v>
      </c>
      <c r="Q56" s="358">
        <v>0</v>
      </c>
      <c r="R56" s="358">
        <v>0</v>
      </c>
      <c r="S56" s="358">
        <v>0</v>
      </c>
      <c r="T56" s="358">
        <v>0</v>
      </c>
      <c r="U56" s="358">
        <v>0</v>
      </c>
      <c r="V56" s="358">
        <v>0</v>
      </c>
      <c r="W56" s="358">
        <v>0</v>
      </c>
      <c r="X56" s="358">
        <v>0</v>
      </c>
      <c r="Y56" s="358">
        <v>0</v>
      </c>
      <c r="Z56" s="358">
        <v>0</v>
      </c>
      <c r="AA56" s="358"/>
      <c r="AB56" s="448"/>
      <c r="AC56" s="448"/>
      <c r="AD56" s="448"/>
      <c r="AE56" s="448"/>
    </row>
    <row r="57" spans="1:31" ht="18.75" x14ac:dyDescent="0.25">
      <c r="A57" s="470" t="s">
        <v>178</v>
      </c>
      <c r="B57" s="467"/>
      <c r="C57" s="467"/>
      <c r="D57" s="469"/>
      <c r="F57" s="358">
        <v>0</v>
      </c>
      <c r="G57" s="358">
        <v>0</v>
      </c>
      <c r="H57" s="358">
        <v>0</v>
      </c>
      <c r="I57" s="358">
        <v>0</v>
      </c>
      <c r="J57" s="358">
        <v>0</v>
      </c>
      <c r="K57" s="358">
        <v>0</v>
      </c>
      <c r="L57" s="358">
        <v>0</v>
      </c>
      <c r="M57" s="358">
        <v>0</v>
      </c>
      <c r="N57" s="358">
        <v>0</v>
      </c>
      <c r="O57" s="358">
        <v>0</v>
      </c>
      <c r="P57" s="358">
        <v>0</v>
      </c>
      <c r="Q57" s="358">
        <v>0</v>
      </c>
      <c r="R57" s="358">
        <v>0</v>
      </c>
      <c r="S57" s="358">
        <v>0</v>
      </c>
      <c r="T57" s="358">
        <v>0</v>
      </c>
      <c r="U57" s="358">
        <v>0</v>
      </c>
      <c r="V57" s="358">
        <v>0</v>
      </c>
      <c r="W57" s="358">
        <v>0</v>
      </c>
      <c r="X57" s="358">
        <v>0</v>
      </c>
      <c r="Y57" s="358">
        <v>0</v>
      </c>
      <c r="Z57" s="358">
        <v>0</v>
      </c>
      <c r="AA57" s="358"/>
      <c r="AB57" s="448"/>
      <c r="AC57" s="448"/>
      <c r="AD57" s="448"/>
      <c r="AE57" s="448"/>
    </row>
  </sheetData>
  <mergeCells count="24">
    <mergeCell ref="A57:D57"/>
    <mergeCell ref="A47:D47"/>
    <mergeCell ref="B2:D2"/>
    <mergeCell ref="C5:C6"/>
    <mergeCell ref="A56:D56"/>
    <mergeCell ref="BB7:BJ7"/>
    <mergeCell ref="B3:D3"/>
    <mergeCell ref="A50:D50"/>
    <mergeCell ref="A55:D55"/>
    <mergeCell ref="A5:A6"/>
    <mergeCell ref="A45:D45"/>
    <mergeCell ref="A54:D54"/>
    <mergeCell ref="A1:AB1"/>
    <mergeCell ref="A39:C39"/>
    <mergeCell ref="A46:D46"/>
    <mergeCell ref="B5:B6"/>
    <mergeCell ref="D5:D6"/>
    <mergeCell ref="A53:D53"/>
    <mergeCell ref="A52:D52"/>
    <mergeCell ref="A44:D44"/>
    <mergeCell ref="A42:C42"/>
    <mergeCell ref="A48:D48"/>
    <mergeCell ref="A51:D51"/>
    <mergeCell ref="A49:D49"/>
  </mergeCells>
  <printOptions horizontalCentered="1" verticalCentered="1"/>
  <pageMargins left="0.15748031496062989" right="0.23622047244094491" top="0.74803149606299213" bottom="0.74803149606299213" header="0.31496062992125978" footer="0.31496062992125978"/>
  <pageSetup paperSize="9" scale="63" fitToHeight="0"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57">
    <tabColor theme="9"/>
  </sheetPr>
  <dimension ref="A1:EN57"/>
  <sheetViews>
    <sheetView showGridLines="0" zoomScale="80" zoomScaleNormal="80" workbookViewId="0">
      <selection activeCell="AA14" activeCellId="1" sqref="AA8:AA11 AA14:AA17"/>
    </sheetView>
  </sheetViews>
  <sheetFormatPr defaultColWidth="9.140625" defaultRowHeight="18.75" x14ac:dyDescent="0.3"/>
  <cols>
    <col min="1" max="1" width="29.5703125" style="62" customWidth="1"/>
    <col min="2" max="2" width="9.42578125" style="11" customWidth="1"/>
    <col min="3" max="3" width="16.42578125" style="11" customWidth="1"/>
    <col min="4" max="4" width="14.42578125" style="11" customWidth="1"/>
    <col min="5" max="5" width="1.85546875" style="11" customWidth="1"/>
    <col min="6" max="24" width="8.42578125" style="11" hidden="1" customWidth="1"/>
    <col min="25" max="26" width="8.42578125" style="11" customWidth="1"/>
    <col min="27" max="27" width="7.85546875" style="11" bestFit="1" customWidth="1"/>
    <col min="28" max="28" width="2" style="11" customWidth="1"/>
    <col min="29" max="29" width="18.42578125" style="34" customWidth="1"/>
    <col min="30" max="30" width="17.42578125" style="34" hidden="1" customWidth="1"/>
    <col min="31" max="31" width="1.7109375" style="11" customWidth="1"/>
    <col min="32" max="32" width="15.85546875" style="34" bestFit="1" customWidth="1"/>
    <col min="33" max="33" width="2.5703125" customWidth="1"/>
    <col min="34" max="41" width="8.7109375" style="71" customWidth="1"/>
    <col min="42" max="51" width="8.7109375" style="71" hidden="1" customWidth="1"/>
    <col min="52" max="52" width="9.140625" style="11" customWidth="1"/>
    <col min="53" max="53" width="21.85546875" style="11" bestFit="1" customWidth="1"/>
    <col min="54" max="54" width="9.140625" style="11" customWidth="1"/>
    <col min="55" max="58" width="13" style="11" hidden="1" customWidth="1"/>
    <col min="59" max="59" width="9.140625" style="11" customWidth="1"/>
    <col min="60" max="16384" width="9.140625" style="11"/>
  </cols>
  <sheetData>
    <row r="1" spans="1:61" ht="23.25" customHeight="1" x14ac:dyDescent="0.3">
      <c r="A1" s="477" t="s">
        <v>117</v>
      </c>
      <c r="B1" s="479"/>
      <c r="C1" s="479"/>
      <c r="D1" s="479"/>
      <c r="E1" s="479"/>
      <c r="F1" s="479"/>
      <c r="G1" s="479"/>
      <c r="H1" s="479"/>
      <c r="I1" s="479"/>
      <c r="J1" s="479"/>
      <c r="K1" s="479"/>
      <c r="L1" s="479"/>
      <c r="M1" s="479"/>
      <c r="N1" s="479"/>
      <c r="O1" s="479"/>
      <c r="P1" s="479"/>
      <c r="Q1" s="479"/>
      <c r="R1" s="479"/>
      <c r="S1" s="479"/>
      <c r="T1" s="479"/>
      <c r="U1" s="479"/>
      <c r="V1" s="479"/>
      <c r="W1" s="479"/>
      <c r="X1" s="479"/>
      <c r="Y1" s="479"/>
      <c r="Z1" s="479"/>
      <c r="AA1" s="479"/>
      <c r="AB1" s="479"/>
      <c r="AC1" s="353"/>
      <c r="AD1" s="353"/>
      <c r="AE1" s="353"/>
      <c r="AF1" s="353"/>
      <c r="AG1" s="353"/>
      <c r="AH1" s="353"/>
      <c r="AI1" s="353"/>
      <c r="AJ1" s="353"/>
      <c r="AK1" s="353"/>
      <c r="AL1" s="353"/>
      <c r="AM1" s="353"/>
      <c r="AN1" s="353"/>
      <c r="AO1" s="353"/>
      <c r="AP1" s="353"/>
      <c r="AQ1" s="353"/>
      <c r="AR1" s="353"/>
      <c r="AS1" s="353"/>
      <c r="AT1" s="353"/>
      <c r="AU1" s="353"/>
      <c r="AV1" s="353"/>
      <c r="AW1" s="353"/>
      <c r="AX1" s="353"/>
      <c r="AY1" s="353"/>
    </row>
    <row r="2" spans="1:61" x14ac:dyDescent="0.3">
      <c r="A2" s="63" t="s">
        <v>118</v>
      </c>
      <c r="B2" s="473" t="s">
        <v>209</v>
      </c>
      <c r="C2" s="463"/>
      <c r="D2" s="464"/>
      <c r="AC2" s="11"/>
      <c r="AD2" s="11"/>
      <c r="AF2" s="11"/>
    </row>
    <row r="3" spans="1:61" x14ac:dyDescent="0.3">
      <c r="A3" s="63" t="s">
        <v>120</v>
      </c>
      <c r="B3" s="465" t="s">
        <v>210</v>
      </c>
      <c r="C3" s="463"/>
      <c r="D3" s="464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11"/>
      <c r="AD3" s="11"/>
      <c r="AE3" s="7"/>
    </row>
    <row r="4" spans="1:61" x14ac:dyDescent="0.3">
      <c r="AF4" s="11"/>
      <c r="AH4" s="387"/>
      <c r="AI4" s="387"/>
      <c r="AJ4" s="387"/>
      <c r="AK4" s="387"/>
      <c r="AL4" s="387"/>
      <c r="AM4" s="387"/>
      <c r="AN4" s="387"/>
      <c r="AO4" s="387"/>
      <c r="AP4" s="387"/>
      <c r="AQ4" s="387"/>
      <c r="AR4" s="387"/>
      <c r="AS4" s="387"/>
      <c r="AT4" s="387"/>
      <c r="AU4" s="387"/>
      <c r="AV4" s="387"/>
      <c r="AW4" s="387"/>
      <c r="AX4" s="387"/>
      <c r="AY4" s="387"/>
    </row>
    <row r="5" spans="1:61" ht="18.75" customHeight="1" x14ac:dyDescent="0.3">
      <c r="A5" s="460" t="s">
        <v>122</v>
      </c>
      <c r="B5" s="471" t="s">
        <v>123</v>
      </c>
      <c r="C5" s="471" t="s">
        <v>124</v>
      </c>
      <c r="D5" s="474" t="s">
        <v>125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C5" s="29" t="s">
        <v>126</v>
      </c>
      <c r="AD5" s="29" t="s">
        <v>126</v>
      </c>
      <c r="AF5" s="9" t="s">
        <v>127</v>
      </c>
      <c r="AH5" s="363"/>
      <c r="AI5" s="363">
        <v>46142</v>
      </c>
      <c r="AJ5" s="363">
        <v>46114</v>
      </c>
      <c r="AK5" s="363">
        <v>46107</v>
      </c>
      <c r="AL5" s="363">
        <v>46099</v>
      </c>
      <c r="AM5" s="409">
        <v>46065</v>
      </c>
      <c r="AN5" s="363">
        <v>46092</v>
      </c>
      <c r="AO5" s="363">
        <v>46084</v>
      </c>
      <c r="AP5" s="363">
        <v>46071</v>
      </c>
      <c r="AQ5" s="363">
        <v>46056</v>
      </c>
      <c r="AR5" s="363">
        <v>46048</v>
      </c>
      <c r="AS5" s="363">
        <v>46043</v>
      </c>
      <c r="AT5" s="363">
        <v>46035</v>
      </c>
      <c r="AU5" s="363">
        <v>46024</v>
      </c>
      <c r="AV5" s="363">
        <v>46017</v>
      </c>
      <c r="AW5" s="363">
        <v>46007</v>
      </c>
      <c r="AX5" s="363">
        <v>46001</v>
      </c>
      <c r="AY5" s="363">
        <v>45994</v>
      </c>
    </row>
    <row r="6" spans="1:61" s="3" customFormat="1" x14ac:dyDescent="0.3">
      <c r="A6" s="461"/>
      <c r="B6" s="461"/>
      <c r="C6" s="461"/>
      <c r="D6" s="461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35" t="s">
        <v>129</v>
      </c>
      <c r="AB6" s="30"/>
      <c r="AC6" s="180">
        <v>46142</v>
      </c>
      <c r="AD6" s="180">
        <v>45965</v>
      </c>
      <c r="AE6" s="31"/>
      <c r="AF6" s="179">
        <v>46155</v>
      </c>
      <c r="AH6" s="363"/>
      <c r="AI6" s="363">
        <v>46153</v>
      </c>
      <c r="AJ6" s="363">
        <v>46125</v>
      </c>
      <c r="AK6" s="363">
        <v>46113</v>
      </c>
      <c r="AL6" s="363">
        <v>46106</v>
      </c>
      <c r="AM6" s="409">
        <v>46107</v>
      </c>
      <c r="AN6" s="363">
        <v>46099</v>
      </c>
      <c r="AO6" s="363">
        <v>46092</v>
      </c>
      <c r="AP6" s="363">
        <v>46078</v>
      </c>
      <c r="AQ6" s="363">
        <v>46062</v>
      </c>
      <c r="AR6" s="363">
        <v>46055</v>
      </c>
      <c r="AS6" s="363">
        <v>46055</v>
      </c>
      <c r="AT6" s="363">
        <v>46038</v>
      </c>
      <c r="AU6" s="363">
        <v>46031</v>
      </c>
      <c r="AV6" s="363">
        <v>46029</v>
      </c>
      <c r="AW6" s="363">
        <v>46013</v>
      </c>
      <c r="AX6" s="363">
        <v>45978</v>
      </c>
      <c r="AY6" s="363">
        <v>45999</v>
      </c>
      <c r="BA6" s="11"/>
      <c r="BB6" s="11"/>
      <c r="BC6" s="11"/>
      <c r="BD6" s="11"/>
      <c r="BE6" s="11"/>
      <c r="BF6" s="11"/>
      <c r="BG6" s="11"/>
      <c r="BH6" s="11"/>
      <c r="BI6" s="11"/>
    </row>
    <row r="7" spans="1:61" s="3" customFormat="1" ht="21.75" customHeight="1" x14ac:dyDescent="0.3">
      <c r="A7" s="68" t="s">
        <v>130</v>
      </c>
      <c r="B7" s="5"/>
      <c r="C7" s="5"/>
      <c r="D7" s="233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1"/>
      <c r="AC7" s="381" t="s">
        <v>211</v>
      </c>
      <c r="AD7" s="84" t="s">
        <v>211</v>
      </c>
      <c r="AE7" s="11"/>
      <c r="AF7" s="12"/>
      <c r="AH7" s="12"/>
      <c r="AI7" s="12"/>
      <c r="AJ7" s="12"/>
      <c r="AK7" s="12"/>
      <c r="AL7" s="12"/>
      <c r="AM7" s="12" t="s">
        <v>131</v>
      </c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BA7" s="475" t="s">
        <v>180</v>
      </c>
      <c r="BB7" s="467"/>
      <c r="BC7" s="467"/>
      <c r="BD7" s="467"/>
      <c r="BE7" s="467"/>
      <c r="BF7" s="467"/>
      <c r="BG7" s="467"/>
      <c r="BH7" s="467"/>
      <c r="BI7" s="469"/>
    </row>
    <row r="8" spans="1:61" s="3" customFormat="1" x14ac:dyDescent="0.3">
      <c r="A8" s="21" t="s">
        <v>132</v>
      </c>
      <c r="B8" s="6">
        <v>300</v>
      </c>
      <c r="C8" s="82">
        <v>187.12</v>
      </c>
      <c r="D8" s="234">
        <v>300</v>
      </c>
      <c r="E8" s="11"/>
      <c r="F8" s="39">
        <f>440+AW8</f>
        <v>740</v>
      </c>
      <c r="G8" s="39">
        <v>600</v>
      </c>
      <c r="H8" s="39">
        <v>600</v>
      </c>
      <c r="I8" s="39">
        <v>520</v>
      </c>
      <c r="J8" s="39">
        <v>500</v>
      </c>
      <c r="K8" s="39">
        <v>440</v>
      </c>
      <c r="L8" s="39">
        <v>380</v>
      </c>
      <c r="M8" s="39">
        <f>320+AQ8</f>
        <v>620</v>
      </c>
      <c r="N8" s="39">
        <v>580</v>
      </c>
      <c r="O8" s="39">
        <v>480</v>
      </c>
      <c r="P8" s="39">
        <v>420</v>
      </c>
      <c r="Q8" s="39">
        <v>360</v>
      </c>
      <c r="R8" s="39">
        <f>300+AN8</f>
        <v>600</v>
      </c>
      <c r="S8" s="39">
        <v>220</v>
      </c>
      <c r="T8" s="39">
        <f>160+AK8</f>
        <v>460</v>
      </c>
      <c r="U8" s="39">
        <v>700</v>
      </c>
      <c r="V8" s="39">
        <v>620</v>
      </c>
      <c r="W8" s="39">
        <v>480</v>
      </c>
      <c r="X8" s="39">
        <v>400</v>
      </c>
      <c r="Y8" s="39">
        <f>360+AI8</f>
        <v>660</v>
      </c>
      <c r="Z8" s="39">
        <f>320+AI8</f>
        <v>620</v>
      </c>
      <c r="AA8" s="372">
        <f ca="1">Y8+IF(NOT(ISBLANK(OFFSET(AA8,0,6))),N(OFFSET(AA8,0,6)),N(OFFSET(AA8,0,7)))-Z8</f>
        <v>40</v>
      </c>
      <c r="AB8" s="11"/>
      <c r="AC8" s="78"/>
      <c r="AD8" s="78"/>
      <c r="AE8" s="11"/>
      <c r="AF8" s="32"/>
      <c r="AH8" s="19">
        <v>0</v>
      </c>
      <c r="AI8" s="19">
        <v>300</v>
      </c>
      <c r="AJ8" s="19"/>
      <c r="AK8" s="19">
        <v>300</v>
      </c>
      <c r="AL8" s="19"/>
      <c r="AM8" s="19"/>
      <c r="AN8" s="19">
        <v>300</v>
      </c>
      <c r="AO8" s="19"/>
      <c r="AP8" s="19"/>
      <c r="AQ8" s="19">
        <v>300</v>
      </c>
      <c r="AR8" s="19"/>
      <c r="AS8" s="19"/>
      <c r="AT8" s="19"/>
      <c r="AU8" s="19"/>
      <c r="AV8" s="19"/>
      <c r="AW8" s="19">
        <v>300</v>
      </c>
      <c r="AX8" s="19">
        <v>300</v>
      </c>
      <c r="AY8" s="19">
        <v>300</v>
      </c>
      <c r="BA8" s="389" t="s">
        <v>130</v>
      </c>
      <c r="BB8" s="376" t="s">
        <v>123</v>
      </c>
      <c r="BC8" s="13">
        <v>46118</v>
      </c>
      <c r="BD8" s="13">
        <v>46125</v>
      </c>
      <c r="BE8" s="13">
        <v>46132</v>
      </c>
      <c r="BF8" s="13">
        <v>46139</v>
      </c>
      <c r="BG8" s="13">
        <v>46146</v>
      </c>
      <c r="BH8" s="13">
        <v>46154</v>
      </c>
      <c r="BI8" s="35" t="s">
        <v>129</v>
      </c>
    </row>
    <row r="9" spans="1:61" s="3" customFormat="1" ht="18.75" customHeight="1" x14ac:dyDescent="0.3">
      <c r="A9" s="21" t="s">
        <v>134</v>
      </c>
      <c r="B9" s="6">
        <v>200</v>
      </c>
      <c r="C9" s="82">
        <v>193.08</v>
      </c>
      <c r="D9" s="234">
        <v>700</v>
      </c>
      <c r="E9" s="11"/>
      <c r="F9" s="39">
        <f>180+AW9</f>
        <v>980</v>
      </c>
      <c r="G9" s="39">
        <v>320</v>
      </c>
      <c r="H9" s="39">
        <v>100</v>
      </c>
      <c r="I9" s="39">
        <v>920</v>
      </c>
      <c r="J9" s="39">
        <v>980</v>
      </c>
      <c r="K9" s="39">
        <v>740</v>
      </c>
      <c r="L9" s="39">
        <v>980</v>
      </c>
      <c r="M9" s="39">
        <f>800+AQ9</f>
        <v>1000</v>
      </c>
      <c r="N9" s="39">
        <v>760</v>
      </c>
      <c r="O9" s="39">
        <v>620</v>
      </c>
      <c r="P9" s="39">
        <v>620</v>
      </c>
      <c r="Q9" s="39">
        <f>400+AO9</f>
        <v>800</v>
      </c>
      <c r="R9" s="39">
        <v>560</v>
      </c>
      <c r="S9" s="39">
        <f>420+AL9</f>
        <v>620</v>
      </c>
      <c r="T9" s="39">
        <v>400</v>
      </c>
      <c r="U9" s="39">
        <v>240</v>
      </c>
      <c r="V9" s="39">
        <f>100+AG9</f>
        <v>100</v>
      </c>
      <c r="W9" s="39">
        <v>500</v>
      </c>
      <c r="X9" s="39">
        <v>500</v>
      </c>
      <c r="Y9" s="39">
        <f>480+AI9</f>
        <v>680</v>
      </c>
      <c r="Z9" s="39">
        <f>480+AI9</f>
        <v>680</v>
      </c>
      <c r="AA9" s="372">
        <f ca="1">Y9+IF(NOT(ISBLANK(OFFSET(AA9,0,6))),N(OFFSET(AA9,0,6)),N(OFFSET(AA9,0,7)))-Z9</f>
        <v>0</v>
      </c>
      <c r="AB9" s="11"/>
      <c r="AC9" s="78">
        <v>200</v>
      </c>
      <c r="AD9" s="78"/>
      <c r="AE9" s="11"/>
      <c r="AF9" s="32"/>
      <c r="AH9" s="296">
        <v>0</v>
      </c>
      <c r="AI9" s="296">
        <v>200</v>
      </c>
      <c r="AJ9" s="19">
        <v>400</v>
      </c>
      <c r="AK9" s="19"/>
      <c r="AL9" s="19">
        <v>200</v>
      </c>
      <c r="AM9" s="117">
        <v>1400</v>
      </c>
      <c r="AN9" s="19"/>
      <c r="AO9" s="19">
        <v>400</v>
      </c>
      <c r="AP9" s="19">
        <v>200</v>
      </c>
      <c r="AQ9" s="19">
        <v>200</v>
      </c>
      <c r="AR9" s="19">
        <v>400</v>
      </c>
      <c r="AS9" s="19"/>
      <c r="AT9" s="19">
        <v>200</v>
      </c>
      <c r="AU9" s="19">
        <v>200</v>
      </c>
      <c r="AV9" s="19">
        <v>800</v>
      </c>
      <c r="AW9" s="19">
        <v>800</v>
      </c>
      <c r="AX9" s="19">
        <v>400</v>
      </c>
      <c r="AY9" s="19"/>
      <c r="BA9" s="364" t="s">
        <v>136</v>
      </c>
      <c r="BB9" s="135">
        <v>200</v>
      </c>
      <c r="BC9" s="39">
        <f>AM9</f>
        <v>1400</v>
      </c>
      <c r="BD9" s="39">
        <v>1380</v>
      </c>
      <c r="BE9" s="39">
        <v>1220</v>
      </c>
      <c r="BF9" s="39">
        <v>1040</v>
      </c>
      <c r="BG9" s="39">
        <v>840</v>
      </c>
      <c r="BH9" s="39">
        <v>480</v>
      </c>
      <c r="BI9" s="26">
        <f ca="1">BG9+IF(NOT(ISBLANK(OFFSET(BI9,0,6))),N(OFFSET(BI9,0,6)),N(OFFSET(BI9,0,7)))-BH9</f>
        <v>360</v>
      </c>
    </row>
    <row r="10" spans="1:61" s="3" customFormat="1" x14ac:dyDescent="0.3">
      <c r="A10" s="21" t="s">
        <v>137</v>
      </c>
      <c r="B10" s="6">
        <v>200</v>
      </c>
      <c r="C10" s="82">
        <v>253.83</v>
      </c>
      <c r="D10" s="234">
        <v>350</v>
      </c>
      <c r="E10" s="11"/>
      <c r="F10" s="39">
        <f>120+AW10</f>
        <v>720</v>
      </c>
      <c r="G10" s="39">
        <v>580</v>
      </c>
      <c r="H10" s="39">
        <v>420</v>
      </c>
      <c r="I10" s="39">
        <v>800</v>
      </c>
      <c r="J10" s="39">
        <v>800</v>
      </c>
      <c r="K10" s="39">
        <v>720</v>
      </c>
      <c r="L10" s="39">
        <v>680</v>
      </c>
      <c r="M10" s="39">
        <v>600</v>
      </c>
      <c r="N10" s="39">
        <v>500</v>
      </c>
      <c r="O10" s="39">
        <v>440</v>
      </c>
      <c r="P10" s="39">
        <v>380</v>
      </c>
      <c r="Q10" s="39">
        <v>300</v>
      </c>
      <c r="R10" s="39">
        <f>220+AN10</f>
        <v>420</v>
      </c>
      <c r="S10" s="39">
        <v>140</v>
      </c>
      <c r="T10" s="39">
        <f>60+AK10</f>
        <v>260</v>
      </c>
      <c r="U10" s="39">
        <v>200</v>
      </c>
      <c r="V10" s="39">
        <f>300+AG10</f>
        <v>300</v>
      </c>
      <c r="W10" s="39">
        <v>500</v>
      </c>
      <c r="X10" s="39">
        <v>500</v>
      </c>
      <c r="Y10" s="39">
        <v>500</v>
      </c>
      <c r="Z10" s="39">
        <v>480</v>
      </c>
      <c r="AA10" s="372">
        <f ca="1">Y10+IF(NOT(ISBLANK(OFFSET(AA10,0,6))),N(OFFSET(AA10,0,6)),N(OFFSET(AA10,0,7)))-Z10</f>
        <v>20</v>
      </c>
      <c r="AB10" s="11"/>
      <c r="AC10" s="78"/>
      <c r="AD10" s="78"/>
      <c r="AE10" s="11"/>
      <c r="AF10" s="32"/>
      <c r="AH10" s="296">
        <v>0</v>
      </c>
      <c r="AI10" s="296">
        <v>0</v>
      </c>
      <c r="AJ10" s="19">
        <v>200</v>
      </c>
      <c r="AK10" s="19">
        <v>200</v>
      </c>
      <c r="AL10" s="19"/>
      <c r="AM10" s="117">
        <v>800</v>
      </c>
      <c r="AN10" s="19">
        <v>200</v>
      </c>
      <c r="AO10" s="19"/>
      <c r="AP10" s="19"/>
      <c r="AQ10" s="19"/>
      <c r="AR10" s="19"/>
      <c r="AS10" s="19"/>
      <c r="AT10" s="19"/>
      <c r="AU10" s="19"/>
      <c r="AV10" s="19">
        <v>400</v>
      </c>
      <c r="AW10" s="19">
        <v>600</v>
      </c>
      <c r="AX10" s="19">
        <v>200</v>
      </c>
      <c r="AY10" s="19"/>
      <c r="BA10" s="21" t="s">
        <v>138</v>
      </c>
      <c r="BB10" s="6">
        <v>200</v>
      </c>
      <c r="BC10" s="39">
        <f>AM10</f>
        <v>800</v>
      </c>
      <c r="BD10" s="39">
        <v>760</v>
      </c>
      <c r="BE10" s="39">
        <v>700</v>
      </c>
      <c r="BF10" s="39">
        <v>540</v>
      </c>
      <c r="BG10" s="39">
        <v>440</v>
      </c>
      <c r="BH10" s="39">
        <v>0</v>
      </c>
      <c r="BI10" s="26">
        <f ca="1">BG10+IF(NOT(ISBLANK(OFFSET(BI10,0,6))),N(OFFSET(BI10,0,6)),N(OFFSET(BI10,0,7)))-BH10</f>
        <v>440</v>
      </c>
    </row>
    <row r="11" spans="1:61" s="3" customFormat="1" x14ac:dyDescent="0.3">
      <c r="A11" s="22" t="s">
        <v>139</v>
      </c>
      <c r="B11" s="6">
        <v>100</v>
      </c>
      <c r="C11" s="82">
        <v>184.57</v>
      </c>
      <c r="D11" s="234">
        <v>50</v>
      </c>
      <c r="E11" s="11"/>
      <c r="F11" s="39">
        <v>100</v>
      </c>
      <c r="G11" s="39">
        <v>60</v>
      </c>
      <c r="H11" s="39">
        <v>60</v>
      </c>
      <c r="I11" s="39">
        <v>100</v>
      </c>
      <c r="J11" s="39">
        <v>80</v>
      </c>
      <c r="K11" s="39">
        <v>60</v>
      </c>
      <c r="L11" s="39">
        <v>40</v>
      </c>
      <c r="M11" s="39">
        <f>20+AQ11</f>
        <v>120</v>
      </c>
      <c r="N11" s="39">
        <v>120</v>
      </c>
      <c r="O11" s="39">
        <v>100</v>
      </c>
      <c r="P11" s="39">
        <v>100</v>
      </c>
      <c r="Q11" s="39">
        <v>60</v>
      </c>
      <c r="R11" s="39">
        <f>40+AN11</f>
        <v>140</v>
      </c>
      <c r="S11" s="39">
        <v>40</v>
      </c>
      <c r="T11" s="39">
        <f>40+AK11</f>
        <v>140</v>
      </c>
      <c r="U11" s="39">
        <v>220</v>
      </c>
      <c r="V11" s="39">
        <v>220</v>
      </c>
      <c r="W11" s="39">
        <v>220</v>
      </c>
      <c r="X11" s="39">
        <v>220</v>
      </c>
      <c r="Y11" s="39">
        <v>220</v>
      </c>
      <c r="Z11" s="39">
        <v>120</v>
      </c>
      <c r="AA11" s="372">
        <f ca="1">Y11+IF(NOT(ISBLANK(OFFSET(AA11,0,6))),N(OFFSET(AA11,0,6)),N(OFFSET(AA11,0,7)))-Z11</f>
        <v>100</v>
      </c>
      <c r="AB11" s="11"/>
      <c r="AC11" s="78"/>
      <c r="AD11" s="78"/>
      <c r="AE11" s="11"/>
      <c r="AF11" s="32"/>
      <c r="AH11" s="296">
        <v>0</v>
      </c>
      <c r="AI11" s="296">
        <v>0</v>
      </c>
      <c r="AJ11" s="19"/>
      <c r="AK11" s="19">
        <v>100</v>
      </c>
      <c r="AL11" s="19"/>
      <c r="AM11" s="117">
        <v>100</v>
      </c>
      <c r="AN11" s="19">
        <v>100</v>
      </c>
      <c r="AO11" s="19"/>
      <c r="AP11" s="19"/>
      <c r="AQ11" s="19">
        <v>100</v>
      </c>
      <c r="AR11" s="19"/>
      <c r="AS11" s="19"/>
      <c r="AT11" s="19"/>
      <c r="AU11" s="19">
        <v>100</v>
      </c>
      <c r="AV11" s="19"/>
      <c r="AW11" s="19"/>
      <c r="AX11" s="19"/>
      <c r="AY11" s="19"/>
      <c r="BA11" s="22" t="s">
        <v>140</v>
      </c>
      <c r="BB11" s="6">
        <v>100</v>
      </c>
      <c r="BC11" s="39">
        <f>AM11</f>
        <v>100</v>
      </c>
      <c r="BD11" s="39">
        <v>80</v>
      </c>
      <c r="BE11" s="39">
        <v>80</v>
      </c>
      <c r="BF11" s="39">
        <v>40</v>
      </c>
      <c r="BG11" s="39">
        <v>0</v>
      </c>
      <c r="BH11" s="39">
        <v>0</v>
      </c>
      <c r="BI11" s="26">
        <f ca="1">BG11+IF(NOT(ISBLANK(OFFSET(BI11,0,6))),N(OFFSET(BI11,0,6)),N(OFFSET(BI11,0,7)))-BH11</f>
        <v>0</v>
      </c>
    </row>
    <row r="12" spans="1:61" s="3" customFormat="1" ht="16.5" customHeight="1" x14ac:dyDescent="0.3">
      <c r="A12" s="23"/>
      <c r="B12" s="1"/>
      <c r="C12" s="64"/>
      <c r="D12" s="235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11"/>
      <c r="AC12" s="342"/>
      <c r="AD12" s="342"/>
      <c r="AE12" s="11"/>
      <c r="AF12" s="73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BA12" s="23"/>
      <c r="BB12" s="1"/>
      <c r="BC12" s="2"/>
      <c r="BD12" s="2"/>
      <c r="BE12" s="2"/>
      <c r="BF12" s="2"/>
      <c r="BG12" s="2"/>
      <c r="BH12" s="2"/>
    </row>
    <row r="13" spans="1:61" s="3" customFormat="1" x14ac:dyDescent="0.3">
      <c r="A13" s="69" t="s">
        <v>141</v>
      </c>
      <c r="B13" s="360"/>
      <c r="C13" s="65"/>
      <c r="D13" s="395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35" t="s">
        <v>129</v>
      </c>
      <c r="AB13" s="7"/>
      <c r="AC13" s="29" t="s">
        <v>126</v>
      </c>
      <c r="AD13" s="29" t="s">
        <v>126</v>
      </c>
      <c r="AE13" s="11"/>
      <c r="AF13" s="9" t="s">
        <v>127</v>
      </c>
      <c r="AH13" s="363"/>
      <c r="AI13" s="363">
        <v>46142</v>
      </c>
      <c r="AJ13" s="363">
        <v>46114</v>
      </c>
      <c r="AK13" s="363">
        <v>46107</v>
      </c>
      <c r="AL13" s="363">
        <v>46099</v>
      </c>
      <c r="AM13" s="409">
        <v>46065</v>
      </c>
      <c r="AN13" s="363">
        <v>46092</v>
      </c>
      <c r="AO13" s="363">
        <v>46084</v>
      </c>
      <c r="AP13" s="363">
        <v>46071</v>
      </c>
      <c r="AQ13" s="363">
        <v>46056</v>
      </c>
      <c r="AR13" s="363">
        <v>46048</v>
      </c>
      <c r="AS13" s="363">
        <v>46043</v>
      </c>
      <c r="AT13" s="363">
        <v>46035</v>
      </c>
      <c r="AU13" s="363">
        <v>46024</v>
      </c>
      <c r="AV13" s="363">
        <v>46017</v>
      </c>
      <c r="AW13" s="363">
        <v>46007</v>
      </c>
      <c r="AX13" s="363">
        <v>46001</v>
      </c>
      <c r="AY13" s="363">
        <v>45994</v>
      </c>
      <c r="BA13" s="389" t="s">
        <v>141</v>
      </c>
      <c r="BB13" s="376" t="s">
        <v>123</v>
      </c>
      <c r="BC13" s="13">
        <v>46118</v>
      </c>
      <c r="BD13" s="13">
        <v>46125</v>
      </c>
      <c r="BE13" s="13">
        <v>46132</v>
      </c>
      <c r="BF13" s="13">
        <v>46139</v>
      </c>
      <c r="BG13" s="13">
        <v>46146</v>
      </c>
      <c r="BH13" s="13">
        <v>46154</v>
      </c>
      <c r="BI13" s="35" t="s">
        <v>129</v>
      </c>
    </row>
    <row r="14" spans="1:61" s="3" customFormat="1" x14ac:dyDescent="0.3">
      <c r="A14" s="25" t="s">
        <v>142</v>
      </c>
      <c r="B14" s="6">
        <v>200</v>
      </c>
      <c r="C14" s="66">
        <v>38</v>
      </c>
      <c r="D14" s="234">
        <v>3</v>
      </c>
      <c r="E14" s="7"/>
      <c r="F14" s="39">
        <f>3+AW14</f>
        <v>6</v>
      </c>
      <c r="G14" s="39">
        <v>2</v>
      </c>
      <c r="H14" s="39">
        <v>0</v>
      </c>
      <c r="I14" s="39">
        <v>7</v>
      </c>
      <c r="J14" s="39">
        <v>9</v>
      </c>
      <c r="K14" s="39">
        <v>6</v>
      </c>
      <c r="L14" s="39">
        <v>11</v>
      </c>
      <c r="M14" s="39">
        <v>10</v>
      </c>
      <c r="N14" s="39">
        <v>8</v>
      </c>
      <c r="O14" s="39">
        <v>7</v>
      </c>
      <c r="P14" s="39">
        <v>9</v>
      </c>
      <c r="Q14" s="39">
        <v>7</v>
      </c>
      <c r="R14" s="39">
        <v>5</v>
      </c>
      <c r="S14" s="39">
        <f>4+AL14</f>
        <v>7</v>
      </c>
      <c r="T14" s="39">
        <v>5</v>
      </c>
      <c r="U14" s="39">
        <v>3</v>
      </c>
      <c r="V14" s="39">
        <f>2+AG14</f>
        <v>2</v>
      </c>
      <c r="W14" s="39">
        <v>4</v>
      </c>
      <c r="X14" s="39">
        <v>3</v>
      </c>
      <c r="Y14" s="39">
        <f>3+AI14</f>
        <v>9</v>
      </c>
      <c r="Z14" s="39">
        <f>1+AI14</f>
        <v>7</v>
      </c>
      <c r="AA14" s="372">
        <f ca="1">Y14+IF(NOT(ISBLANK(OFFSET(AA14,0,6))),N(OFFSET(AA14,0,6)),N(OFFSET(AA14,0,7)))-Z14</f>
        <v>2</v>
      </c>
      <c r="AB14" s="7"/>
      <c r="AC14" s="78"/>
      <c r="AD14" s="78"/>
      <c r="AE14" s="11"/>
      <c r="AF14" s="32"/>
      <c r="AH14" s="296">
        <v>0</v>
      </c>
      <c r="AI14" s="296">
        <v>6</v>
      </c>
      <c r="AJ14" s="19">
        <v>3</v>
      </c>
      <c r="AK14" s="19"/>
      <c r="AL14" s="19">
        <v>3</v>
      </c>
      <c r="AM14" s="117">
        <v>7</v>
      </c>
      <c r="AN14" s="19"/>
      <c r="AO14" s="19"/>
      <c r="AP14" s="19">
        <v>2</v>
      </c>
      <c r="AQ14" s="19"/>
      <c r="AR14" s="19">
        <v>5</v>
      </c>
      <c r="AS14" s="19"/>
      <c r="AT14" s="19">
        <v>2</v>
      </c>
      <c r="AU14" s="19"/>
      <c r="AV14" s="19">
        <v>8</v>
      </c>
      <c r="AW14" s="19">
        <v>3</v>
      </c>
      <c r="AX14" s="19"/>
      <c r="AY14" s="19"/>
      <c r="BA14" s="364" t="s">
        <v>143</v>
      </c>
      <c r="BB14" s="135">
        <v>200</v>
      </c>
      <c r="BC14" s="39">
        <f>AM14</f>
        <v>7</v>
      </c>
      <c r="BD14" s="39">
        <v>6</v>
      </c>
      <c r="BE14" s="39">
        <v>6</v>
      </c>
      <c r="BF14" s="39">
        <v>4</v>
      </c>
      <c r="BG14" s="39">
        <v>3</v>
      </c>
      <c r="BH14" s="39">
        <v>0</v>
      </c>
      <c r="BI14" s="26">
        <f ca="1">BG14+IF(NOT(ISBLANK(OFFSET(BI14,0,6))),N(OFFSET(BI14,0,6)),N(OFFSET(BI14,0,7)))-BH14</f>
        <v>3</v>
      </c>
    </row>
    <row r="15" spans="1:61" s="3" customFormat="1" x14ac:dyDescent="0.3">
      <c r="A15" s="25" t="s">
        <v>144</v>
      </c>
      <c r="B15" s="6">
        <v>200</v>
      </c>
      <c r="C15" s="66">
        <v>18</v>
      </c>
      <c r="D15" s="234">
        <v>2</v>
      </c>
      <c r="E15" s="7"/>
      <c r="F15" s="39">
        <f>2+AW15</f>
        <v>5</v>
      </c>
      <c r="G15" s="39">
        <v>4</v>
      </c>
      <c r="H15" s="39">
        <v>4</v>
      </c>
      <c r="I15" s="39">
        <v>6</v>
      </c>
      <c r="J15" s="39">
        <v>6</v>
      </c>
      <c r="K15" s="39">
        <v>6</v>
      </c>
      <c r="L15" s="39">
        <v>6</v>
      </c>
      <c r="M15" s="39">
        <v>6</v>
      </c>
      <c r="N15" s="39">
        <v>6</v>
      </c>
      <c r="O15" s="39">
        <v>6</v>
      </c>
      <c r="P15" s="39">
        <v>6</v>
      </c>
      <c r="Q15" s="39">
        <v>6</v>
      </c>
      <c r="R15" s="39">
        <v>6</v>
      </c>
      <c r="S15" s="39">
        <v>6</v>
      </c>
      <c r="T15" s="39">
        <v>6</v>
      </c>
      <c r="U15" s="39">
        <v>6</v>
      </c>
      <c r="V15" s="39">
        <v>6</v>
      </c>
      <c r="W15" s="39">
        <v>6</v>
      </c>
      <c r="X15" s="39">
        <v>6</v>
      </c>
      <c r="Y15" s="39">
        <v>6</v>
      </c>
      <c r="Z15" s="39">
        <v>4</v>
      </c>
      <c r="AA15" s="372">
        <f ca="1">Y15+IF(NOT(ISBLANK(OFFSET(AA15,0,6))),N(OFFSET(AA15,0,6)),N(OFFSET(AA15,0,7)))-Z15</f>
        <v>2</v>
      </c>
      <c r="AB15" s="7"/>
      <c r="AC15" s="78"/>
      <c r="AD15" s="78">
        <v>1</v>
      </c>
      <c r="AE15" s="7"/>
      <c r="AF15" s="32"/>
      <c r="AH15" s="296">
        <v>0</v>
      </c>
      <c r="AI15" s="296">
        <v>0</v>
      </c>
      <c r="AJ15" s="19"/>
      <c r="AK15" s="19"/>
      <c r="AL15" s="19"/>
      <c r="AM15" s="117">
        <v>3</v>
      </c>
      <c r="AN15" s="19"/>
      <c r="AO15" s="19"/>
      <c r="AP15" s="19"/>
      <c r="AQ15" s="19"/>
      <c r="AR15" s="19"/>
      <c r="AS15" s="19"/>
      <c r="AT15" s="19"/>
      <c r="AU15" s="19"/>
      <c r="AV15" s="19">
        <v>2</v>
      </c>
      <c r="AW15" s="19">
        <v>3</v>
      </c>
      <c r="AX15" s="19">
        <v>2</v>
      </c>
      <c r="AY15" s="19"/>
      <c r="BA15" s="21" t="s">
        <v>146</v>
      </c>
      <c r="BB15" s="6">
        <v>200</v>
      </c>
      <c r="BC15" s="39">
        <f>AM15</f>
        <v>3</v>
      </c>
      <c r="BD15" s="39">
        <v>2</v>
      </c>
      <c r="BE15" s="39">
        <v>2</v>
      </c>
      <c r="BF15" s="39">
        <v>0</v>
      </c>
      <c r="BG15" s="39">
        <v>0</v>
      </c>
      <c r="BH15" s="39">
        <v>0</v>
      </c>
      <c r="BI15" s="26">
        <f ca="1">BG15+IF(NOT(ISBLANK(OFFSET(BI15,0,6))),N(OFFSET(BI15,0,6)),N(OFFSET(BI15,0,7)))-BH15</f>
        <v>0</v>
      </c>
    </row>
    <row r="16" spans="1:61" s="3" customFormat="1" x14ac:dyDescent="0.25">
      <c r="A16" s="25" t="s">
        <v>147</v>
      </c>
      <c r="B16" s="6">
        <v>200</v>
      </c>
      <c r="C16" s="66">
        <v>10.28</v>
      </c>
      <c r="D16" s="234">
        <v>3</v>
      </c>
      <c r="E16" s="1"/>
      <c r="F16" s="39">
        <f>2+AW16</f>
        <v>6</v>
      </c>
      <c r="G16" s="39">
        <v>4</v>
      </c>
      <c r="H16" s="39">
        <v>4</v>
      </c>
      <c r="I16" s="39">
        <v>7</v>
      </c>
      <c r="J16" s="39">
        <v>7</v>
      </c>
      <c r="K16" s="39">
        <v>6</v>
      </c>
      <c r="L16" s="39">
        <v>6</v>
      </c>
      <c r="M16" s="39">
        <v>5</v>
      </c>
      <c r="N16" s="39">
        <v>5</v>
      </c>
      <c r="O16" s="39">
        <v>4</v>
      </c>
      <c r="P16" s="39">
        <v>3</v>
      </c>
      <c r="Q16" s="39">
        <v>3</v>
      </c>
      <c r="R16" s="39">
        <v>2</v>
      </c>
      <c r="S16" s="39">
        <f>1+AL16</f>
        <v>3</v>
      </c>
      <c r="T16" s="39">
        <v>2</v>
      </c>
      <c r="U16" s="39">
        <v>2</v>
      </c>
      <c r="V16" s="39">
        <f>1+AG16</f>
        <v>1</v>
      </c>
      <c r="W16" s="39">
        <v>3</v>
      </c>
      <c r="X16" s="39">
        <v>3</v>
      </c>
      <c r="Y16" s="39">
        <f>3+AI16</f>
        <v>5</v>
      </c>
      <c r="Z16" s="39">
        <f>0+AI16</f>
        <v>2</v>
      </c>
      <c r="AA16" s="372">
        <f ca="1">Y16+IF(NOT(ISBLANK(OFFSET(AA16,0,6))),N(OFFSET(AA16,0,6)),N(OFFSET(AA16,0,7)))-Z16</f>
        <v>3</v>
      </c>
      <c r="AB16" s="1"/>
      <c r="AC16" s="78"/>
      <c r="AD16" s="78"/>
      <c r="AE16" s="1"/>
      <c r="AF16" s="32"/>
      <c r="AH16" s="19">
        <v>0</v>
      </c>
      <c r="AI16" s="19">
        <v>2</v>
      </c>
      <c r="AJ16" s="19">
        <v>2</v>
      </c>
      <c r="AK16" s="19"/>
      <c r="AL16" s="19">
        <v>2</v>
      </c>
      <c r="AM16" s="19"/>
      <c r="AN16" s="19"/>
      <c r="AO16" s="19"/>
      <c r="AP16" s="19"/>
      <c r="AQ16" s="19"/>
      <c r="AR16" s="19"/>
      <c r="AS16" s="19"/>
      <c r="AT16" s="19"/>
      <c r="AU16" s="19"/>
      <c r="AV16" s="19">
        <v>3</v>
      </c>
      <c r="AW16" s="19">
        <v>4</v>
      </c>
      <c r="AX16" s="19"/>
      <c r="AY16" s="19">
        <v>1</v>
      </c>
    </row>
    <row r="17" spans="1:61" s="3" customFormat="1" x14ac:dyDescent="0.25">
      <c r="A17" s="25" t="s">
        <v>148</v>
      </c>
      <c r="B17" s="6">
        <v>3000</v>
      </c>
      <c r="C17" s="66">
        <v>71.8</v>
      </c>
      <c r="D17" s="234">
        <v>2</v>
      </c>
      <c r="E17" s="1"/>
      <c r="F17" s="39">
        <f>3+AW17</f>
        <v>5</v>
      </c>
      <c r="G17" s="39">
        <v>3</v>
      </c>
      <c r="H17" s="39">
        <v>3</v>
      </c>
      <c r="I17" s="39">
        <v>5</v>
      </c>
      <c r="J17" s="39">
        <v>5</v>
      </c>
      <c r="K17" s="39">
        <v>4</v>
      </c>
      <c r="L17" s="39">
        <v>4</v>
      </c>
      <c r="M17" s="39">
        <v>3</v>
      </c>
      <c r="N17" s="39">
        <v>3</v>
      </c>
      <c r="O17" s="39">
        <v>2</v>
      </c>
      <c r="P17" s="39">
        <v>2</v>
      </c>
      <c r="Q17" s="39">
        <v>2</v>
      </c>
      <c r="R17" s="39">
        <v>1</v>
      </c>
      <c r="S17" s="39">
        <v>1</v>
      </c>
      <c r="T17" s="39">
        <v>1</v>
      </c>
      <c r="U17" s="39">
        <v>0</v>
      </c>
      <c r="V17" s="39">
        <v>1</v>
      </c>
      <c r="W17" s="39">
        <v>1</v>
      </c>
      <c r="X17" s="39">
        <v>1</v>
      </c>
      <c r="Y17" s="39">
        <f>0+AI17</f>
        <v>2</v>
      </c>
      <c r="Z17" s="39">
        <f>0+AI17</f>
        <v>2</v>
      </c>
      <c r="AA17" s="372">
        <f ca="1">Y17+IF(NOT(ISBLANK(OFFSET(AA17,0,6))),N(OFFSET(AA17,0,6)),N(OFFSET(AA17,0,7)))-Z17</f>
        <v>0</v>
      </c>
      <c r="AB17" s="1"/>
      <c r="AC17" s="78"/>
      <c r="AD17" s="78"/>
      <c r="AE17" s="1"/>
      <c r="AF17" s="32"/>
      <c r="AH17" s="19">
        <v>0</v>
      </c>
      <c r="AI17" s="19">
        <v>2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>
        <v>2</v>
      </c>
      <c r="AV17" s="19"/>
      <c r="AW17" s="19">
        <v>2</v>
      </c>
      <c r="AX17" s="19">
        <v>1</v>
      </c>
      <c r="AY17" s="19">
        <v>3</v>
      </c>
    </row>
    <row r="18" spans="1:61" s="3" customFormat="1" ht="19.5" customHeight="1" x14ac:dyDescent="0.25">
      <c r="D18" s="235"/>
      <c r="AC18" s="390"/>
      <c r="AD18" s="390"/>
      <c r="AF18" s="344"/>
      <c r="AH18" s="388"/>
      <c r="AI18" s="388"/>
      <c r="AJ18" s="388"/>
      <c r="AK18" s="388"/>
      <c r="AL18" s="388"/>
      <c r="AM18" s="388"/>
      <c r="AN18" s="388"/>
      <c r="AO18" s="388"/>
      <c r="AP18" s="388"/>
      <c r="AQ18" s="388"/>
      <c r="AR18" s="388"/>
      <c r="AS18" s="388"/>
      <c r="AT18" s="388"/>
      <c r="AU18" s="388"/>
      <c r="AV18" s="388"/>
      <c r="AW18" s="388"/>
      <c r="AX18" s="388"/>
      <c r="AY18" s="388"/>
    </row>
    <row r="19" spans="1:61" s="3" customFormat="1" x14ac:dyDescent="0.3">
      <c r="A19" s="24" t="s">
        <v>150</v>
      </c>
      <c r="B19" s="12" t="s">
        <v>151</v>
      </c>
      <c r="C19" s="65" t="s">
        <v>152</v>
      </c>
      <c r="D19" s="395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35" t="s">
        <v>129</v>
      </c>
      <c r="AB19" s="11"/>
      <c r="AC19" s="29" t="s">
        <v>126</v>
      </c>
      <c r="AD19" s="29" t="s">
        <v>126</v>
      </c>
      <c r="AE19" s="11"/>
      <c r="AF19" s="9" t="s">
        <v>127</v>
      </c>
      <c r="AH19" s="363"/>
      <c r="AI19" s="363">
        <v>46142</v>
      </c>
      <c r="AJ19" s="363">
        <v>46114</v>
      </c>
      <c r="AK19" s="363">
        <v>46107</v>
      </c>
      <c r="AL19" s="363">
        <v>46099</v>
      </c>
      <c r="AM19" s="409">
        <v>46065</v>
      </c>
      <c r="AN19" s="363">
        <v>46092</v>
      </c>
      <c r="AO19" s="363">
        <v>46084</v>
      </c>
      <c r="AP19" s="363">
        <v>46071</v>
      </c>
      <c r="AQ19" s="363">
        <v>46056</v>
      </c>
      <c r="AR19" s="363">
        <v>46048</v>
      </c>
      <c r="AS19" s="363">
        <v>46043</v>
      </c>
      <c r="AT19" s="363">
        <v>46035</v>
      </c>
      <c r="AU19" s="363">
        <v>46024</v>
      </c>
      <c r="AV19" s="363">
        <v>46017</v>
      </c>
      <c r="AW19" s="363">
        <v>46007</v>
      </c>
      <c r="AX19" s="363">
        <v>46001</v>
      </c>
      <c r="AY19" s="363">
        <v>45994</v>
      </c>
      <c r="BA19" s="389" t="s">
        <v>150</v>
      </c>
      <c r="BB19" s="376" t="s">
        <v>123</v>
      </c>
      <c r="BC19" s="13">
        <v>46118</v>
      </c>
      <c r="BD19" s="13">
        <v>46125</v>
      </c>
      <c r="BE19" s="13">
        <v>46132</v>
      </c>
      <c r="BF19" s="13">
        <v>46139</v>
      </c>
      <c r="BG19" s="13">
        <v>46146</v>
      </c>
      <c r="BH19" s="13">
        <v>46154</v>
      </c>
      <c r="BI19" s="35" t="s">
        <v>129</v>
      </c>
    </row>
    <row r="20" spans="1:61" s="3" customFormat="1" x14ac:dyDescent="0.3">
      <c r="A20" s="25" t="s">
        <v>153</v>
      </c>
      <c r="B20" s="6">
        <v>150</v>
      </c>
      <c r="C20" s="82">
        <v>334.31</v>
      </c>
      <c r="D20" s="234">
        <v>120</v>
      </c>
      <c r="E20" s="1"/>
      <c r="F20" s="27">
        <v>103</v>
      </c>
      <c r="G20" s="27">
        <v>91</v>
      </c>
      <c r="H20" s="27">
        <v>76</v>
      </c>
      <c r="I20" s="27">
        <v>57</v>
      </c>
      <c r="J20" s="27">
        <f>50+AT20</f>
        <v>200</v>
      </c>
      <c r="K20" s="27">
        <v>170</v>
      </c>
      <c r="L20" s="27">
        <v>294</v>
      </c>
      <c r="M20" s="27">
        <v>277</v>
      </c>
      <c r="N20" s="27">
        <v>268</v>
      </c>
      <c r="O20" s="27">
        <v>257</v>
      </c>
      <c r="P20" s="27">
        <v>249</v>
      </c>
      <c r="Q20" s="27">
        <v>239</v>
      </c>
      <c r="R20" s="27">
        <v>232</v>
      </c>
      <c r="S20" s="27">
        <v>229</v>
      </c>
      <c r="T20" s="27">
        <v>226</v>
      </c>
      <c r="U20" s="27"/>
      <c r="V20" s="27"/>
      <c r="W20" s="27"/>
      <c r="X20" s="27">
        <v>210</v>
      </c>
      <c r="Y20" s="27">
        <v>208</v>
      </c>
      <c r="Z20" s="27">
        <v>204</v>
      </c>
      <c r="AA20" s="372">
        <f ca="1">Y20+IF(NOT(ISBLANK(OFFSET(AA20,0,6))),N(OFFSET(AA20,0,6)),N(OFFSET(AA20,0,7)))-Z20</f>
        <v>4</v>
      </c>
      <c r="AB20" s="11"/>
      <c r="AC20" s="78"/>
      <c r="AD20" s="78"/>
      <c r="AE20" s="1"/>
      <c r="AF20" s="32"/>
      <c r="AH20" s="19">
        <v>0</v>
      </c>
      <c r="AI20" s="19">
        <v>0</v>
      </c>
      <c r="AJ20" s="19"/>
      <c r="AK20" s="19"/>
      <c r="AL20" s="19"/>
      <c r="AM20" s="19"/>
      <c r="AN20" s="19"/>
      <c r="AO20" s="19"/>
      <c r="AP20" s="19"/>
      <c r="AQ20" s="19"/>
      <c r="AR20" s="19">
        <v>150</v>
      </c>
      <c r="AS20" s="19"/>
      <c r="AT20" s="19">
        <v>150</v>
      </c>
      <c r="AU20" s="19"/>
      <c r="AV20" s="19"/>
      <c r="AW20" s="19"/>
      <c r="AX20" s="19"/>
      <c r="AY20" s="19"/>
      <c r="BA20" s="364" t="s">
        <v>154</v>
      </c>
      <c r="BB20" s="135">
        <v>150</v>
      </c>
      <c r="BC20" s="39">
        <v>0</v>
      </c>
      <c r="BD20" s="39">
        <v>0</v>
      </c>
      <c r="BE20" s="39">
        <v>0</v>
      </c>
      <c r="BF20" s="39">
        <v>0</v>
      </c>
      <c r="BG20" s="39">
        <v>0</v>
      </c>
      <c r="BH20" s="39">
        <v>0</v>
      </c>
      <c r="BI20" s="26">
        <f ca="1">BG20+IF(NOT(ISBLANK(OFFSET(BI20,0,6))),N(OFFSET(BI20,0,6)),N(OFFSET(BI20,0,7)))-BH20</f>
        <v>0</v>
      </c>
    </row>
    <row r="21" spans="1:61" s="3" customFormat="1" x14ac:dyDescent="0.3">
      <c r="A21" s="25" t="s">
        <v>155</v>
      </c>
      <c r="B21" s="6">
        <v>100</v>
      </c>
      <c r="C21" s="81">
        <v>292.25</v>
      </c>
      <c r="D21" s="236">
        <v>120</v>
      </c>
      <c r="E21" s="1"/>
      <c r="F21" s="27">
        <v>108</v>
      </c>
      <c r="G21" s="27">
        <v>92</v>
      </c>
      <c r="H21" s="27">
        <v>77</v>
      </c>
      <c r="I21" s="27">
        <v>73</v>
      </c>
      <c r="J21" s="27">
        <f>64+AT21</f>
        <v>164</v>
      </c>
      <c r="K21" s="27">
        <v>138</v>
      </c>
      <c r="L21" s="27">
        <v>232</v>
      </c>
      <c r="M21" s="27">
        <v>223</v>
      </c>
      <c r="N21" s="27">
        <v>221</v>
      </c>
      <c r="O21" s="27">
        <v>211</v>
      </c>
      <c r="P21" s="27">
        <v>210</v>
      </c>
      <c r="Q21" s="27">
        <v>203</v>
      </c>
      <c r="R21" s="27">
        <v>197</v>
      </c>
      <c r="S21" s="27">
        <v>196</v>
      </c>
      <c r="T21" s="27">
        <v>182</v>
      </c>
      <c r="U21" s="27"/>
      <c r="V21" s="27"/>
      <c r="W21" s="27"/>
      <c r="X21" s="27">
        <v>258</v>
      </c>
      <c r="Y21" s="27">
        <v>253</v>
      </c>
      <c r="Z21" s="27">
        <v>248</v>
      </c>
      <c r="AA21" s="372">
        <f ca="1">Y21+IF(NOT(ISBLANK(OFFSET(AA21,0,6))),N(OFFSET(AA21,0,6)),N(OFFSET(AA21,0,7)))-Z21</f>
        <v>5</v>
      </c>
      <c r="AB21" s="11"/>
      <c r="AC21" s="78"/>
      <c r="AD21" s="78"/>
      <c r="AE21" s="1"/>
      <c r="AF21" s="32"/>
      <c r="AH21" s="19">
        <v>0</v>
      </c>
      <c r="AI21" s="19">
        <v>0</v>
      </c>
      <c r="AJ21" s="19">
        <v>100</v>
      </c>
      <c r="AK21" s="19"/>
      <c r="AL21" s="19"/>
      <c r="AM21" s="117">
        <v>100</v>
      </c>
      <c r="AN21" s="19"/>
      <c r="AO21" s="19"/>
      <c r="AP21" s="19"/>
      <c r="AQ21" s="19"/>
      <c r="AR21" s="19">
        <v>100</v>
      </c>
      <c r="AS21" s="19"/>
      <c r="AT21" s="19">
        <v>100</v>
      </c>
      <c r="AU21" s="19"/>
      <c r="AV21" s="19"/>
      <c r="AW21" s="19"/>
      <c r="AX21" s="19"/>
      <c r="AY21" s="19"/>
      <c r="BA21" s="21" t="s">
        <v>156</v>
      </c>
      <c r="BB21" s="6">
        <v>100</v>
      </c>
      <c r="BC21" s="39">
        <f>AM21</f>
        <v>100</v>
      </c>
      <c r="BD21" s="39"/>
      <c r="BE21" s="39"/>
      <c r="BF21" s="39">
        <v>77</v>
      </c>
      <c r="BG21" s="39">
        <v>65</v>
      </c>
      <c r="BH21" s="39">
        <v>9</v>
      </c>
      <c r="BI21" s="26">
        <f ca="1">BG21+IF(NOT(ISBLANK(OFFSET(BI21,0,6))),N(OFFSET(BI21,0,6)),N(OFFSET(BI21,0,7)))-BH21</f>
        <v>56</v>
      </c>
    </row>
    <row r="22" spans="1:61" s="3" customFormat="1" x14ac:dyDescent="0.3">
      <c r="A22" s="25" t="s">
        <v>157</v>
      </c>
      <c r="B22" s="6">
        <v>75</v>
      </c>
      <c r="C22" s="66">
        <v>425.38</v>
      </c>
      <c r="D22" s="234">
        <v>25</v>
      </c>
      <c r="E22" s="7"/>
      <c r="F22" s="27">
        <v>65</v>
      </c>
      <c r="G22" s="27">
        <v>63</v>
      </c>
      <c r="H22" s="27">
        <v>63</v>
      </c>
      <c r="I22" s="27">
        <v>63</v>
      </c>
      <c r="J22" s="27">
        <v>63</v>
      </c>
      <c r="K22" s="27">
        <v>63</v>
      </c>
      <c r="L22" s="27">
        <v>63</v>
      </c>
      <c r="M22" s="27">
        <v>62</v>
      </c>
      <c r="N22" s="27">
        <v>61</v>
      </c>
      <c r="O22" s="27">
        <v>60</v>
      </c>
      <c r="P22" s="27">
        <v>60</v>
      </c>
      <c r="Q22" s="27">
        <v>60</v>
      </c>
      <c r="R22" s="27">
        <v>60</v>
      </c>
      <c r="S22" s="27">
        <v>60</v>
      </c>
      <c r="T22" s="27">
        <v>60</v>
      </c>
      <c r="U22" s="27">
        <v>60</v>
      </c>
      <c r="V22" s="27">
        <v>60</v>
      </c>
      <c r="W22" s="27">
        <v>60</v>
      </c>
      <c r="X22" s="27">
        <v>60</v>
      </c>
      <c r="Y22" s="27">
        <v>60</v>
      </c>
      <c r="Z22" s="27">
        <v>48</v>
      </c>
      <c r="AA22" s="372">
        <f ca="1">Y22+IF(NOT(ISBLANK(OFFSET(AA22,0,6))),N(OFFSET(AA22,0,6)),N(OFFSET(AA22,0,7)))-Z22</f>
        <v>12</v>
      </c>
      <c r="AB22" s="11"/>
      <c r="AC22" s="78"/>
      <c r="AD22" s="78"/>
      <c r="AE22" s="7"/>
      <c r="AF22" s="32"/>
      <c r="AH22" s="19">
        <v>0</v>
      </c>
      <c r="AI22" s="19">
        <v>0</v>
      </c>
      <c r="AJ22" s="19"/>
      <c r="AK22" s="19"/>
      <c r="AL22" s="19"/>
      <c r="AM22" s="117">
        <v>200</v>
      </c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BA22" s="22" t="s">
        <v>158</v>
      </c>
      <c r="BB22" s="6">
        <v>200</v>
      </c>
      <c r="BC22" s="39">
        <f>AM22</f>
        <v>200</v>
      </c>
      <c r="BD22" s="39"/>
      <c r="BE22" s="39"/>
      <c r="BF22" s="39">
        <v>159</v>
      </c>
      <c r="BG22" s="39">
        <v>129</v>
      </c>
      <c r="BH22" s="39">
        <v>7</v>
      </c>
      <c r="BI22" s="26">
        <f ca="1">BG22+IF(NOT(ISBLANK(OFFSET(BI22,0,6))),N(OFFSET(BI22,0,6)),N(OFFSET(BI22,0,7)))-BH22</f>
        <v>122</v>
      </c>
    </row>
    <row r="23" spans="1:61" s="3" customFormat="1" x14ac:dyDescent="0.3">
      <c r="A23" s="25" t="s">
        <v>159</v>
      </c>
      <c r="B23" s="6">
        <v>150</v>
      </c>
      <c r="C23" s="66">
        <v>427.5</v>
      </c>
      <c r="D23" s="234">
        <v>150</v>
      </c>
      <c r="E23" s="7"/>
      <c r="F23" s="2"/>
      <c r="G23" s="2"/>
      <c r="H23" s="2"/>
      <c r="I23" s="27">
        <v>0</v>
      </c>
      <c r="J23" s="27">
        <v>0</v>
      </c>
      <c r="K23" s="27">
        <v>0</v>
      </c>
      <c r="L23" s="27">
        <v>143</v>
      </c>
      <c r="M23" s="27">
        <v>110</v>
      </c>
      <c r="N23" s="27">
        <v>96</v>
      </c>
      <c r="O23" s="27">
        <v>65</v>
      </c>
      <c r="P23" s="27">
        <v>192</v>
      </c>
      <c r="Q23" s="27">
        <v>162</v>
      </c>
      <c r="R23" s="27">
        <v>136</v>
      </c>
      <c r="S23" s="27">
        <v>106</v>
      </c>
      <c r="T23" s="27">
        <v>89</v>
      </c>
      <c r="U23" s="27"/>
      <c r="V23" s="27"/>
      <c r="W23" s="27"/>
      <c r="X23" s="27">
        <v>186</v>
      </c>
      <c r="Y23" s="27">
        <v>186</v>
      </c>
      <c r="Z23" s="27">
        <v>184</v>
      </c>
      <c r="AA23" s="372">
        <f ca="1">Y23+IF(NOT(ISBLANK(OFFSET(AA23,0,6))),N(OFFSET(AA23,0,6)),N(OFFSET(AA23,0,7)))-Z23</f>
        <v>2</v>
      </c>
      <c r="AB23" s="11"/>
      <c r="AC23" s="78"/>
      <c r="AD23" s="10"/>
      <c r="AE23" s="7"/>
      <c r="AF23" s="32"/>
      <c r="AH23" s="19">
        <v>0</v>
      </c>
      <c r="AI23" s="19">
        <v>0</v>
      </c>
      <c r="AJ23" s="19">
        <v>150</v>
      </c>
      <c r="AK23" s="19"/>
      <c r="AL23" s="19"/>
      <c r="AM23" s="117">
        <v>150</v>
      </c>
      <c r="AN23" s="19"/>
      <c r="AO23" s="19"/>
      <c r="AP23" s="19">
        <v>150</v>
      </c>
      <c r="AQ23" s="19"/>
      <c r="AR23" s="19"/>
      <c r="AS23" s="19">
        <v>150</v>
      </c>
      <c r="AT23" s="19"/>
      <c r="AU23" s="19"/>
      <c r="AV23" s="19"/>
      <c r="AW23" s="19"/>
      <c r="AX23" s="19"/>
      <c r="AY23" s="19"/>
      <c r="BA23" s="22" t="s">
        <v>160</v>
      </c>
      <c r="BB23" s="6">
        <v>150</v>
      </c>
      <c r="BC23" s="39">
        <f>AM23</f>
        <v>150</v>
      </c>
      <c r="BD23" s="39"/>
      <c r="BE23" s="39"/>
      <c r="BF23" s="39">
        <v>113</v>
      </c>
      <c r="BG23" s="39">
        <v>89</v>
      </c>
      <c r="BH23" s="39">
        <v>4</v>
      </c>
      <c r="BI23" s="26">
        <f ca="1">BG23+IF(NOT(ISBLANK(OFFSET(BI23,0,6))),N(OFFSET(BI23,0,6)),N(OFFSET(BI23,0,7)))-BH23</f>
        <v>85</v>
      </c>
    </row>
    <row r="24" spans="1:61" x14ac:dyDescent="0.3">
      <c r="AF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</row>
    <row r="25" spans="1:61" x14ac:dyDescent="0.3">
      <c r="A25" s="378" t="s">
        <v>161</v>
      </c>
      <c r="B25" s="379" t="s">
        <v>123</v>
      </c>
      <c r="C25" s="379" t="s">
        <v>124</v>
      </c>
      <c r="D25" s="379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35" t="s">
        <v>129</v>
      </c>
      <c r="AF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</row>
    <row r="26" spans="1:61" x14ac:dyDescent="0.3">
      <c r="A26" s="384" t="s">
        <v>162</v>
      </c>
      <c r="B26" s="385">
        <v>100</v>
      </c>
      <c r="C26" s="199">
        <v>790</v>
      </c>
      <c r="D26" s="396"/>
      <c r="F26" s="39">
        <v>127</v>
      </c>
      <c r="G26" s="39">
        <v>118</v>
      </c>
      <c r="H26" s="39">
        <v>102</v>
      </c>
      <c r="I26" s="39">
        <v>102</v>
      </c>
      <c r="J26" s="39">
        <v>102</v>
      </c>
      <c r="K26" s="39">
        <v>106</v>
      </c>
      <c r="L26" s="39">
        <v>105</v>
      </c>
      <c r="M26" s="39">
        <v>103</v>
      </c>
      <c r="N26" s="39">
        <v>101</v>
      </c>
      <c r="O26" s="39">
        <v>98</v>
      </c>
      <c r="P26" s="39">
        <v>96</v>
      </c>
      <c r="Q26" s="39">
        <v>93</v>
      </c>
      <c r="R26" s="39">
        <v>90</v>
      </c>
      <c r="S26" s="39">
        <v>90</v>
      </c>
      <c r="T26" s="39">
        <v>88</v>
      </c>
      <c r="U26" s="39">
        <v>85</v>
      </c>
      <c r="V26" s="39">
        <v>80</v>
      </c>
      <c r="W26" s="39">
        <v>80</v>
      </c>
      <c r="X26" s="39">
        <v>80</v>
      </c>
      <c r="Y26" s="39">
        <v>80</v>
      </c>
      <c r="Z26" s="39">
        <v>80</v>
      </c>
      <c r="AA26" s="372">
        <f t="shared" ref="AA26:AA34" ca="1" si="0">Y26+IF(NOT(ISBLANK(OFFSET(AA26,0,6))),N(OFFSET(AA26,0,6)),N(OFFSET(AA26,0,7)))-Z26</f>
        <v>0</v>
      </c>
      <c r="AC26" s="347"/>
      <c r="AD26" s="347"/>
      <c r="AF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</row>
    <row r="27" spans="1:61" hidden="1" x14ac:dyDescent="0.3">
      <c r="A27" s="386" t="s">
        <v>163</v>
      </c>
      <c r="B27" s="159">
        <v>100</v>
      </c>
      <c r="C27" s="200">
        <v>295</v>
      </c>
      <c r="D27" s="396"/>
      <c r="F27" s="39">
        <v>4</v>
      </c>
      <c r="G27" s="39">
        <v>4</v>
      </c>
      <c r="H27" s="39">
        <v>4</v>
      </c>
      <c r="I27" s="39">
        <v>0</v>
      </c>
      <c r="J27" s="39">
        <v>0</v>
      </c>
      <c r="K27" s="39">
        <v>0</v>
      </c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72">
        <f t="shared" ca="1" si="0"/>
        <v>0</v>
      </c>
      <c r="AC27" s="347"/>
      <c r="AD27" s="347"/>
      <c r="AF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</row>
    <row r="28" spans="1:61" hidden="1" x14ac:dyDescent="0.3">
      <c r="A28" s="386" t="s">
        <v>164</v>
      </c>
      <c r="B28" s="159">
        <v>100</v>
      </c>
      <c r="C28" s="200">
        <v>283</v>
      </c>
      <c r="D28" s="396"/>
      <c r="F28" s="39">
        <v>5</v>
      </c>
      <c r="G28" s="39">
        <v>4</v>
      </c>
      <c r="H28" s="39">
        <v>4</v>
      </c>
      <c r="I28" s="39">
        <v>0</v>
      </c>
      <c r="J28" s="39">
        <v>0</v>
      </c>
      <c r="K28" s="39">
        <v>0</v>
      </c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72">
        <f t="shared" ca="1" si="0"/>
        <v>0</v>
      </c>
      <c r="AC28" s="347"/>
      <c r="AD28" s="347"/>
      <c r="AF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</row>
    <row r="29" spans="1:61" ht="18.75" customHeight="1" x14ac:dyDescent="0.3">
      <c r="A29" s="25" t="s">
        <v>169</v>
      </c>
      <c r="B29" s="6">
        <v>150</v>
      </c>
      <c r="C29" s="77">
        <v>805.35</v>
      </c>
      <c r="D29" s="396"/>
      <c r="F29" s="6">
        <v>206</v>
      </c>
      <c r="G29" s="6">
        <v>112</v>
      </c>
      <c r="H29" s="6">
        <v>108</v>
      </c>
      <c r="I29" s="6">
        <v>105</v>
      </c>
      <c r="J29" s="6">
        <v>98</v>
      </c>
      <c r="K29" s="6">
        <v>88</v>
      </c>
      <c r="L29" s="6">
        <v>84</v>
      </c>
      <c r="M29" s="6">
        <v>81</v>
      </c>
      <c r="N29" s="6">
        <v>81</v>
      </c>
      <c r="O29" s="6">
        <v>80</v>
      </c>
      <c r="P29" s="6">
        <v>80</v>
      </c>
      <c r="Q29" s="6">
        <v>79</v>
      </c>
      <c r="R29" s="6">
        <v>77</v>
      </c>
      <c r="S29" s="6">
        <v>77</v>
      </c>
      <c r="T29" s="6">
        <v>73</v>
      </c>
      <c r="U29" s="6"/>
      <c r="V29" s="6"/>
      <c r="W29" s="6"/>
      <c r="X29" s="6">
        <v>62</v>
      </c>
      <c r="Y29" s="6">
        <v>62</v>
      </c>
      <c r="Z29" s="6">
        <v>41</v>
      </c>
      <c r="AA29" s="372">
        <f t="shared" ca="1" si="0"/>
        <v>21</v>
      </c>
      <c r="AC29" s="347"/>
      <c r="AD29" s="347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</row>
    <row r="30" spans="1:61" ht="18.75" customHeight="1" x14ac:dyDescent="0.3">
      <c r="A30" s="25" t="s">
        <v>170</v>
      </c>
      <c r="B30" s="6">
        <v>100</v>
      </c>
      <c r="C30" s="77">
        <v>792.2</v>
      </c>
      <c r="D30" s="396"/>
      <c r="F30" s="6">
        <v>164</v>
      </c>
      <c r="G30" s="6">
        <v>105</v>
      </c>
      <c r="H30" s="6">
        <v>98</v>
      </c>
      <c r="I30" s="6">
        <v>82</v>
      </c>
      <c r="J30" s="6">
        <v>69</v>
      </c>
      <c r="K30" s="6">
        <v>62</v>
      </c>
      <c r="L30" s="6">
        <v>55</v>
      </c>
      <c r="M30" s="6">
        <v>35</v>
      </c>
      <c r="N30" s="6">
        <v>30</v>
      </c>
      <c r="O30" s="6">
        <v>25</v>
      </c>
      <c r="P30" s="6">
        <v>24</v>
      </c>
      <c r="Q30" s="6">
        <v>15</v>
      </c>
      <c r="R30" s="6">
        <v>10</v>
      </c>
      <c r="S30" s="6">
        <v>7</v>
      </c>
      <c r="T30" s="6">
        <v>7</v>
      </c>
      <c r="U30" s="6"/>
      <c r="V30" s="6"/>
      <c r="W30" s="6"/>
      <c r="X30" s="6">
        <v>0</v>
      </c>
      <c r="Y30" s="6">
        <v>0</v>
      </c>
      <c r="Z30" s="6">
        <v>0</v>
      </c>
      <c r="AA30" s="372">
        <f t="shared" ca="1" si="0"/>
        <v>0</v>
      </c>
      <c r="AC30" s="347"/>
      <c r="AD30" s="347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</row>
    <row r="31" spans="1:61" ht="18.75" hidden="1" customHeight="1" x14ac:dyDescent="0.3">
      <c r="A31" s="25" t="s">
        <v>171</v>
      </c>
      <c r="B31" s="6">
        <v>200</v>
      </c>
      <c r="C31" s="77">
        <v>487.2</v>
      </c>
      <c r="D31" s="396"/>
      <c r="F31" s="6">
        <v>-12</v>
      </c>
      <c r="G31" s="6">
        <v>-12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/>
      <c r="T31" s="6"/>
      <c r="U31" s="6"/>
      <c r="V31" s="6"/>
      <c r="W31" s="6"/>
      <c r="X31" s="6"/>
      <c r="Y31" s="6"/>
      <c r="Z31" s="6"/>
      <c r="AA31" s="372">
        <f t="shared" ca="1" si="0"/>
        <v>0</v>
      </c>
      <c r="AC31" s="347"/>
      <c r="AD31" s="347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</row>
    <row r="32" spans="1:61" ht="18.75" hidden="1" customHeight="1" x14ac:dyDescent="0.3">
      <c r="A32" s="25" t="s">
        <v>172</v>
      </c>
      <c r="B32" s="6">
        <v>150</v>
      </c>
      <c r="C32" s="77">
        <v>460.35</v>
      </c>
      <c r="D32" s="396"/>
      <c r="F32" s="6">
        <v>-12</v>
      </c>
      <c r="G32" s="6">
        <v>-12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/>
      <c r="T32" s="6"/>
      <c r="U32" s="6"/>
      <c r="V32" s="6"/>
      <c r="W32" s="6"/>
      <c r="X32" s="6"/>
      <c r="Y32" s="6"/>
      <c r="Z32" s="6"/>
      <c r="AA32" s="372">
        <f t="shared" ca="1" si="0"/>
        <v>0</v>
      </c>
      <c r="AC32" s="347"/>
      <c r="AD32" s="347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</row>
    <row r="33" spans="1:144" ht="18.75" customHeight="1" x14ac:dyDescent="0.3">
      <c r="A33" s="25" t="s">
        <v>173</v>
      </c>
      <c r="B33" s="6">
        <v>10</v>
      </c>
      <c r="C33" s="77">
        <v>120</v>
      </c>
      <c r="D33" s="396"/>
      <c r="F33" s="39">
        <v>17</v>
      </c>
      <c r="G33" s="39">
        <v>15</v>
      </c>
      <c r="H33" s="39">
        <v>5</v>
      </c>
      <c r="I33" s="39">
        <v>5</v>
      </c>
      <c r="J33" s="39">
        <v>5</v>
      </c>
      <c r="K33" s="39">
        <v>5</v>
      </c>
      <c r="L33" s="39">
        <v>5</v>
      </c>
      <c r="M33" s="39">
        <v>5</v>
      </c>
      <c r="N33" s="39">
        <v>5</v>
      </c>
      <c r="O33" s="39">
        <v>5</v>
      </c>
      <c r="P33" s="39">
        <v>5</v>
      </c>
      <c r="Q33" s="39">
        <v>5</v>
      </c>
      <c r="R33" s="39">
        <v>5</v>
      </c>
      <c r="S33" s="39">
        <v>5</v>
      </c>
      <c r="T33" s="39">
        <v>5</v>
      </c>
      <c r="U33" s="39"/>
      <c r="V33" s="39"/>
      <c r="W33" s="39"/>
      <c r="X33" s="39">
        <v>5</v>
      </c>
      <c r="Y33" s="39">
        <v>5</v>
      </c>
      <c r="Z33" s="39">
        <v>5</v>
      </c>
      <c r="AA33" s="372">
        <f t="shared" ca="1" si="0"/>
        <v>0</v>
      </c>
      <c r="AC33" s="347"/>
      <c r="AD33" s="347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</row>
    <row r="34" spans="1:144" ht="18.75" customHeight="1" x14ac:dyDescent="0.3">
      <c r="A34" s="283" t="s">
        <v>168</v>
      </c>
      <c r="B34" s="284">
        <v>100</v>
      </c>
      <c r="C34" s="285">
        <v>1490</v>
      </c>
      <c r="D34" s="396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39">
        <v>0</v>
      </c>
      <c r="S34" s="39">
        <v>0</v>
      </c>
      <c r="T34" s="39">
        <v>0</v>
      </c>
      <c r="U34" s="39"/>
      <c r="V34" s="39"/>
      <c r="W34" s="39"/>
      <c r="X34" s="39">
        <v>0</v>
      </c>
      <c r="Y34" s="39">
        <v>4</v>
      </c>
      <c r="Z34" s="39">
        <v>4</v>
      </c>
      <c r="AA34" s="372">
        <f t="shared" ca="1" si="0"/>
        <v>0</v>
      </c>
      <c r="AC34" s="347"/>
      <c r="AD34" s="347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</row>
    <row r="35" spans="1:144" ht="18.75" customHeight="1" x14ac:dyDescent="0.3">
      <c r="AC35" s="347"/>
      <c r="AD35" s="347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</row>
    <row r="36" spans="1:144" ht="21" customHeight="1" x14ac:dyDescent="0.3">
      <c r="A36" s="394" t="s">
        <v>174</v>
      </c>
      <c r="B36" s="394"/>
      <c r="C36" s="394"/>
      <c r="AC36" s="347"/>
      <c r="AD36" s="34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</row>
    <row r="37" spans="1:144" x14ac:dyDescent="0.3">
      <c r="A37" s="361" t="s">
        <v>175</v>
      </c>
      <c r="B37" s="361"/>
      <c r="C37" s="361" t="s">
        <v>176</v>
      </c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347"/>
      <c r="AD37" s="347"/>
      <c r="AE37" s="4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</row>
    <row r="38" spans="1:144" x14ac:dyDescent="0.3">
      <c r="A38" s="286"/>
      <c r="B38" s="370"/>
      <c r="C38" s="357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347"/>
      <c r="AD38" s="347"/>
      <c r="AE38" s="41"/>
      <c r="AF38" s="41"/>
      <c r="AG38" s="4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362"/>
      <c r="BJ38" s="362"/>
      <c r="BK38" s="362"/>
      <c r="BL38" s="362"/>
      <c r="BM38" s="362"/>
      <c r="BN38" s="362"/>
      <c r="BO38" s="362"/>
      <c r="BP38" s="362"/>
      <c r="BQ38" s="362"/>
      <c r="BR38" s="362"/>
      <c r="BS38" s="362"/>
      <c r="BT38" s="71"/>
      <c r="BU38" s="41"/>
      <c r="BV38" s="34"/>
      <c r="BW38" s="41"/>
      <c r="BY38" s="401"/>
      <c r="BZ38" s="401"/>
      <c r="CA38" s="401"/>
      <c r="CB38" s="401"/>
      <c r="CC38" s="401"/>
      <c r="CD38" s="401"/>
      <c r="CE38" s="401"/>
      <c r="CF38" s="401"/>
      <c r="CG38" s="401"/>
      <c r="CH38" s="401"/>
      <c r="CI38" s="401"/>
      <c r="CJ38" s="401"/>
      <c r="CK38" s="401"/>
      <c r="CL38" s="401"/>
      <c r="CM38" s="401"/>
      <c r="CN38" s="401"/>
      <c r="CO38" s="401"/>
      <c r="CP38" s="401"/>
      <c r="CQ38" s="401"/>
      <c r="CR38" s="366"/>
      <c r="CS38" s="401"/>
      <c r="CT38" s="348"/>
      <c r="CU38" s="401"/>
      <c r="CV38" s="401"/>
      <c r="CW38" s="401"/>
      <c r="CX38" s="401"/>
      <c r="CY38" s="401"/>
      <c r="CZ38" s="401"/>
      <c r="DA38" s="401"/>
      <c r="DB38" s="401"/>
      <c r="DC38" s="401"/>
      <c r="DD38" s="401"/>
      <c r="DE38" s="401"/>
      <c r="DF38" s="401"/>
      <c r="DG38" s="401"/>
      <c r="DH38" s="401"/>
      <c r="DI38" s="401"/>
      <c r="DJ38" s="401"/>
      <c r="DK38" s="401"/>
      <c r="DL38" s="401"/>
      <c r="DM38" s="401"/>
      <c r="DN38" s="401"/>
      <c r="DO38" s="401"/>
      <c r="DP38" s="401"/>
      <c r="DQ38" s="401"/>
      <c r="DR38" s="401"/>
      <c r="DS38" s="401"/>
      <c r="DT38" s="401"/>
      <c r="DU38" s="401"/>
      <c r="DV38" s="401"/>
      <c r="DW38" s="401"/>
      <c r="DX38" s="401"/>
      <c r="DY38" s="401"/>
      <c r="DZ38" s="401"/>
      <c r="EA38" s="401"/>
      <c r="EB38" s="401"/>
      <c r="EC38" s="401"/>
      <c r="ED38" s="401"/>
      <c r="EE38" s="401"/>
      <c r="EF38" s="401"/>
      <c r="EG38" s="401"/>
      <c r="EH38" s="401"/>
      <c r="EI38" s="401"/>
      <c r="EJ38" s="401"/>
      <c r="EK38" s="401"/>
      <c r="EL38" s="401"/>
      <c r="EM38" s="401"/>
      <c r="EN38" s="401"/>
    </row>
    <row r="39" spans="1:144" x14ac:dyDescent="0.3">
      <c r="A39" s="462"/>
      <c r="B39" s="463"/>
      <c r="C39" s="464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154"/>
      <c r="AB39" s="41"/>
      <c r="AC39" s="347"/>
      <c r="AD39" s="347"/>
      <c r="AE39" s="41"/>
      <c r="AF39" s="41"/>
      <c r="AG39" s="4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71"/>
      <c r="BU39" s="41"/>
      <c r="BV39" s="34"/>
      <c r="BW39" s="41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66"/>
      <c r="CS39" s="34"/>
      <c r="CT39" s="350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150"/>
      <c r="DS39" s="34"/>
      <c r="DT39" s="150"/>
      <c r="DU39" s="34"/>
      <c r="DV39" s="34"/>
      <c r="DW39" s="34"/>
      <c r="DX39" s="150"/>
      <c r="DY39" s="34"/>
      <c r="DZ39" s="150"/>
      <c r="EA39" s="34"/>
      <c r="EB39" s="34"/>
      <c r="EC39" s="34"/>
      <c r="ED39" s="34"/>
      <c r="EE39" s="34"/>
      <c r="EF39" s="34"/>
      <c r="EG39" s="34"/>
      <c r="EH39" s="34"/>
      <c r="EI39" s="34"/>
      <c r="EJ39" s="34"/>
      <c r="EK39" s="34"/>
      <c r="EL39" s="34"/>
      <c r="EM39" s="34"/>
      <c r="EN39" s="34"/>
    </row>
    <row r="40" spans="1:144" x14ac:dyDescent="0.3">
      <c r="A40" s="286"/>
      <c r="B40" s="370"/>
      <c r="C40" s="357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E40" s="41"/>
      <c r="AF40" s="41"/>
      <c r="AG40" s="41"/>
      <c r="AH40" s="401"/>
      <c r="AI40" s="401"/>
      <c r="AJ40" s="401"/>
      <c r="AK40" s="401"/>
      <c r="AL40" s="401"/>
      <c r="AM40" s="401"/>
      <c r="AN40" s="401"/>
      <c r="AO40" s="401"/>
      <c r="AP40" s="401"/>
      <c r="AQ40" s="401"/>
      <c r="AR40" s="401"/>
      <c r="AS40" s="401"/>
      <c r="AT40" s="401"/>
      <c r="AU40" s="401"/>
      <c r="AV40" s="401"/>
      <c r="AW40" s="401"/>
      <c r="AX40" s="401"/>
      <c r="AY40" s="401"/>
      <c r="AZ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71"/>
      <c r="BU40" s="41"/>
      <c r="BV40" s="34"/>
      <c r="BW40" s="41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66"/>
      <c r="CS40" s="34"/>
      <c r="CT40" s="365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150"/>
      <c r="DS40" s="34"/>
      <c r="DT40" s="150"/>
      <c r="DU40" s="34"/>
      <c r="DV40" s="34"/>
      <c r="DW40" s="34"/>
      <c r="DX40" s="150"/>
      <c r="DY40" s="34"/>
      <c r="DZ40" s="150"/>
      <c r="EA40" s="34"/>
      <c r="EB40" s="34"/>
      <c r="EC40" s="34"/>
      <c r="ED40" s="34"/>
      <c r="EE40" s="34"/>
      <c r="EF40" s="34"/>
      <c r="EG40" s="34"/>
      <c r="EH40" s="34"/>
      <c r="EI40" s="34"/>
      <c r="EJ40" s="34"/>
      <c r="EK40" s="34"/>
      <c r="EL40" s="34"/>
      <c r="EM40" s="34"/>
      <c r="EN40" s="34"/>
    </row>
    <row r="41" spans="1:144" x14ac:dyDescent="0.3">
      <c r="A41" s="286"/>
      <c r="B41" s="370"/>
      <c r="C41" s="357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E41" s="41"/>
      <c r="AF41" s="41"/>
      <c r="AG41" s="41"/>
      <c r="AH41" s="401"/>
      <c r="AI41" s="401"/>
      <c r="AJ41" s="401"/>
      <c r="AK41" s="401"/>
      <c r="AL41" s="401"/>
      <c r="AM41" s="401"/>
      <c r="AN41" s="401"/>
      <c r="AO41" s="401"/>
      <c r="AP41" s="401"/>
      <c r="AQ41" s="401"/>
      <c r="AR41" s="401"/>
      <c r="AS41" s="401"/>
      <c r="AT41" s="401"/>
      <c r="AU41" s="401"/>
      <c r="AV41" s="401"/>
      <c r="AW41" s="401"/>
      <c r="AX41" s="401"/>
      <c r="AY41" s="401"/>
      <c r="AZ41" s="34"/>
      <c r="BH41" s="41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71"/>
      <c r="BU41" s="41"/>
      <c r="BV41" s="34"/>
      <c r="BW41" s="41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66"/>
      <c r="CS41" s="34"/>
      <c r="CT41" s="348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150"/>
      <c r="DS41" s="34"/>
      <c r="DT41" s="150"/>
      <c r="DU41" s="34"/>
      <c r="DV41" s="34"/>
      <c r="DW41" s="34"/>
      <c r="DX41" s="150"/>
      <c r="DY41" s="34"/>
      <c r="DZ41" s="150"/>
      <c r="EA41" s="34"/>
      <c r="EB41" s="3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4"/>
      <c r="EN41" s="34"/>
    </row>
    <row r="42" spans="1:144" x14ac:dyDescent="0.3">
      <c r="A42" s="468"/>
      <c r="B42" s="467"/>
      <c r="C42" s="469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34"/>
      <c r="BA42" s="41"/>
      <c r="BB42" s="41"/>
      <c r="BC42" s="41"/>
      <c r="BD42" s="41"/>
      <c r="BE42" s="41"/>
      <c r="BF42" s="41"/>
      <c r="BG42" s="41"/>
      <c r="BH42" s="41"/>
      <c r="BI42" s="41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71"/>
      <c r="BU42" s="41"/>
      <c r="BV42" s="34"/>
      <c r="BW42" s="41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66"/>
      <c r="CS42" s="34"/>
      <c r="CT42" s="348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150"/>
      <c r="DS42" s="34"/>
      <c r="DT42" s="150"/>
      <c r="DU42" s="34"/>
      <c r="DV42" s="34"/>
      <c r="DW42" s="34"/>
      <c r="DX42" s="150"/>
      <c r="DY42" s="34"/>
      <c r="DZ42" s="150"/>
      <c r="EA42" s="34"/>
      <c r="EB42" s="34"/>
      <c r="EC42" s="34"/>
      <c r="ED42" s="34"/>
      <c r="EE42" s="34"/>
      <c r="EF42" s="34"/>
      <c r="EG42" s="34"/>
      <c r="EH42" s="34"/>
      <c r="EI42" s="34"/>
      <c r="EJ42" s="34"/>
      <c r="EK42" s="34"/>
      <c r="EL42" s="34"/>
      <c r="EM42" s="34"/>
      <c r="EN42" s="34"/>
    </row>
    <row r="43" spans="1:144" x14ac:dyDescent="0.3"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BA43" s="41"/>
      <c r="BB43" s="41"/>
      <c r="BC43" s="41"/>
      <c r="BD43" s="41"/>
      <c r="BE43" s="41"/>
      <c r="BF43" s="41"/>
      <c r="BG43" s="41"/>
      <c r="BH43" s="41"/>
      <c r="BI43" s="41"/>
    </row>
    <row r="44" spans="1:144" x14ac:dyDescent="0.3">
      <c r="A44" s="472" t="s">
        <v>177</v>
      </c>
      <c r="B44" s="467"/>
      <c r="C44" s="467"/>
      <c r="D44" s="469"/>
      <c r="F44" s="356">
        <v>46013</v>
      </c>
      <c r="G44" s="356">
        <v>46020</v>
      </c>
      <c r="H44" s="356">
        <v>46027</v>
      </c>
      <c r="I44" s="356">
        <v>46034</v>
      </c>
      <c r="J44" s="356">
        <v>46041</v>
      </c>
      <c r="K44" s="356">
        <v>46048</v>
      </c>
      <c r="L44" s="356">
        <v>46055</v>
      </c>
      <c r="M44" s="356">
        <v>46062</v>
      </c>
      <c r="N44" s="356">
        <v>46069</v>
      </c>
      <c r="O44" s="356">
        <v>46076</v>
      </c>
      <c r="P44" s="356">
        <v>46083</v>
      </c>
      <c r="Q44" s="356">
        <v>46090</v>
      </c>
      <c r="R44" s="356">
        <v>46097</v>
      </c>
      <c r="S44" s="356">
        <v>46104</v>
      </c>
      <c r="T44" s="356">
        <v>46111</v>
      </c>
      <c r="U44" s="356">
        <v>46118</v>
      </c>
      <c r="V44" s="356">
        <v>46125</v>
      </c>
      <c r="W44" s="356">
        <v>46132</v>
      </c>
      <c r="X44" s="356">
        <v>46139</v>
      </c>
      <c r="Y44" s="356">
        <v>46146</v>
      </c>
      <c r="Z44" s="356">
        <v>46154</v>
      </c>
      <c r="AC44" s="41"/>
      <c r="AD44" s="41"/>
      <c r="AF44" s="1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BA44" s="41"/>
      <c r="BB44" s="41"/>
      <c r="BC44" s="41"/>
      <c r="BD44" s="41"/>
      <c r="BE44" s="41"/>
      <c r="BF44" s="41"/>
      <c r="BG44" s="41"/>
      <c r="BH44" s="41"/>
      <c r="BI44" s="41"/>
    </row>
    <row r="45" spans="1:144" x14ac:dyDescent="0.3">
      <c r="A45" s="470" t="s">
        <v>212</v>
      </c>
      <c r="B45" s="467"/>
      <c r="C45" s="467"/>
      <c r="D45" s="469"/>
      <c r="F45" s="358">
        <v>0</v>
      </c>
      <c r="G45" s="358">
        <v>0</v>
      </c>
      <c r="H45" s="358">
        <v>0</v>
      </c>
      <c r="I45" s="358">
        <v>0</v>
      </c>
      <c r="J45" s="358">
        <v>0</v>
      </c>
      <c r="K45" s="358">
        <v>0</v>
      </c>
      <c r="L45" s="358">
        <v>0</v>
      </c>
      <c r="M45" s="358">
        <v>0</v>
      </c>
      <c r="N45" s="358">
        <v>0</v>
      </c>
      <c r="O45" s="358">
        <v>0</v>
      </c>
      <c r="P45" s="358">
        <v>0</v>
      </c>
      <c r="Q45" s="358">
        <v>0</v>
      </c>
      <c r="R45" s="358">
        <v>0</v>
      </c>
      <c r="S45" s="358">
        <v>0</v>
      </c>
      <c r="T45" s="358">
        <v>0</v>
      </c>
      <c r="U45" s="358">
        <v>0</v>
      </c>
      <c r="V45" s="358">
        <v>0</v>
      </c>
      <c r="W45" s="358">
        <v>0</v>
      </c>
      <c r="X45" s="358">
        <v>0</v>
      </c>
      <c r="Y45" s="358">
        <v>0</v>
      </c>
      <c r="Z45" s="358">
        <v>0</v>
      </c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BA45" s="41"/>
      <c r="BB45" s="41"/>
      <c r="BC45" s="41"/>
      <c r="BD45" s="41"/>
      <c r="BE45" s="41"/>
      <c r="BF45" s="41"/>
      <c r="BG45" s="41"/>
      <c r="BI45" s="41"/>
    </row>
    <row r="46" spans="1:144" x14ac:dyDescent="0.3">
      <c r="A46" s="470" t="s">
        <v>213</v>
      </c>
      <c r="B46" s="467"/>
      <c r="C46" s="467"/>
      <c r="D46" s="469"/>
      <c r="F46" s="358">
        <v>0</v>
      </c>
      <c r="G46" s="358">
        <v>0</v>
      </c>
      <c r="H46" s="358">
        <v>0</v>
      </c>
      <c r="I46" s="358">
        <v>0</v>
      </c>
      <c r="J46" s="358">
        <v>0</v>
      </c>
      <c r="K46" s="358">
        <v>0</v>
      </c>
      <c r="L46" s="358">
        <v>0</v>
      </c>
      <c r="M46" s="358">
        <v>0</v>
      </c>
      <c r="N46" s="358">
        <v>0</v>
      </c>
      <c r="O46" s="358">
        <v>0</v>
      </c>
      <c r="P46" s="358">
        <v>0</v>
      </c>
      <c r="Q46" s="358">
        <v>0</v>
      </c>
      <c r="R46" s="358">
        <v>0</v>
      </c>
      <c r="S46" s="358">
        <v>0</v>
      </c>
      <c r="T46" s="358">
        <v>0</v>
      </c>
      <c r="U46" s="358">
        <v>0</v>
      </c>
      <c r="V46" s="358">
        <v>0</v>
      </c>
      <c r="W46" s="358">
        <v>0</v>
      </c>
      <c r="X46" s="358">
        <v>0</v>
      </c>
      <c r="Y46" s="358">
        <v>0</v>
      </c>
      <c r="Z46" s="358">
        <v>0</v>
      </c>
    </row>
    <row r="47" spans="1:144" x14ac:dyDescent="0.3">
      <c r="A47" s="470" t="s">
        <v>214</v>
      </c>
      <c r="B47" s="467"/>
      <c r="C47" s="467"/>
      <c r="D47" s="469"/>
      <c r="F47" s="358">
        <v>0</v>
      </c>
      <c r="G47" s="358">
        <v>0</v>
      </c>
      <c r="H47" s="358">
        <v>0</v>
      </c>
      <c r="I47" s="358">
        <v>0</v>
      </c>
      <c r="J47" s="358">
        <v>0</v>
      </c>
      <c r="K47" s="358">
        <v>0</v>
      </c>
      <c r="L47" s="358">
        <v>0</v>
      </c>
      <c r="M47" s="358">
        <v>0</v>
      </c>
      <c r="N47" s="358">
        <v>0</v>
      </c>
      <c r="O47" s="358">
        <v>0</v>
      </c>
      <c r="P47" s="358">
        <v>0</v>
      </c>
      <c r="Q47" s="358">
        <v>0</v>
      </c>
      <c r="R47" s="358">
        <v>0</v>
      </c>
      <c r="S47" s="358">
        <v>0</v>
      </c>
      <c r="T47" s="358">
        <v>0</v>
      </c>
      <c r="U47" s="358">
        <v>0</v>
      </c>
      <c r="V47" s="358">
        <v>0</v>
      </c>
      <c r="W47" s="358">
        <v>0</v>
      </c>
      <c r="X47" s="358">
        <v>0</v>
      </c>
      <c r="Y47" s="358">
        <v>0</v>
      </c>
      <c r="Z47" s="358">
        <v>0</v>
      </c>
    </row>
    <row r="48" spans="1:144" x14ac:dyDescent="0.3">
      <c r="A48" s="470" t="s">
        <v>215</v>
      </c>
      <c r="B48" s="467"/>
      <c r="C48" s="467"/>
      <c r="D48" s="469"/>
      <c r="F48" s="358">
        <v>0</v>
      </c>
      <c r="G48" s="358">
        <v>0</v>
      </c>
      <c r="H48" s="358">
        <v>0</v>
      </c>
      <c r="I48" s="358">
        <v>0</v>
      </c>
      <c r="J48" s="358">
        <v>0</v>
      </c>
      <c r="K48" s="358">
        <v>0</v>
      </c>
      <c r="L48" s="358">
        <v>0</v>
      </c>
      <c r="M48" s="358">
        <v>0</v>
      </c>
      <c r="N48" s="358">
        <v>0</v>
      </c>
      <c r="O48" s="358">
        <v>0</v>
      </c>
      <c r="P48" s="358">
        <v>0</v>
      </c>
      <c r="Q48" s="358">
        <v>0</v>
      </c>
      <c r="R48" s="358">
        <v>0</v>
      </c>
      <c r="S48" s="358">
        <v>0</v>
      </c>
      <c r="T48" s="358">
        <v>0</v>
      </c>
      <c r="U48" s="358">
        <v>0</v>
      </c>
      <c r="V48" s="358">
        <v>0</v>
      </c>
      <c r="W48" s="358">
        <v>0</v>
      </c>
      <c r="X48" s="358">
        <v>0</v>
      </c>
      <c r="Y48" s="358">
        <v>0</v>
      </c>
      <c r="Z48" s="358">
        <v>0</v>
      </c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</row>
    <row r="49" spans="1:26" x14ac:dyDescent="0.3">
      <c r="A49" s="470" t="s">
        <v>216</v>
      </c>
      <c r="B49" s="467"/>
      <c r="C49" s="467"/>
      <c r="D49" s="469"/>
      <c r="F49" s="358">
        <v>0</v>
      </c>
      <c r="G49" s="358">
        <v>0</v>
      </c>
      <c r="H49" s="358">
        <v>0</v>
      </c>
      <c r="I49" s="358">
        <v>0</v>
      </c>
      <c r="J49" s="358">
        <v>0</v>
      </c>
      <c r="K49" s="358">
        <v>0</v>
      </c>
      <c r="L49" s="358">
        <v>0</v>
      </c>
      <c r="M49" s="358">
        <v>0</v>
      </c>
      <c r="N49" s="358">
        <v>0</v>
      </c>
      <c r="O49" s="358">
        <v>0</v>
      </c>
      <c r="P49" s="358">
        <v>0</v>
      </c>
      <c r="Q49" s="358">
        <v>0</v>
      </c>
      <c r="R49" s="358">
        <v>0</v>
      </c>
      <c r="S49" s="358">
        <v>0</v>
      </c>
      <c r="T49" s="358">
        <v>0</v>
      </c>
      <c r="U49" s="358">
        <v>0</v>
      </c>
      <c r="V49" s="358">
        <v>0</v>
      </c>
      <c r="W49" s="358">
        <v>0</v>
      </c>
      <c r="X49" s="358">
        <v>0</v>
      </c>
      <c r="Y49" s="358">
        <v>0</v>
      </c>
      <c r="Z49" s="358">
        <v>0</v>
      </c>
    </row>
    <row r="50" spans="1:26" x14ac:dyDescent="0.3">
      <c r="A50" s="470" t="s">
        <v>217</v>
      </c>
      <c r="B50" s="467"/>
      <c r="C50" s="467"/>
      <c r="D50" s="469"/>
      <c r="F50" s="358">
        <v>0</v>
      </c>
      <c r="G50" s="358">
        <v>0</v>
      </c>
      <c r="H50" s="358">
        <v>0</v>
      </c>
      <c r="I50" s="358">
        <v>0</v>
      </c>
      <c r="J50" s="358">
        <v>0</v>
      </c>
      <c r="K50" s="358">
        <v>0</v>
      </c>
      <c r="L50" s="358">
        <v>0</v>
      </c>
      <c r="M50" s="358">
        <v>0</v>
      </c>
      <c r="N50" s="358">
        <v>0</v>
      </c>
      <c r="O50" s="358">
        <v>0</v>
      </c>
      <c r="P50" s="358">
        <v>0</v>
      </c>
      <c r="Q50" s="358">
        <v>0</v>
      </c>
      <c r="R50" s="358">
        <v>0</v>
      </c>
      <c r="S50" s="358">
        <v>0</v>
      </c>
      <c r="T50" s="358">
        <v>0</v>
      </c>
      <c r="U50" s="358">
        <v>0</v>
      </c>
      <c r="V50" s="358">
        <v>0</v>
      </c>
      <c r="W50" s="358">
        <v>0</v>
      </c>
      <c r="X50" s="358">
        <v>0</v>
      </c>
      <c r="Y50" s="358">
        <v>0</v>
      </c>
      <c r="Z50" s="358">
        <v>0</v>
      </c>
    </row>
    <row r="51" spans="1:26" x14ac:dyDescent="0.3">
      <c r="A51" s="470" t="s">
        <v>218</v>
      </c>
      <c r="B51" s="467"/>
      <c r="C51" s="467"/>
      <c r="D51" s="469"/>
      <c r="F51" s="358">
        <v>0</v>
      </c>
      <c r="G51" s="358">
        <v>0</v>
      </c>
      <c r="H51" s="358">
        <v>0</v>
      </c>
      <c r="I51" s="358">
        <v>0</v>
      </c>
      <c r="J51" s="358">
        <v>0</v>
      </c>
      <c r="K51" s="358">
        <v>0</v>
      </c>
      <c r="L51" s="358">
        <v>0</v>
      </c>
      <c r="M51" s="358">
        <v>0</v>
      </c>
      <c r="N51" s="358">
        <v>0</v>
      </c>
      <c r="O51" s="358">
        <v>0</v>
      </c>
      <c r="P51" s="358">
        <v>0</v>
      </c>
      <c r="Q51" s="358">
        <v>0</v>
      </c>
      <c r="R51" s="358">
        <v>0</v>
      </c>
      <c r="S51" s="358">
        <v>0</v>
      </c>
      <c r="T51" s="358">
        <v>0</v>
      </c>
      <c r="U51" s="358">
        <v>0</v>
      </c>
      <c r="V51" s="358">
        <v>0</v>
      </c>
      <c r="W51" s="358">
        <v>0</v>
      </c>
      <c r="X51" s="358">
        <v>0</v>
      </c>
      <c r="Y51" s="358">
        <v>0</v>
      </c>
      <c r="Z51" s="358">
        <v>0</v>
      </c>
    </row>
    <row r="52" spans="1:26" x14ac:dyDescent="0.3">
      <c r="A52" s="470" t="s">
        <v>219</v>
      </c>
      <c r="B52" s="467"/>
      <c r="C52" s="467"/>
      <c r="D52" s="469"/>
      <c r="F52" s="358">
        <v>0</v>
      </c>
      <c r="G52" s="358">
        <v>0</v>
      </c>
      <c r="H52" s="358">
        <v>0</v>
      </c>
      <c r="I52" s="358">
        <v>0</v>
      </c>
      <c r="J52" s="358">
        <v>0</v>
      </c>
      <c r="K52" s="358">
        <v>0</v>
      </c>
      <c r="L52" s="358">
        <v>0</v>
      </c>
      <c r="M52" s="358">
        <v>0</v>
      </c>
      <c r="N52" s="358">
        <v>0</v>
      </c>
      <c r="O52" s="358">
        <v>0</v>
      </c>
      <c r="P52" s="358">
        <v>0</v>
      </c>
      <c r="Q52" s="358">
        <v>0</v>
      </c>
      <c r="R52" s="358">
        <v>0</v>
      </c>
      <c r="S52" s="358">
        <v>0</v>
      </c>
      <c r="T52" s="358">
        <v>0</v>
      </c>
      <c r="U52" s="358">
        <v>0</v>
      </c>
      <c r="V52" s="358">
        <v>0</v>
      </c>
      <c r="W52" s="358">
        <v>0</v>
      </c>
      <c r="X52" s="358">
        <v>0</v>
      </c>
      <c r="Y52" s="358">
        <v>0</v>
      </c>
      <c r="Z52" s="358">
        <v>0</v>
      </c>
    </row>
    <row r="53" spans="1:26" x14ac:dyDescent="0.3">
      <c r="A53" s="470" t="s">
        <v>203</v>
      </c>
      <c r="B53" s="467"/>
      <c r="C53" s="467"/>
      <c r="D53" s="469"/>
      <c r="F53" s="358">
        <v>0</v>
      </c>
      <c r="G53" s="358">
        <v>0</v>
      </c>
      <c r="H53" s="358">
        <v>0</v>
      </c>
      <c r="I53" s="358">
        <v>0</v>
      </c>
      <c r="J53" s="358">
        <v>0</v>
      </c>
      <c r="K53" s="358">
        <v>0</v>
      </c>
      <c r="L53" s="358">
        <v>0</v>
      </c>
      <c r="M53" s="358">
        <v>0</v>
      </c>
      <c r="N53" s="358">
        <v>0</v>
      </c>
      <c r="O53" s="358">
        <v>0</v>
      </c>
      <c r="P53" s="358">
        <v>0</v>
      </c>
      <c r="Q53" s="358">
        <v>0</v>
      </c>
      <c r="R53" s="358">
        <v>0</v>
      </c>
      <c r="S53" s="358">
        <v>0</v>
      </c>
      <c r="T53" s="358">
        <v>0</v>
      </c>
      <c r="U53" s="358">
        <v>0</v>
      </c>
      <c r="V53" s="358">
        <v>0</v>
      </c>
      <c r="W53" s="358">
        <v>0</v>
      </c>
      <c r="X53" s="358">
        <v>0</v>
      </c>
      <c r="Y53" s="358">
        <v>0</v>
      </c>
      <c r="Z53" s="358">
        <v>0</v>
      </c>
    </row>
    <row r="54" spans="1:26" x14ac:dyDescent="0.3">
      <c r="A54" s="470" t="s">
        <v>220</v>
      </c>
      <c r="B54" s="467"/>
      <c r="C54" s="467"/>
      <c r="D54" s="469"/>
      <c r="F54" s="358">
        <v>0</v>
      </c>
      <c r="G54" s="358">
        <v>0</v>
      </c>
      <c r="H54" s="358">
        <v>0</v>
      </c>
      <c r="I54" s="358">
        <v>0</v>
      </c>
      <c r="J54" s="358">
        <v>0</v>
      </c>
      <c r="K54" s="358">
        <v>0</v>
      </c>
      <c r="L54" s="358">
        <v>0</v>
      </c>
      <c r="M54" s="358">
        <v>0</v>
      </c>
      <c r="N54" s="358">
        <v>0</v>
      </c>
      <c r="O54" s="358">
        <v>0</v>
      </c>
      <c r="P54" s="358">
        <v>0</v>
      </c>
      <c r="Q54" s="358">
        <v>0</v>
      </c>
      <c r="R54" s="358">
        <v>0</v>
      </c>
      <c r="S54" s="358">
        <v>0</v>
      </c>
      <c r="T54" s="358">
        <v>0</v>
      </c>
      <c r="U54" s="358">
        <v>0</v>
      </c>
      <c r="V54" s="358">
        <v>0</v>
      </c>
      <c r="W54" s="358">
        <v>0</v>
      </c>
      <c r="X54" s="358">
        <v>0</v>
      </c>
      <c r="Y54" s="358">
        <v>0</v>
      </c>
      <c r="Z54" s="358">
        <v>0</v>
      </c>
    </row>
    <row r="55" spans="1:26" x14ac:dyDescent="0.3">
      <c r="A55" s="470" t="s">
        <v>221</v>
      </c>
      <c r="B55" s="467"/>
      <c r="C55" s="467"/>
      <c r="D55" s="469"/>
      <c r="F55" s="358">
        <v>0</v>
      </c>
      <c r="G55" s="358">
        <v>0</v>
      </c>
      <c r="H55" s="358">
        <v>0</v>
      </c>
      <c r="I55" s="358">
        <v>0</v>
      </c>
      <c r="J55" s="358">
        <v>0</v>
      </c>
      <c r="K55" s="358">
        <v>0</v>
      </c>
      <c r="L55" s="358">
        <v>0</v>
      </c>
      <c r="M55" s="358">
        <v>0</v>
      </c>
      <c r="N55" s="358">
        <v>0</v>
      </c>
      <c r="O55" s="358">
        <v>0</v>
      </c>
      <c r="P55" s="358">
        <v>0</v>
      </c>
      <c r="Q55" s="358">
        <v>0</v>
      </c>
      <c r="R55" s="358">
        <v>0</v>
      </c>
      <c r="S55" s="358">
        <v>0</v>
      </c>
      <c r="T55" s="358">
        <v>0</v>
      </c>
      <c r="U55" s="358">
        <v>0</v>
      </c>
      <c r="V55" s="358">
        <v>0</v>
      </c>
      <c r="W55" s="358">
        <v>0</v>
      </c>
      <c r="X55" s="358">
        <v>0</v>
      </c>
      <c r="Y55" s="358">
        <v>0</v>
      </c>
      <c r="Z55" s="358">
        <v>0</v>
      </c>
    </row>
    <row r="56" spans="1:26" x14ac:dyDescent="0.3">
      <c r="A56" s="470" t="s">
        <v>179</v>
      </c>
      <c r="B56" s="467"/>
      <c r="C56" s="467"/>
      <c r="D56" s="469"/>
      <c r="F56" s="358">
        <v>0</v>
      </c>
      <c r="G56" s="358">
        <v>0</v>
      </c>
      <c r="H56" s="358">
        <v>0</v>
      </c>
      <c r="I56" s="358">
        <v>0</v>
      </c>
      <c r="J56" s="358">
        <v>0</v>
      </c>
      <c r="K56" s="358">
        <v>0</v>
      </c>
      <c r="L56" s="358">
        <v>0</v>
      </c>
      <c r="M56" s="358">
        <v>0</v>
      </c>
      <c r="N56" s="358">
        <v>0</v>
      </c>
      <c r="O56" s="358">
        <v>0</v>
      </c>
      <c r="P56" s="358">
        <v>0</v>
      </c>
      <c r="Q56" s="358">
        <v>0</v>
      </c>
      <c r="R56" s="358">
        <v>0</v>
      </c>
      <c r="S56" s="358">
        <v>0</v>
      </c>
      <c r="T56" s="358">
        <v>0</v>
      </c>
      <c r="U56" s="358">
        <v>0</v>
      </c>
      <c r="V56" s="358">
        <v>0</v>
      </c>
      <c r="W56" s="358">
        <v>0</v>
      </c>
      <c r="X56" s="358">
        <v>0</v>
      </c>
      <c r="Y56" s="358">
        <v>0</v>
      </c>
      <c r="Z56" s="358">
        <v>0</v>
      </c>
    </row>
    <row r="57" spans="1:26" x14ac:dyDescent="0.3">
      <c r="A57" s="470" t="s">
        <v>178</v>
      </c>
      <c r="B57" s="467"/>
      <c r="C57" s="467"/>
      <c r="D57" s="469"/>
      <c r="F57" s="358">
        <v>0</v>
      </c>
      <c r="G57" s="358">
        <v>0</v>
      </c>
      <c r="H57" s="358">
        <v>0</v>
      </c>
      <c r="I57" s="358">
        <v>0</v>
      </c>
      <c r="J57" s="358">
        <v>0</v>
      </c>
      <c r="K57" s="358">
        <v>0</v>
      </c>
      <c r="L57" s="358">
        <v>0</v>
      </c>
      <c r="M57" s="358">
        <v>0</v>
      </c>
      <c r="N57" s="358">
        <v>0</v>
      </c>
      <c r="O57" s="358">
        <v>0</v>
      </c>
      <c r="P57" s="358">
        <v>0</v>
      </c>
      <c r="Q57" s="358">
        <v>0</v>
      </c>
      <c r="R57" s="358">
        <v>0</v>
      </c>
      <c r="S57" s="358">
        <v>0</v>
      </c>
      <c r="T57" s="358">
        <v>0</v>
      </c>
      <c r="U57" s="358">
        <v>0</v>
      </c>
      <c r="V57" s="358">
        <v>0</v>
      </c>
      <c r="W57" s="358">
        <v>0</v>
      </c>
      <c r="X57" s="358">
        <v>0</v>
      </c>
      <c r="Y57" s="358">
        <v>0</v>
      </c>
      <c r="Z57" s="358">
        <v>0</v>
      </c>
    </row>
  </sheetData>
  <mergeCells count="24">
    <mergeCell ref="A56:D56"/>
    <mergeCell ref="A50:D50"/>
    <mergeCell ref="A55:D55"/>
    <mergeCell ref="A57:D57"/>
    <mergeCell ref="A47:D47"/>
    <mergeCell ref="A5:A6"/>
    <mergeCell ref="A45:D45"/>
    <mergeCell ref="A54:D54"/>
    <mergeCell ref="A1:AB1"/>
    <mergeCell ref="A39:C39"/>
    <mergeCell ref="A46:D46"/>
    <mergeCell ref="B5:B6"/>
    <mergeCell ref="D5:D6"/>
    <mergeCell ref="B3:D3"/>
    <mergeCell ref="B2:D2"/>
    <mergeCell ref="C5:C6"/>
    <mergeCell ref="BA7:BI7"/>
    <mergeCell ref="A53:D53"/>
    <mergeCell ref="A52:D52"/>
    <mergeCell ref="A44:D44"/>
    <mergeCell ref="A42:C42"/>
    <mergeCell ref="A48:D48"/>
    <mergeCell ref="A51:D51"/>
    <mergeCell ref="A49:D49"/>
  </mergeCells>
  <printOptions horizontalCentered="1" verticalCentered="1"/>
  <pageMargins left="0.15748031496062989" right="0.23622047244094491" top="0.74803149606299213" bottom="0.74803149606299213" header="0.31496062992125978" footer="0.31496062992125978"/>
  <pageSetup paperSize="9" scale="63" fitToHeight="0"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44">
    <tabColor theme="9"/>
  </sheetPr>
  <dimension ref="A1:GI52"/>
  <sheetViews>
    <sheetView showGridLines="0" topLeftCell="A4" zoomScale="80" zoomScaleNormal="80" workbookViewId="0">
      <selection activeCell="AA34" sqref="AA34"/>
    </sheetView>
  </sheetViews>
  <sheetFormatPr defaultColWidth="9.140625" defaultRowHeight="15" x14ac:dyDescent="0.25"/>
  <cols>
    <col min="1" max="1" width="29" customWidth="1"/>
    <col min="2" max="2" width="9.140625" customWidth="1"/>
    <col min="3" max="3" width="14.42578125" customWidth="1"/>
    <col min="5" max="5" width="1.85546875" customWidth="1"/>
    <col min="6" max="6" width="8.140625" hidden="1" customWidth="1"/>
    <col min="7" max="25" width="13" hidden="1" customWidth="1"/>
    <col min="26" max="26" width="8.140625" hidden="1" customWidth="1"/>
    <col min="27" max="29" width="13" hidden="1" customWidth="1"/>
    <col min="30" max="31" width="13" customWidth="1"/>
    <col min="32" max="32" width="7.85546875" customWidth="1"/>
    <col min="33" max="33" width="1.28515625" customWidth="1"/>
    <col min="34" max="34" width="14.28515625" customWidth="1"/>
    <col min="35" max="35" width="1.28515625" customWidth="1"/>
    <col min="36" max="36" width="15.7109375" customWidth="1"/>
    <col min="37" max="37" width="1.140625" customWidth="1"/>
    <col min="38" max="38" width="8.7109375" customWidth="1"/>
    <col min="39" max="40" width="13" customWidth="1"/>
    <col min="41" max="43" width="13" hidden="1" customWidth="1"/>
    <col min="44" max="44" width="8.7109375" hidden="1" customWidth="1"/>
    <col min="45" max="52" width="13" hidden="1" customWidth="1"/>
    <col min="53" max="53" width="9.140625" customWidth="1"/>
    <col min="54" max="54" width="21.85546875" customWidth="1"/>
    <col min="55" max="55" width="9.140625" customWidth="1"/>
    <col min="56" max="60" width="13" hidden="1" customWidth="1"/>
    <col min="61" max="61" width="9.140625" hidden="1" customWidth="1"/>
    <col min="62" max="64" width="13" hidden="1" customWidth="1"/>
    <col min="65" max="66" width="13" customWidth="1"/>
  </cols>
  <sheetData>
    <row r="1" spans="1:67" ht="23.25" customHeight="1" x14ac:dyDescent="0.25">
      <c r="A1" s="477" t="s">
        <v>117</v>
      </c>
      <c r="B1" s="478"/>
      <c r="C1" s="478"/>
      <c r="D1" s="478"/>
      <c r="E1" s="478"/>
      <c r="F1" s="478"/>
      <c r="G1" s="478"/>
      <c r="H1" s="478"/>
      <c r="I1" s="478"/>
      <c r="J1" s="478"/>
      <c r="K1" s="478"/>
      <c r="L1" s="478"/>
      <c r="M1" s="478"/>
      <c r="N1" s="478"/>
      <c r="O1" s="478"/>
      <c r="P1" s="478"/>
      <c r="Q1" s="478"/>
      <c r="R1" s="478"/>
      <c r="S1" s="478"/>
      <c r="T1" s="478"/>
      <c r="U1" s="478"/>
      <c r="V1" s="478"/>
      <c r="W1" s="478"/>
      <c r="X1" s="478"/>
      <c r="Y1" s="478"/>
      <c r="Z1" s="478"/>
      <c r="AA1" s="478"/>
      <c r="AF1" s="338"/>
      <c r="AG1" s="354"/>
      <c r="AH1" s="353"/>
      <c r="AI1" s="353"/>
      <c r="AJ1" s="353"/>
      <c r="AK1" s="353"/>
      <c r="AL1" s="353"/>
      <c r="AM1" s="353"/>
      <c r="AN1" s="353"/>
      <c r="AO1" s="353"/>
      <c r="AP1" s="353"/>
      <c r="AQ1" s="353"/>
      <c r="AR1" s="353"/>
      <c r="AS1" s="353"/>
      <c r="AT1" s="353"/>
      <c r="AU1" s="353"/>
      <c r="AV1" s="353"/>
      <c r="AW1" s="353"/>
      <c r="AX1" s="353"/>
      <c r="AY1" s="353"/>
      <c r="AZ1" s="353"/>
    </row>
    <row r="2" spans="1:67" ht="18.75" x14ac:dyDescent="0.3">
      <c r="A2" s="28" t="s">
        <v>118</v>
      </c>
      <c r="B2" s="473" t="s">
        <v>222</v>
      </c>
      <c r="C2" s="463"/>
      <c r="D2" s="464"/>
      <c r="AG2" s="11"/>
      <c r="AH2" s="11"/>
      <c r="AJ2" s="11"/>
    </row>
    <row r="3" spans="1:67" ht="18.75" x14ac:dyDescent="0.3">
      <c r="A3" s="28" t="s">
        <v>120</v>
      </c>
      <c r="B3" s="465" t="s">
        <v>223</v>
      </c>
      <c r="C3" s="463"/>
      <c r="D3" s="464"/>
      <c r="E3" s="7"/>
      <c r="F3" s="481"/>
      <c r="G3" s="478"/>
      <c r="H3" s="478"/>
      <c r="I3" s="478"/>
      <c r="J3" s="478"/>
      <c r="K3" s="478"/>
      <c r="L3" s="478"/>
      <c r="M3" s="478"/>
      <c r="N3" s="478"/>
      <c r="O3" s="478"/>
      <c r="P3" s="478"/>
      <c r="Q3" s="478"/>
      <c r="R3" s="478"/>
      <c r="S3" s="478"/>
      <c r="T3" s="478"/>
      <c r="U3" s="478"/>
      <c r="V3" s="478"/>
      <c r="W3" s="478"/>
      <c r="X3" s="478"/>
      <c r="Y3" s="478"/>
      <c r="Z3" s="478"/>
      <c r="AA3" s="478"/>
      <c r="AB3" s="478"/>
      <c r="AG3" s="413"/>
      <c r="AH3" s="11"/>
      <c r="AI3" s="7"/>
    </row>
    <row r="4" spans="1:67" ht="18.75" x14ac:dyDescent="0.3">
      <c r="AG4" s="74"/>
      <c r="AJ4" s="11"/>
      <c r="AK4" s="154"/>
      <c r="AL4" s="387"/>
      <c r="AM4" s="387"/>
      <c r="AN4" s="387"/>
      <c r="AO4" s="387"/>
      <c r="AP4" s="387"/>
      <c r="AQ4" s="387"/>
      <c r="AR4" s="387"/>
      <c r="AS4" s="387"/>
      <c r="AT4" s="387"/>
      <c r="AU4" s="387"/>
      <c r="AV4" s="387"/>
      <c r="AW4" s="387"/>
      <c r="AX4" s="387"/>
      <c r="AY4" s="387"/>
      <c r="AZ4" s="387"/>
    </row>
    <row r="5" spans="1:67" ht="18.75" customHeight="1" x14ac:dyDescent="0.3">
      <c r="A5" s="476" t="s">
        <v>122</v>
      </c>
      <c r="B5" s="471" t="s">
        <v>123</v>
      </c>
      <c r="C5" s="471" t="s">
        <v>124</v>
      </c>
      <c r="D5" s="474" t="s">
        <v>125</v>
      </c>
      <c r="F5" s="482"/>
      <c r="G5" s="483"/>
      <c r="H5" s="483"/>
      <c r="I5" s="483"/>
      <c r="J5" s="483"/>
      <c r="K5" s="483"/>
      <c r="L5" s="483"/>
      <c r="M5" s="483"/>
      <c r="N5" s="483"/>
      <c r="O5" s="483"/>
      <c r="P5" s="483"/>
      <c r="Q5" s="483"/>
      <c r="R5" s="483"/>
      <c r="S5" s="483"/>
      <c r="T5" s="483"/>
      <c r="U5" s="483"/>
      <c r="V5" s="483"/>
      <c r="W5" s="483"/>
      <c r="X5" s="483"/>
      <c r="Y5" s="483"/>
      <c r="Z5" s="483"/>
      <c r="AA5" s="483"/>
      <c r="AB5" s="453"/>
      <c r="AC5" s="453"/>
      <c r="AD5" s="453"/>
      <c r="AE5" s="453"/>
      <c r="AF5" s="414"/>
      <c r="AG5" s="115"/>
      <c r="AH5" s="29" t="s">
        <v>126</v>
      </c>
      <c r="AJ5" s="9" t="s">
        <v>127</v>
      </c>
      <c r="AK5" s="363">
        <v>46161.483286286923</v>
      </c>
      <c r="AL5" s="363"/>
      <c r="AM5" s="363">
        <v>46142</v>
      </c>
      <c r="AN5" s="363">
        <v>46114</v>
      </c>
      <c r="AO5" s="409">
        <v>46065</v>
      </c>
      <c r="AP5" s="363">
        <v>46107</v>
      </c>
      <c r="AQ5" s="363">
        <v>46092</v>
      </c>
      <c r="AR5" s="363">
        <v>46056</v>
      </c>
      <c r="AS5" s="363">
        <v>46048</v>
      </c>
      <c r="AT5" s="363">
        <v>46043</v>
      </c>
      <c r="AU5" s="363">
        <v>46035</v>
      </c>
      <c r="AV5" s="363">
        <v>46029</v>
      </c>
      <c r="AW5" s="363">
        <v>46017</v>
      </c>
      <c r="AX5" s="363">
        <v>46007</v>
      </c>
      <c r="AY5" s="363">
        <v>46001</v>
      </c>
      <c r="AZ5" s="363">
        <v>45994</v>
      </c>
    </row>
    <row r="6" spans="1:67" s="3" customFormat="1" ht="18.75" x14ac:dyDescent="0.3">
      <c r="A6" s="461"/>
      <c r="B6" s="461"/>
      <c r="C6" s="461"/>
      <c r="D6" s="461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13">
        <v>46160</v>
      </c>
      <c r="AB6" s="13">
        <v>46161.480127210649</v>
      </c>
      <c r="AC6" s="13">
        <v>46161.48080085648</v>
      </c>
      <c r="AD6" s="13">
        <v>46161.482958402783</v>
      </c>
      <c r="AE6" s="13">
        <v>46161.483286960764</v>
      </c>
      <c r="AF6" s="35" t="s">
        <v>129</v>
      </c>
      <c r="AG6" s="116"/>
      <c r="AH6" s="180"/>
      <c r="AI6" s="31"/>
      <c r="AJ6" s="179"/>
      <c r="AK6" s="363">
        <v>46161.483286287199</v>
      </c>
      <c r="AL6" s="363"/>
      <c r="AM6" s="363">
        <v>46156</v>
      </c>
      <c r="AN6" s="363">
        <v>46125</v>
      </c>
      <c r="AO6" s="409">
        <v>46111</v>
      </c>
      <c r="AP6" s="363">
        <v>46111</v>
      </c>
      <c r="AQ6" s="363">
        <v>46101</v>
      </c>
      <c r="AR6" s="363">
        <v>46062</v>
      </c>
      <c r="AS6" s="363">
        <v>46056</v>
      </c>
      <c r="AT6" s="363">
        <v>46052</v>
      </c>
      <c r="AU6" s="363">
        <v>46043</v>
      </c>
      <c r="AV6" s="363">
        <v>46037</v>
      </c>
      <c r="AW6" s="363">
        <v>46027</v>
      </c>
      <c r="AX6" s="363">
        <v>46013</v>
      </c>
      <c r="AY6" s="363">
        <v>46010</v>
      </c>
      <c r="AZ6" s="363">
        <v>46001</v>
      </c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</row>
    <row r="7" spans="1:67" s="3" customFormat="1" ht="21.75" customHeight="1" x14ac:dyDescent="0.3">
      <c r="A7" s="5" t="s">
        <v>130</v>
      </c>
      <c r="B7" s="5"/>
      <c r="C7" s="5"/>
      <c r="D7" s="233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341"/>
      <c r="AH7" s="84"/>
      <c r="AI7" s="11"/>
      <c r="AJ7" s="124"/>
      <c r="AK7" s="12"/>
      <c r="AL7" s="12"/>
      <c r="AM7" s="12"/>
      <c r="AN7" s="12"/>
      <c r="AO7" s="12" t="s">
        <v>131</v>
      </c>
      <c r="AP7" s="12"/>
      <c r="AQ7" s="12"/>
      <c r="AR7" s="12"/>
      <c r="AS7" s="12"/>
      <c r="AT7" s="12"/>
      <c r="AU7" s="12"/>
      <c r="AV7" s="12"/>
      <c r="AW7" s="12"/>
      <c r="AX7" s="466"/>
      <c r="AY7" s="466"/>
      <c r="AZ7" s="467"/>
      <c r="BA7" s="467"/>
      <c r="BB7" s="467"/>
      <c r="BC7" s="467"/>
      <c r="BD7" s="467"/>
      <c r="BE7" s="467"/>
      <c r="BF7" s="467"/>
      <c r="BG7" s="447"/>
      <c r="BH7" s="447"/>
      <c r="BI7" s="452"/>
      <c r="BJ7" s="443"/>
      <c r="BK7" s="444"/>
      <c r="BL7" s="444"/>
      <c r="BM7" s="444"/>
      <c r="BN7" s="444"/>
      <c r="BO7" s="412"/>
    </row>
    <row r="8" spans="1:67" s="3" customFormat="1" ht="19.5" customHeight="1" x14ac:dyDescent="0.3">
      <c r="A8" s="21" t="s">
        <v>132</v>
      </c>
      <c r="B8" s="6">
        <v>300</v>
      </c>
      <c r="C8" s="82">
        <v>187.12</v>
      </c>
      <c r="D8" s="234">
        <v>250</v>
      </c>
      <c r="E8" s="11"/>
      <c r="F8" s="39">
        <f>390+AT8</f>
        <v>390</v>
      </c>
      <c r="G8" s="39">
        <v>765</v>
      </c>
      <c r="H8" s="39">
        <v>735</v>
      </c>
      <c r="I8" s="39">
        <v>735</v>
      </c>
      <c r="J8" s="39">
        <v>705</v>
      </c>
      <c r="K8" s="39">
        <v>690</v>
      </c>
      <c r="L8" s="39">
        <v>645</v>
      </c>
      <c r="M8" s="39">
        <v>615</v>
      </c>
      <c r="N8" s="39">
        <v>570</v>
      </c>
      <c r="O8" s="39">
        <v>570</v>
      </c>
      <c r="P8" s="39">
        <v>510</v>
      </c>
      <c r="Q8" s="39">
        <v>465</v>
      </c>
      <c r="R8" s="39">
        <v>420</v>
      </c>
      <c r="S8" s="39">
        <v>375</v>
      </c>
      <c r="T8" s="39">
        <v>345</v>
      </c>
      <c r="U8" s="39">
        <v>300</v>
      </c>
      <c r="V8" s="39">
        <v>270</v>
      </c>
      <c r="W8" s="39">
        <v>210</v>
      </c>
      <c r="X8" s="39">
        <v>195</v>
      </c>
      <c r="Y8" s="39">
        <v>150</v>
      </c>
      <c r="Z8" s="39">
        <f>45+AI8</f>
        <v>45</v>
      </c>
      <c r="AA8" s="39"/>
      <c r="AB8" s="6"/>
      <c r="AC8" s="6"/>
      <c r="AD8" s="6"/>
      <c r="AE8" s="6"/>
      <c r="AF8" s="372">
        <f ca="1">AD8+IF(NOT(ISBLANK(OFFSET(AF8,0,6))),N(OFFSET(AF8,0,6)),N(OFFSET(AF8,0,7)))-AE8</f>
        <v>0</v>
      </c>
      <c r="AG8" s="109"/>
      <c r="AH8" s="78"/>
      <c r="AI8" s="11"/>
      <c r="AJ8" s="345"/>
      <c r="AK8" s="445">
        <v>0</v>
      </c>
      <c r="AL8" s="19">
        <v>0</v>
      </c>
      <c r="AM8" s="19">
        <v>300</v>
      </c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>
        <v>600</v>
      </c>
      <c r="AY8" s="19">
        <v>300</v>
      </c>
      <c r="AZ8" s="19">
        <v>300</v>
      </c>
      <c r="BB8" s="389" t="s">
        <v>130</v>
      </c>
      <c r="BC8" s="376" t="s">
        <v>123</v>
      </c>
      <c r="BD8" s="13">
        <v>46118</v>
      </c>
      <c r="BE8" s="13">
        <v>46125</v>
      </c>
      <c r="BF8" s="13">
        <v>46132</v>
      </c>
      <c r="BG8" s="13">
        <v>46139</v>
      </c>
      <c r="BH8" s="13">
        <v>46146</v>
      </c>
      <c r="BI8" s="13">
        <v>46154</v>
      </c>
      <c r="BJ8" s="13">
        <v>46160</v>
      </c>
      <c r="BK8" s="13">
        <v>46161.480126840281</v>
      </c>
      <c r="BL8" s="13">
        <v>46161.480800428239</v>
      </c>
      <c r="BM8" s="13">
        <v>46161.482958067128</v>
      </c>
      <c r="BN8" s="13">
        <v>46161.483286586539</v>
      </c>
      <c r="BO8" s="35" t="s">
        <v>129</v>
      </c>
    </row>
    <row r="9" spans="1:67" s="3" customFormat="1" ht="19.5" customHeight="1" x14ac:dyDescent="0.3">
      <c r="A9" s="21" t="s">
        <v>134</v>
      </c>
      <c r="B9" s="6">
        <v>200</v>
      </c>
      <c r="C9" s="82">
        <v>246.28</v>
      </c>
      <c r="D9" s="234">
        <v>650</v>
      </c>
      <c r="E9" s="11"/>
      <c r="F9" s="39">
        <f>135+AT9</f>
        <v>135</v>
      </c>
      <c r="G9" s="39">
        <v>195</v>
      </c>
      <c r="H9" s="39">
        <f>105+AS9</f>
        <v>305</v>
      </c>
      <c r="I9" s="39">
        <v>750</v>
      </c>
      <c r="J9" s="39">
        <f>630+AQ9</f>
        <v>830</v>
      </c>
      <c r="K9" s="39">
        <v>935</v>
      </c>
      <c r="L9" s="39">
        <f>800+AO9</f>
        <v>1600</v>
      </c>
      <c r="M9" s="39">
        <f>860+AN9</f>
        <v>860</v>
      </c>
      <c r="N9" s="39">
        <v>920</v>
      </c>
      <c r="O9" s="39">
        <v>800</v>
      </c>
      <c r="P9" s="39">
        <v>690</v>
      </c>
      <c r="Q9" s="39">
        <v>520</v>
      </c>
      <c r="R9" s="39">
        <f>370+AM9</f>
        <v>770</v>
      </c>
      <c r="S9" s="39">
        <v>385</v>
      </c>
      <c r="T9" s="39">
        <f>275+AL9</f>
        <v>275</v>
      </c>
      <c r="U9" s="39">
        <v>370</v>
      </c>
      <c r="V9" s="39">
        <v>335</v>
      </c>
      <c r="W9" s="39">
        <v>335</v>
      </c>
      <c r="X9" s="39">
        <v>335</v>
      </c>
      <c r="Y9" s="39">
        <v>335</v>
      </c>
      <c r="Z9" s="39">
        <f>275+AI9</f>
        <v>275</v>
      </c>
      <c r="AA9" s="39"/>
      <c r="AB9" s="6"/>
      <c r="AC9" s="6"/>
      <c r="AD9" s="6"/>
      <c r="AE9" s="6"/>
      <c r="AF9" s="372">
        <f ca="1">AD9+IF(NOT(ISBLANK(OFFSET(AF9,0,6))),N(OFFSET(AF9,0,6)),N(OFFSET(AF9,0,7)))-AE9</f>
        <v>0</v>
      </c>
      <c r="AG9" s="109"/>
      <c r="AH9" s="78"/>
      <c r="AI9" s="11"/>
      <c r="AJ9" s="345"/>
      <c r="AK9" s="446">
        <v>0</v>
      </c>
      <c r="AL9" s="296">
        <v>0</v>
      </c>
      <c r="AM9" s="296">
        <v>400</v>
      </c>
      <c r="AN9" s="19"/>
      <c r="AO9" s="117">
        <v>800</v>
      </c>
      <c r="AP9" s="19">
        <v>200</v>
      </c>
      <c r="AQ9" s="19">
        <v>200</v>
      </c>
      <c r="AR9" s="19">
        <v>200</v>
      </c>
      <c r="AS9" s="19">
        <v>200</v>
      </c>
      <c r="AT9" s="19"/>
      <c r="AU9" s="19">
        <v>400</v>
      </c>
      <c r="AV9" s="19"/>
      <c r="AW9" s="19">
        <v>800</v>
      </c>
      <c r="AX9" s="19">
        <v>600</v>
      </c>
      <c r="AY9" s="19">
        <v>400</v>
      </c>
      <c r="AZ9" s="19"/>
      <c r="BB9" s="364" t="s">
        <v>136</v>
      </c>
      <c r="BC9" s="135">
        <v>200</v>
      </c>
      <c r="BD9" s="39">
        <f>AK9</f>
        <v>0</v>
      </c>
      <c r="BE9" s="39">
        <v>600</v>
      </c>
      <c r="BF9" s="39">
        <v>490</v>
      </c>
      <c r="BG9" s="39">
        <v>430</v>
      </c>
      <c r="BH9" s="39">
        <v>305</v>
      </c>
      <c r="BI9" s="39">
        <v>105</v>
      </c>
      <c r="BJ9" s="39"/>
      <c r="BK9" s="6"/>
      <c r="BL9" s="6"/>
      <c r="BM9" s="6"/>
      <c r="BN9" s="6"/>
      <c r="BO9" s="26">
        <f ca="1">BM9+IF(NOT(ISBLANK(OFFSET(BO9,0,6))),N(OFFSET(BO9,0,6)),N(OFFSET(BO9,0,7)))-BN9</f>
        <v>0</v>
      </c>
    </row>
    <row r="10" spans="1:67" s="3" customFormat="1" ht="19.5" customHeight="1" x14ac:dyDescent="0.3">
      <c r="A10" s="21" t="s">
        <v>137</v>
      </c>
      <c r="B10" s="6">
        <v>200</v>
      </c>
      <c r="C10" s="82">
        <v>253.83</v>
      </c>
      <c r="D10" s="234">
        <v>250</v>
      </c>
      <c r="E10" s="11"/>
      <c r="F10" s="39">
        <f>260+AT10</f>
        <v>460</v>
      </c>
      <c r="G10" s="39">
        <v>120</v>
      </c>
      <c r="H10" s="39">
        <f>60+AS10</f>
        <v>60</v>
      </c>
      <c r="I10" s="39">
        <v>400</v>
      </c>
      <c r="J10" s="39">
        <v>350</v>
      </c>
      <c r="K10" s="39">
        <v>305</v>
      </c>
      <c r="L10" s="39">
        <v>460</v>
      </c>
      <c r="M10" s="39">
        <v>400</v>
      </c>
      <c r="N10" s="39">
        <v>370</v>
      </c>
      <c r="O10" s="39">
        <v>335</v>
      </c>
      <c r="P10" s="39">
        <v>290</v>
      </c>
      <c r="Q10" s="39">
        <v>230</v>
      </c>
      <c r="R10" s="39">
        <f>170+AM10</f>
        <v>370</v>
      </c>
      <c r="S10" s="39">
        <v>320</v>
      </c>
      <c r="T10" s="39">
        <v>305</v>
      </c>
      <c r="U10" s="39">
        <v>260</v>
      </c>
      <c r="V10" s="39">
        <v>245</v>
      </c>
      <c r="W10" s="39">
        <v>245</v>
      </c>
      <c r="X10" s="39">
        <v>245</v>
      </c>
      <c r="Y10" s="39">
        <v>245</v>
      </c>
      <c r="Z10" s="39">
        <f>215+AI10</f>
        <v>215</v>
      </c>
      <c r="AA10" s="39"/>
      <c r="AB10" s="6"/>
      <c r="AC10" s="6"/>
      <c r="AD10" s="6"/>
      <c r="AE10" s="6"/>
      <c r="AF10" s="372">
        <f ca="1">AD10+IF(NOT(ISBLANK(OFFSET(AF10,0,6))),N(OFFSET(AF10,0,6)),N(OFFSET(AF10,0,7)))-AE10</f>
        <v>0</v>
      </c>
      <c r="AG10" s="109"/>
      <c r="AH10" s="78"/>
      <c r="AI10" s="11"/>
      <c r="AJ10" s="345"/>
      <c r="AK10" s="446">
        <v>0</v>
      </c>
      <c r="AL10" s="296">
        <v>0</v>
      </c>
      <c r="AM10" s="296">
        <v>200</v>
      </c>
      <c r="AN10" s="19"/>
      <c r="AO10" s="117">
        <v>600</v>
      </c>
      <c r="AP10" s="19"/>
      <c r="AQ10" s="19">
        <v>200</v>
      </c>
      <c r="AR10" s="19"/>
      <c r="AS10" s="19"/>
      <c r="AT10" s="19">
        <v>200</v>
      </c>
      <c r="AU10" s="19"/>
      <c r="AV10" s="19"/>
      <c r="AW10" s="19">
        <v>400</v>
      </c>
      <c r="AX10" s="19">
        <v>200</v>
      </c>
      <c r="AY10" s="19">
        <v>200</v>
      </c>
      <c r="AZ10" s="19"/>
      <c r="BB10" s="21" t="s">
        <v>138</v>
      </c>
      <c r="BC10" s="6">
        <v>200</v>
      </c>
      <c r="BD10" s="39">
        <f>AK10</f>
        <v>0</v>
      </c>
      <c r="BE10" s="39">
        <v>490</v>
      </c>
      <c r="BF10" s="39">
        <v>400</v>
      </c>
      <c r="BG10" s="39">
        <v>350</v>
      </c>
      <c r="BH10" s="39">
        <v>245</v>
      </c>
      <c r="BI10" s="39">
        <v>0</v>
      </c>
      <c r="BJ10" s="39"/>
      <c r="BK10" s="6"/>
      <c r="BL10" s="6"/>
      <c r="BM10" s="6"/>
      <c r="BN10" s="6"/>
      <c r="BO10" s="26">
        <f ca="1">BM10+IF(NOT(ISBLANK(OFFSET(BO10,0,6))),N(OFFSET(BO10,0,6)),N(OFFSET(BO10,0,7)))-BN10</f>
        <v>0</v>
      </c>
    </row>
    <row r="11" spans="1:67" s="3" customFormat="1" ht="19.5" customHeight="1" x14ac:dyDescent="0.3">
      <c r="A11" s="22" t="s">
        <v>139</v>
      </c>
      <c r="B11" s="6">
        <v>100</v>
      </c>
      <c r="C11" s="82">
        <v>184.57</v>
      </c>
      <c r="D11" s="234">
        <v>50</v>
      </c>
      <c r="E11" s="11"/>
      <c r="F11" s="39">
        <v>50</v>
      </c>
      <c r="G11" s="39">
        <v>50</v>
      </c>
      <c r="H11" s="39">
        <v>50</v>
      </c>
      <c r="I11" s="39">
        <v>50</v>
      </c>
      <c r="J11" s="39">
        <v>0</v>
      </c>
      <c r="K11" s="39">
        <v>0</v>
      </c>
      <c r="L11" s="39">
        <v>100</v>
      </c>
      <c r="M11" s="39">
        <v>100</v>
      </c>
      <c r="N11" s="39">
        <v>100</v>
      </c>
      <c r="O11" s="39">
        <v>100</v>
      </c>
      <c r="P11" s="39">
        <v>100</v>
      </c>
      <c r="Q11" s="39">
        <v>100</v>
      </c>
      <c r="R11" s="39">
        <v>100</v>
      </c>
      <c r="S11" s="39">
        <v>100</v>
      </c>
      <c r="T11" s="39">
        <v>100</v>
      </c>
      <c r="U11" s="39">
        <v>100</v>
      </c>
      <c r="V11" s="39">
        <v>100</v>
      </c>
      <c r="W11" s="39">
        <v>100</v>
      </c>
      <c r="X11" s="39">
        <v>100</v>
      </c>
      <c r="Y11" s="39">
        <v>100</v>
      </c>
      <c r="Z11" s="39">
        <v>100</v>
      </c>
      <c r="AA11" s="39"/>
      <c r="AB11" s="6"/>
      <c r="AC11" s="6"/>
      <c r="AD11" s="6"/>
      <c r="AE11" s="6"/>
      <c r="AF11" s="372">
        <f ca="1">AD11+IF(NOT(ISBLANK(OFFSET(AF11,0,6))),N(OFFSET(AF11,0,6)),N(OFFSET(AF11,0,7)))-AE11</f>
        <v>0</v>
      </c>
      <c r="AG11" s="109"/>
      <c r="AH11" s="78"/>
      <c r="AI11" s="11"/>
      <c r="AJ11" s="345"/>
      <c r="AK11" s="446">
        <v>0</v>
      </c>
      <c r="AL11" s="296">
        <v>0</v>
      </c>
      <c r="AM11" s="296">
        <v>0</v>
      </c>
      <c r="AN11" s="19"/>
      <c r="AO11" s="117">
        <v>100</v>
      </c>
      <c r="AP11" s="19"/>
      <c r="AQ11" s="19"/>
      <c r="AR11" s="19"/>
      <c r="AS11" s="19"/>
      <c r="AT11" s="19">
        <v>100</v>
      </c>
      <c r="AU11" s="19"/>
      <c r="AV11" s="19"/>
      <c r="AW11" s="19"/>
      <c r="AX11" s="19"/>
      <c r="AY11" s="19"/>
      <c r="AZ11" s="19"/>
      <c r="BB11" s="22" t="s">
        <v>140</v>
      </c>
      <c r="BC11" s="6">
        <v>100</v>
      </c>
      <c r="BD11" s="39">
        <f>AK11</f>
        <v>0</v>
      </c>
      <c r="BE11" s="39">
        <v>0</v>
      </c>
      <c r="BF11" s="39">
        <v>0</v>
      </c>
      <c r="BG11" s="39">
        <v>0</v>
      </c>
      <c r="BH11" s="39">
        <v>0</v>
      </c>
      <c r="BI11" s="39">
        <v>0</v>
      </c>
      <c r="BJ11" s="39"/>
      <c r="BK11" s="6"/>
      <c r="BL11" s="6"/>
      <c r="BM11" s="6"/>
      <c r="BN11" s="6"/>
      <c r="BO11" s="26">
        <f ca="1">BM11+IF(NOT(ISBLANK(OFFSET(BO11,0,6))),N(OFFSET(BO11,0,6)),N(OFFSET(BO11,0,7)))-BN11</f>
        <v>0</v>
      </c>
    </row>
    <row r="12" spans="1:67" s="3" customFormat="1" ht="16.5" customHeight="1" x14ac:dyDescent="0.3">
      <c r="A12" s="23"/>
      <c r="B12" s="1"/>
      <c r="C12" s="64"/>
      <c r="D12" s="235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1"/>
      <c r="AC12" s="1"/>
      <c r="AD12" s="1"/>
      <c r="AE12" s="1"/>
      <c r="AF12" s="2"/>
      <c r="AH12" s="342"/>
      <c r="AI12" s="11"/>
      <c r="AJ12" s="351"/>
      <c r="AK12" s="388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B12" s="23"/>
      <c r="BC12" s="1"/>
      <c r="BD12" s="2"/>
      <c r="BE12" s="2"/>
      <c r="BF12" s="2"/>
      <c r="BG12" s="2"/>
      <c r="BH12" s="2"/>
      <c r="BI12" s="2"/>
      <c r="BJ12" s="2"/>
      <c r="BK12" s="1"/>
      <c r="BL12" s="1"/>
      <c r="BM12" s="1"/>
      <c r="BN12" s="1"/>
    </row>
    <row r="13" spans="1:67" s="3" customFormat="1" ht="18.75" x14ac:dyDescent="0.3">
      <c r="A13" s="24" t="s">
        <v>141</v>
      </c>
      <c r="B13" s="12"/>
      <c r="C13" s="65"/>
      <c r="D13" s="395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13">
        <v>46160</v>
      </c>
      <c r="AB13" s="13">
        <v>46161.480127210649</v>
      </c>
      <c r="AC13" s="13">
        <v>46161.48080085648</v>
      </c>
      <c r="AD13" s="13">
        <v>46161.482958402783</v>
      </c>
      <c r="AE13" s="13">
        <v>46161.483286961091</v>
      </c>
      <c r="AF13" s="35" t="s">
        <v>129</v>
      </c>
      <c r="AH13" s="29" t="s">
        <v>126</v>
      </c>
      <c r="AI13" s="11"/>
      <c r="AJ13" s="9" t="s">
        <v>127</v>
      </c>
      <c r="AK13" s="449">
        <v>46161.483286287643</v>
      </c>
      <c r="AL13" s="363"/>
      <c r="AM13" s="363">
        <v>46142</v>
      </c>
      <c r="AN13" s="363">
        <v>46114</v>
      </c>
      <c r="AO13" s="409">
        <v>46065</v>
      </c>
      <c r="AP13" s="363">
        <v>46107</v>
      </c>
      <c r="AQ13" s="363">
        <v>46092</v>
      </c>
      <c r="AR13" s="363">
        <v>46056</v>
      </c>
      <c r="AS13" s="363">
        <v>46048</v>
      </c>
      <c r="AT13" s="363">
        <v>46043</v>
      </c>
      <c r="AU13" s="363">
        <v>46035</v>
      </c>
      <c r="AV13" s="363">
        <v>46029</v>
      </c>
      <c r="AW13" s="363">
        <v>46017</v>
      </c>
      <c r="AX13" s="363">
        <v>46007</v>
      </c>
      <c r="AY13" s="363">
        <v>46001</v>
      </c>
      <c r="AZ13" s="363">
        <v>45994</v>
      </c>
      <c r="BB13" s="389" t="s">
        <v>141</v>
      </c>
      <c r="BC13" s="376" t="s">
        <v>123</v>
      </c>
      <c r="BD13" s="13">
        <v>46118</v>
      </c>
      <c r="BE13" s="13">
        <v>46125</v>
      </c>
      <c r="BF13" s="13">
        <v>46132</v>
      </c>
      <c r="BG13" s="13">
        <v>46139</v>
      </c>
      <c r="BH13" s="13">
        <v>46146</v>
      </c>
      <c r="BI13" s="13">
        <v>46154</v>
      </c>
      <c r="BJ13" s="13">
        <v>46160</v>
      </c>
      <c r="BK13" s="13">
        <v>46161.480126840281</v>
      </c>
      <c r="BL13" s="13">
        <v>46161.480800428239</v>
      </c>
      <c r="BM13" s="13">
        <v>46161.482958067128</v>
      </c>
      <c r="BN13" s="13">
        <v>46161.483286587209</v>
      </c>
      <c r="BO13" s="35" t="s">
        <v>129</v>
      </c>
    </row>
    <row r="14" spans="1:67" s="3" customFormat="1" ht="18.75" x14ac:dyDescent="0.3">
      <c r="A14" s="25" t="s">
        <v>224</v>
      </c>
      <c r="B14" s="6">
        <v>500</v>
      </c>
      <c r="C14" s="66">
        <v>99.26</v>
      </c>
      <c r="D14" s="234">
        <v>2</v>
      </c>
      <c r="E14" s="7"/>
      <c r="F14" s="39">
        <f>3+AT14</f>
        <v>3</v>
      </c>
      <c r="G14" s="39">
        <v>4</v>
      </c>
      <c r="H14" s="39">
        <f>4+AS14</f>
        <v>6</v>
      </c>
      <c r="I14" s="39">
        <v>6</v>
      </c>
      <c r="J14" s="39">
        <v>6</v>
      </c>
      <c r="K14" s="39">
        <v>5</v>
      </c>
      <c r="L14" s="39">
        <f>4+AO14</f>
        <v>11</v>
      </c>
      <c r="M14" s="39">
        <f>5+AN14</f>
        <v>5</v>
      </c>
      <c r="N14" s="39">
        <v>6</v>
      </c>
      <c r="O14" s="39">
        <v>5</v>
      </c>
      <c r="P14" s="39">
        <v>4</v>
      </c>
      <c r="Q14" s="39">
        <v>3</v>
      </c>
      <c r="R14" s="39">
        <f>2+AM14</f>
        <v>5</v>
      </c>
      <c r="S14" s="39">
        <v>3</v>
      </c>
      <c r="T14" s="39">
        <f>3+AL14</f>
        <v>3</v>
      </c>
      <c r="U14" s="39">
        <v>3</v>
      </c>
      <c r="V14" s="39">
        <v>3</v>
      </c>
      <c r="W14" s="39">
        <v>3</v>
      </c>
      <c r="X14" s="39">
        <v>3</v>
      </c>
      <c r="Y14" s="39">
        <v>3</v>
      </c>
      <c r="Z14" s="39">
        <f>3+AI14</f>
        <v>3</v>
      </c>
      <c r="AA14" s="39"/>
      <c r="AB14" s="6"/>
      <c r="AC14" s="6"/>
      <c r="AD14" s="6"/>
      <c r="AE14" s="6"/>
      <c r="AF14" s="372">
        <f ca="1">AD14+IF(NOT(ISBLANK(OFFSET(AF14,0,6))),N(OFFSET(AF14,0,6)),N(OFFSET(AF14,0,7)))-AE14</f>
        <v>0</v>
      </c>
      <c r="AH14" s="78"/>
      <c r="AI14" s="7"/>
      <c r="AJ14" s="345"/>
      <c r="AK14" s="450">
        <v>0</v>
      </c>
      <c r="AL14" s="296">
        <v>0</v>
      </c>
      <c r="AM14" s="296">
        <v>3</v>
      </c>
      <c r="AN14" s="19"/>
      <c r="AO14" s="117">
        <v>7</v>
      </c>
      <c r="AP14" s="19">
        <v>1</v>
      </c>
      <c r="AQ14" s="19">
        <v>2</v>
      </c>
      <c r="AR14" s="19">
        <v>1</v>
      </c>
      <c r="AS14" s="19">
        <v>2</v>
      </c>
      <c r="AT14" s="19"/>
      <c r="AU14" s="19"/>
      <c r="AV14" s="19"/>
      <c r="AW14" s="19">
        <v>2</v>
      </c>
      <c r="AX14" s="19">
        <v>2</v>
      </c>
      <c r="AY14" s="19"/>
      <c r="AZ14" s="19"/>
      <c r="BB14" s="364" t="s">
        <v>143</v>
      </c>
      <c r="BC14" s="135">
        <v>200</v>
      </c>
      <c r="BD14" s="39">
        <f>AK14</f>
        <v>0</v>
      </c>
      <c r="BE14" s="39">
        <v>6</v>
      </c>
      <c r="BF14" s="39">
        <v>5</v>
      </c>
      <c r="BG14" s="39">
        <v>4</v>
      </c>
      <c r="BH14" s="39">
        <v>4</v>
      </c>
      <c r="BI14" s="39">
        <v>0</v>
      </c>
      <c r="BJ14" s="39"/>
      <c r="BK14" s="6"/>
      <c r="BL14" s="6"/>
      <c r="BM14" s="6"/>
      <c r="BN14" s="6"/>
      <c r="BO14" s="26">
        <f ca="1">BM14+IF(NOT(ISBLANK(OFFSET(BO14,0,6))),N(OFFSET(BO14,0,6)),N(OFFSET(BO14,0,7)))-BN14</f>
        <v>0</v>
      </c>
    </row>
    <row r="15" spans="1:67" s="3" customFormat="1" ht="18.75" x14ac:dyDescent="0.3">
      <c r="A15" s="25" t="s">
        <v>225</v>
      </c>
      <c r="B15" s="6">
        <v>2000</v>
      </c>
      <c r="C15" s="66">
        <v>55.36</v>
      </c>
      <c r="D15" s="234">
        <v>2</v>
      </c>
      <c r="E15" s="7"/>
      <c r="F15" s="39">
        <f>2+AU15</f>
        <v>2</v>
      </c>
      <c r="G15" s="39">
        <v>2</v>
      </c>
      <c r="H15" s="39">
        <f>2+AS15</f>
        <v>2</v>
      </c>
      <c r="I15" s="39">
        <v>4</v>
      </c>
      <c r="J15" s="39">
        <v>3</v>
      </c>
      <c r="K15" s="39">
        <v>3</v>
      </c>
      <c r="L15" s="39">
        <v>3</v>
      </c>
      <c r="M15" s="39">
        <v>3</v>
      </c>
      <c r="N15" s="39">
        <v>3</v>
      </c>
      <c r="O15" s="39">
        <v>3</v>
      </c>
      <c r="P15" s="39">
        <v>3</v>
      </c>
      <c r="Q15" s="39">
        <v>3</v>
      </c>
      <c r="R15" s="39">
        <v>3</v>
      </c>
      <c r="S15" s="39">
        <v>3</v>
      </c>
      <c r="T15" s="39">
        <v>3</v>
      </c>
      <c r="U15" s="39">
        <v>2</v>
      </c>
      <c r="V15" s="39">
        <v>3</v>
      </c>
      <c r="W15" s="39">
        <v>3</v>
      </c>
      <c r="X15" s="39">
        <v>3</v>
      </c>
      <c r="Y15" s="39">
        <v>3</v>
      </c>
      <c r="Z15" s="39">
        <v>3</v>
      </c>
      <c r="AA15" s="39"/>
      <c r="AB15" s="6"/>
      <c r="AC15" s="6"/>
      <c r="AD15" s="6"/>
      <c r="AE15" s="6"/>
      <c r="AF15" s="372">
        <f ca="1">AD15+IF(NOT(ISBLANK(OFFSET(AF15,0,6))),N(OFFSET(AF15,0,6)),N(OFFSET(AF15,0,7)))-AE15</f>
        <v>0</v>
      </c>
      <c r="AH15" s="78"/>
      <c r="AI15" s="7"/>
      <c r="AJ15" s="345"/>
      <c r="AK15" s="450">
        <v>0</v>
      </c>
      <c r="AL15" s="296">
        <v>0</v>
      </c>
      <c r="AM15" s="296">
        <v>0</v>
      </c>
      <c r="AN15" s="19"/>
      <c r="AO15" s="117">
        <v>3</v>
      </c>
      <c r="AP15" s="19"/>
      <c r="AQ15" s="19"/>
      <c r="AR15" s="19"/>
      <c r="AS15" s="19"/>
      <c r="AT15" s="19"/>
      <c r="AU15" s="19"/>
      <c r="AV15" s="19"/>
      <c r="AW15" s="19">
        <v>3</v>
      </c>
      <c r="AX15" s="19"/>
      <c r="AY15" s="19">
        <v>1</v>
      </c>
      <c r="AZ15" s="19"/>
      <c r="BB15" s="21" t="s">
        <v>146</v>
      </c>
      <c r="BC15" s="6">
        <v>200</v>
      </c>
      <c r="BD15" s="39">
        <f>AK15</f>
        <v>0</v>
      </c>
      <c r="BE15" s="39">
        <v>2</v>
      </c>
      <c r="BF15" s="39">
        <v>2</v>
      </c>
      <c r="BG15" s="39">
        <v>2</v>
      </c>
      <c r="BH15" s="39">
        <v>2</v>
      </c>
      <c r="BI15" s="39">
        <v>0</v>
      </c>
      <c r="BJ15" s="39"/>
      <c r="BK15" s="6"/>
      <c r="BL15" s="6"/>
      <c r="BM15" s="6"/>
      <c r="BN15" s="6"/>
      <c r="BO15" s="26">
        <f ca="1">BM15+IF(NOT(ISBLANK(OFFSET(BO15,0,6))),N(OFFSET(BO15,0,6)),N(OFFSET(BO15,0,7)))-BN15</f>
        <v>0</v>
      </c>
    </row>
    <row r="16" spans="1:67" s="3" customFormat="1" ht="18.75" x14ac:dyDescent="0.25">
      <c r="A16" s="25" t="s">
        <v>147</v>
      </c>
      <c r="B16" s="6">
        <v>200</v>
      </c>
      <c r="C16" s="66">
        <v>10.28</v>
      </c>
      <c r="D16" s="234">
        <v>3</v>
      </c>
      <c r="E16" s="1"/>
      <c r="F16" s="39">
        <f>3+AT16</f>
        <v>3</v>
      </c>
      <c r="G16" s="39">
        <v>1</v>
      </c>
      <c r="H16" s="39">
        <f>0+AS16</f>
        <v>0</v>
      </c>
      <c r="I16" s="39">
        <v>3</v>
      </c>
      <c r="J16" s="39">
        <v>3</v>
      </c>
      <c r="K16" s="39">
        <v>3</v>
      </c>
      <c r="L16" s="39">
        <v>2</v>
      </c>
      <c r="M16" s="39">
        <f>2+AN16</f>
        <v>2</v>
      </c>
      <c r="N16" s="39">
        <v>2</v>
      </c>
      <c r="O16" s="39">
        <v>2</v>
      </c>
      <c r="P16" s="39">
        <v>2</v>
      </c>
      <c r="Q16" s="39">
        <v>1</v>
      </c>
      <c r="R16" s="39">
        <f>1+AM16</f>
        <v>4</v>
      </c>
      <c r="S16" s="39">
        <v>2</v>
      </c>
      <c r="T16" s="39">
        <f>2+AL16</f>
        <v>2</v>
      </c>
      <c r="U16" s="39">
        <v>3</v>
      </c>
      <c r="V16" s="39">
        <v>1</v>
      </c>
      <c r="W16" s="39">
        <v>1</v>
      </c>
      <c r="X16" s="39">
        <v>1</v>
      </c>
      <c r="Y16" s="39">
        <v>0</v>
      </c>
      <c r="Z16" s="39">
        <f>0+AI16</f>
        <v>0</v>
      </c>
      <c r="AA16" s="39"/>
      <c r="AB16" s="6"/>
      <c r="AC16" s="6"/>
      <c r="AD16" s="6"/>
      <c r="AE16" s="6"/>
      <c r="AF16" s="372">
        <f ca="1">AD16+IF(NOT(ISBLANK(OFFSET(AF16,0,6))),N(OFFSET(AF16,0,6)),N(OFFSET(AF16,0,7)))-AE16</f>
        <v>0</v>
      </c>
      <c r="AH16" s="78"/>
      <c r="AI16" s="1"/>
      <c r="AJ16" s="345"/>
      <c r="AK16" s="445">
        <v>0</v>
      </c>
      <c r="AL16" s="19">
        <v>0</v>
      </c>
      <c r="AM16" s="19">
        <v>3</v>
      </c>
      <c r="AN16" s="19"/>
      <c r="AO16" s="19"/>
      <c r="AP16" s="19">
        <v>1</v>
      </c>
      <c r="AQ16" s="19">
        <v>2</v>
      </c>
      <c r="AR16" s="19">
        <v>1</v>
      </c>
      <c r="AS16" s="19"/>
      <c r="AT16" s="19"/>
      <c r="AU16" s="19"/>
      <c r="AV16" s="19"/>
      <c r="AW16" s="19">
        <v>3</v>
      </c>
      <c r="AX16" s="19">
        <v>1</v>
      </c>
      <c r="AY16" s="19">
        <v>1</v>
      </c>
      <c r="AZ16" s="19"/>
    </row>
    <row r="17" spans="1:67" s="3" customFormat="1" ht="18.75" x14ac:dyDescent="0.25">
      <c r="A17" s="25" t="s">
        <v>148</v>
      </c>
      <c r="B17" s="6">
        <v>3000</v>
      </c>
      <c r="C17" s="66">
        <v>71.8</v>
      </c>
      <c r="D17" s="234">
        <v>2</v>
      </c>
      <c r="E17" s="1"/>
      <c r="F17" s="39">
        <f>2+AT17</f>
        <v>2</v>
      </c>
      <c r="G17" s="39">
        <v>2</v>
      </c>
      <c r="H17" s="39">
        <f>2+AS17</f>
        <v>3</v>
      </c>
      <c r="I17" s="39">
        <v>4</v>
      </c>
      <c r="J17" s="39">
        <v>4</v>
      </c>
      <c r="K17" s="39">
        <v>3</v>
      </c>
      <c r="L17" s="39">
        <f>3+AO17</f>
        <v>3</v>
      </c>
      <c r="M17" s="39">
        <v>4</v>
      </c>
      <c r="N17" s="39">
        <v>4</v>
      </c>
      <c r="O17" s="39">
        <v>3</v>
      </c>
      <c r="P17" s="39">
        <v>3</v>
      </c>
      <c r="Q17" s="39">
        <v>3</v>
      </c>
      <c r="R17" s="39">
        <v>2</v>
      </c>
      <c r="S17" s="39">
        <v>2</v>
      </c>
      <c r="T17" s="39">
        <v>2</v>
      </c>
      <c r="U17" s="39">
        <v>2</v>
      </c>
      <c r="V17" s="39">
        <v>1</v>
      </c>
      <c r="W17" s="39">
        <v>1</v>
      </c>
      <c r="X17" s="39">
        <v>1</v>
      </c>
      <c r="Y17" s="39">
        <v>1</v>
      </c>
      <c r="Z17" s="39">
        <f>0+AI17</f>
        <v>0</v>
      </c>
      <c r="AA17" s="39"/>
      <c r="AB17" s="6"/>
      <c r="AC17" s="6"/>
      <c r="AD17" s="6"/>
      <c r="AE17" s="6"/>
      <c r="AF17" s="372">
        <f ca="1">AD17+IF(NOT(ISBLANK(OFFSET(AF17,0,6))),N(OFFSET(AF17,0,6)),N(OFFSET(AF17,0,7)))-AE17</f>
        <v>0</v>
      </c>
      <c r="AH17" s="78"/>
      <c r="AI17" s="1"/>
      <c r="AJ17" s="345"/>
      <c r="AK17" s="445">
        <v>0</v>
      </c>
      <c r="AL17" s="19">
        <v>0</v>
      </c>
      <c r="AM17" s="19">
        <v>1</v>
      </c>
      <c r="AN17" s="19"/>
      <c r="AO17" s="19"/>
      <c r="AP17" s="19"/>
      <c r="AQ17" s="19"/>
      <c r="AR17" s="19"/>
      <c r="AS17" s="19">
        <v>1</v>
      </c>
      <c r="AT17" s="19"/>
      <c r="AU17" s="19"/>
      <c r="AV17" s="19"/>
      <c r="AW17" s="19">
        <v>2</v>
      </c>
      <c r="AX17" s="19">
        <v>1</v>
      </c>
      <c r="AY17" s="19"/>
      <c r="AZ17" s="19">
        <v>1</v>
      </c>
    </row>
    <row r="18" spans="1:67" s="3" customFormat="1" ht="14.25" customHeight="1" x14ac:dyDescent="0.25">
      <c r="A18" s="23"/>
      <c r="D18" s="235"/>
      <c r="AH18" s="390"/>
      <c r="AJ18" s="352"/>
      <c r="AK18" s="388"/>
      <c r="AL18" s="388"/>
      <c r="AM18" s="388"/>
      <c r="AN18" s="388"/>
      <c r="AO18" s="388"/>
      <c r="AP18" s="388"/>
      <c r="AQ18" s="388"/>
      <c r="AR18" s="388"/>
      <c r="AS18" s="388"/>
      <c r="AT18" s="388"/>
      <c r="AU18" s="388"/>
      <c r="AV18" s="388"/>
      <c r="AW18" s="388"/>
      <c r="AX18" s="388"/>
      <c r="AY18" s="388"/>
      <c r="AZ18" s="388"/>
    </row>
    <row r="19" spans="1:67" s="3" customFormat="1" ht="18.75" x14ac:dyDescent="0.3">
      <c r="A19" s="24" t="s">
        <v>150</v>
      </c>
      <c r="B19" s="12"/>
      <c r="C19" s="61"/>
      <c r="D19" s="395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13">
        <v>46160</v>
      </c>
      <c r="AB19" s="13">
        <v>46161.480127210649</v>
      </c>
      <c r="AC19" s="13">
        <v>46161.48080085648</v>
      </c>
      <c r="AD19" s="13">
        <v>46161.482958402783</v>
      </c>
      <c r="AE19" s="13">
        <v>46161.483286961236</v>
      </c>
      <c r="AF19" s="35" t="s">
        <v>129</v>
      </c>
      <c r="AH19" s="29" t="s">
        <v>126</v>
      </c>
      <c r="AI19" s="11"/>
      <c r="AJ19" s="9" t="s">
        <v>127</v>
      </c>
      <c r="AK19" s="363">
        <v>46161.483286287978</v>
      </c>
      <c r="AL19" s="363"/>
      <c r="AM19" s="363">
        <v>46142</v>
      </c>
      <c r="AN19" s="363">
        <v>46114</v>
      </c>
      <c r="AO19" s="409">
        <v>46065</v>
      </c>
      <c r="AP19" s="363">
        <v>46107</v>
      </c>
      <c r="AQ19" s="363">
        <v>46092</v>
      </c>
      <c r="AR19" s="363">
        <v>46056</v>
      </c>
      <c r="AS19" s="363">
        <v>46048</v>
      </c>
      <c r="AT19" s="363">
        <v>46043</v>
      </c>
      <c r="AU19" s="363">
        <v>46035</v>
      </c>
      <c r="AV19" s="363">
        <v>46029</v>
      </c>
      <c r="AW19" s="363">
        <v>46017</v>
      </c>
      <c r="AX19" s="363">
        <v>46007</v>
      </c>
      <c r="AY19" s="363">
        <v>46001</v>
      </c>
      <c r="AZ19" s="363">
        <v>45994</v>
      </c>
      <c r="BB19" s="389" t="s">
        <v>150</v>
      </c>
      <c r="BC19" s="376" t="s">
        <v>123</v>
      </c>
      <c r="BD19" s="13">
        <v>46118</v>
      </c>
      <c r="BE19" s="13">
        <v>46125</v>
      </c>
      <c r="BF19" s="13">
        <v>46132</v>
      </c>
      <c r="BG19" s="13">
        <v>46139</v>
      </c>
      <c r="BH19" s="13">
        <v>46146</v>
      </c>
      <c r="BI19" s="13">
        <v>46154</v>
      </c>
      <c r="BJ19" s="13">
        <v>46160</v>
      </c>
      <c r="BK19" s="13">
        <v>46161.480126840281</v>
      </c>
      <c r="BL19" s="13">
        <v>46161.480800428239</v>
      </c>
      <c r="BM19" s="13">
        <v>46161.482958067128</v>
      </c>
      <c r="BN19" s="13">
        <v>46161.48328658734</v>
      </c>
      <c r="BO19" s="35" t="s">
        <v>129</v>
      </c>
    </row>
    <row r="20" spans="1:67" s="3" customFormat="1" ht="18.75" x14ac:dyDescent="0.3">
      <c r="A20" s="25" t="s">
        <v>153</v>
      </c>
      <c r="B20" s="6">
        <v>150</v>
      </c>
      <c r="C20" s="82">
        <v>334.31</v>
      </c>
      <c r="D20" s="234">
        <v>120</v>
      </c>
      <c r="E20" s="1"/>
      <c r="F20" s="27">
        <v>211</v>
      </c>
      <c r="G20" s="27">
        <v>155</v>
      </c>
      <c r="H20" s="27">
        <v>120</v>
      </c>
      <c r="I20" s="27">
        <v>94</v>
      </c>
      <c r="J20" s="27">
        <v>223</v>
      </c>
      <c r="K20" s="27">
        <v>202</v>
      </c>
      <c r="L20" s="27">
        <v>178</v>
      </c>
      <c r="M20" s="27">
        <v>291</v>
      </c>
      <c r="N20" s="27">
        <v>284</v>
      </c>
      <c r="O20" s="27">
        <v>269</v>
      </c>
      <c r="P20" s="27">
        <v>252</v>
      </c>
      <c r="Q20" s="27">
        <v>227</v>
      </c>
      <c r="R20" s="27">
        <v>214</v>
      </c>
      <c r="S20" s="27">
        <v>203</v>
      </c>
      <c r="T20" s="27">
        <v>191</v>
      </c>
      <c r="U20" s="27"/>
      <c r="V20" s="27"/>
      <c r="W20" s="27"/>
      <c r="X20" s="27">
        <v>169</v>
      </c>
      <c r="Y20" s="27">
        <v>169</v>
      </c>
      <c r="Z20" s="27">
        <v>132</v>
      </c>
      <c r="AA20" s="27">
        <v>119</v>
      </c>
      <c r="AB20" s="451">
        <v>119</v>
      </c>
      <c r="AC20" s="451">
        <v>119</v>
      </c>
      <c r="AD20" s="451">
        <v>119</v>
      </c>
      <c r="AE20" s="451">
        <v>119</v>
      </c>
      <c r="AF20" s="372">
        <f ca="1">AD20+IF(NOT(ISBLANK(OFFSET(AF20,0,6))),N(OFFSET(AF20,0,6)),N(OFFSET(AF20,0,7)))-AE20</f>
        <v>0</v>
      </c>
      <c r="AG20" s="362"/>
      <c r="AH20" s="78"/>
      <c r="AI20" s="1"/>
      <c r="AJ20" s="345"/>
      <c r="AK20" s="445">
        <v>0</v>
      </c>
      <c r="AL20" s="19">
        <v>0</v>
      </c>
      <c r="AM20" s="19">
        <v>0</v>
      </c>
      <c r="AN20" s="19"/>
      <c r="AO20" s="117">
        <v>150</v>
      </c>
      <c r="AP20" s="19"/>
      <c r="AQ20" s="19"/>
      <c r="AR20" s="19">
        <v>150</v>
      </c>
      <c r="AS20" s="19"/>
      <c r="AT20" s="19"/>
      <c r="AU20" s="19"/>
      <c r="AV20" s="19">
        <v>150</v>
      </c>
      <c r="AW20" s="19"/>
      <c r="AX20" s="19"/>
      <c r="AY20" s="19"/>
      <c r="AZ20" s="19"/>
      <c r="BB20" s="364" t="s">
        <v>154</v>
      </c>
      <c r="BC20" s="135">
        <v>150</v>
      </c>
      <c r="BD20" s="39">
        <f>AK20</f>
        <v>0</v>
      </c>
      <c r="BE20" s="39"/>
      <c r="BF20" s="39"/>
      <c r="BG20" s="39">
        <v>29</v>
      </c>
      <c r="BH20" s="39">
        <v>19</v>
      </c>
      <c r="BI20" s="39">
        <v>3</v>
      </c>
      <c r="BJ20" s="39">
        <v>3</v>
      </c>
      <c r="BK20" s="6"/>
      <c r="BL20" s="6"/>
      <c r="BM20" s="6"/>
      <c r="BN20" s="6"/>
      <c r="BO20" s="26">
        <f ca="1">BM20+IF(NOT(ISBLANK(OFFSET(BO20,0,6))),N(OFFSET(BO20,0,6)),N(OFFSET(BO20,0,7)))-BN20</f>
        <v>0</v>
      </c>
    </row>
    <row r="21" spans="1:67" s="3" customFormat="1" ht="18.75" x14ac:dyDescent="0.3">
      <c r="A21" s="25" t="s">
        <v>155</v>
      </c>
      <c r="B21" s="6">
        <v>100</v>
      </c>
      <c r="C21" s="81">
        <v>292.25</v>
      </c>
      <c r="D21" s="236">
        <v>120</v>
      </c>
      <c r="E21" s="1"/>
      <c r="F21" s="27">
        <v>59</v>
      </c>
      <c r="G21" s="27">
        <v>46</v>
      </c>
      <c r="H21" s="27">
        <v>37</v>
      </c>
      <c r="I21" s="27">
        <v>19</v>
      </c>
      <c r="J21" s="27">
        <v>111</v>
      </c>
      <c r="K21" s="27">
        <v>105</v>
      </c>
      <c r="L21" s="27">
        <f>99+AO21</f>
        <v>299</v>
      </c>
      <c r="M21" s="27">
        <v>201</v>
      </c>
      <c r="N21" s="27">
        <v>199</v>
      </c>
      <c r="O21" s="27">
        <v>199</v>
      </c>
      <c r="P21" s="27">
        <v>190</v>
      </c>
      <c r="Q21" s="27">
        <v>166</v>
      </c>
      <c r="R21" s="27">
        <v>146</v>
      </c>
      <c r="S21" s="27">
        <v>135</v>
      </c>
      <c r="T21" s="27">
        <v>131</v>
      </c>
      <c r="U21" s="27"/>
      <c r="V21" s="27"/>
      <c r="W21" s="27"/>
      <c r="X21" s="27">
        <v>217</v>
      </c>
      <c r="Y21" s="27">
        <v>217</v>
      </c>
      <c r="Z21" s="27">
        <v>196</v>
      </c>
      <c r="AA21" s="27">
        <v>193</v>
      </c>
      <c r="AB21" s="451">
        <v>193</v>
      </c>
      <c r="AC21" s="451">
        <v>193</v>
      </c>
      <c r="AD21" s="451">
        <v>193</v>
      </c>
      <c r="AE21" s="451">
        <v>193</v>
      </c>
      <c r="AF21" s="372">
        <f ca="1">AD21+IF(NOT(ISBLANK(OFFSET(AF21,0,6))),N(OFFSET(AF21,0,6)),N(OFFSET(AF21,0,7)))-AE21</f>
        <v>0</v>
      </c>
      <c r="AG21" s="362"/>
      <c r="AH21" s="78"/>
      <c r="AI21" s="1"/>
      <c r="AJ21" s="345"/>
      <c r="AK21" s="445">
        <v>0</v>
      </c>
      <c r="AL21" s="19">
        <v>0</v>
      </c>
      <c r="AM21" s="19">
        <v>0</v>
      </c>
      <c r="AN21" s="19">
        <v>100</v>
      </c>
      <c r="AO21" s="117">
        <v>200</v>
      </c>
      <c r="AP21" s="19"/>
      <c r="AQ21" s="19"/>
      <c r="AR21" s="19"/>
      <c r="AS21" s="19">
        <v>100</v>
      </c>
      <c r="AT21" s="19"/>
      <c r="AU21" s="19"/>
      <c r="AV21" s="19">
        <v>100</v>
      </c>
      <c r="AW21" s="19"/>
      <c r="AX21" s="19"/>
      <c r="AY21" s="19"/>
      <c r="AZ21" s="19"/>
      <c r="BB21" s="21" t="s">
        <v>156</v>
      </c>
      <c r="BC21" s="6">
        <v>100</v>
      </c>
      <c r="BD21" s="39">
        <f>AK21</f>
        <v>0</v>
      </c>
      <c r="BE21" s="39"/>
      <c r="BF21" s="39"/>
      <c r="BG21" s="39">
        <v>61</v>
      </c>
      <c r="BH21" s="39">
        <v>51</v>
      </c>
      <c r="BI21" s="39">
        <v>3</v>
      </c>
      <c r="BJ21" s="39">
        <v>3</v>
      </c>
      <c r="BK21" s="6"/>
      <c r="BL21" s="6"/>
      <c r="BM21" s="6"/>
      <c r="BN21" s="6"/>
      <c r="BO21" s="26">
        <f ca="1">BM21+IF(NOT(ISBLANK(OFFSET(BO21,0,6))),N(OFFSET(BO21,0,6)),N(OFFSET(BO21,0,7)))-BN21</f>
        <v>0</v>
      </c>
    </row>
    <row r="22" spans="1:67" s="3" customFormat="1" ht="18.75" x14ac:dyDescent="0.3">
      <c r="A22" s="25" t="s">
        <v>157</v>
      </c>
      <c r="B22" s="6">
        <v>75</v>
      </c>
      <c r="C22" s="66">
        <v>425.38</v>
      </c>
      <c r="D22" s="234">
        <v>25</v>
      </c>
      <c r="E22" s="7"/>
      <c r="F22" s="27">
        <v>26</v>
      </c>
      <c r="G22" s="27">
        <v>19</v>
      </c>
      <c r="H22" s="27">
        <v>19</v>
      </c>
      <c r="I22" s="27">
        <v>16</v>
      </c>
      <c r="J22" s="27">
        <v>24</v>
      </c>
      <c r="K22" s="27">
        <v>24</v>
      </c>
      <c r="L22" s="27">
        <v>23</v>
      </c>
      <c r="M22" s="27">
        <v>22</v>
      </c>
      <c r="N22" s="27">
        <v>22</v>
      </c>
      <c r="O22" s="27">
        <v>22</v>
      </c>
      <c r="P22" s="27">
        <v>22</v>
      </c>
      <c r="Q22" s="27">
        <v>22</v>
      </c>
      <c r="R22" s="27">
        <v>22</v>
      </c>
      <c r="S22" s="27">
        <v>23</v>
      </c>
      <c r="T22" s="27">
        <v>23</v>
      </c>
      <c r="U22" s="27">
        <v>23</v>
      </c>
      <c r="V22" s="27">
        <v>22</v>
      </c>
      <c r="W22" s="27">
        <v>22</v>
      </c>
      <c r="X22" s="27">
        <v>20</v>
      </c>
      <c r="Y22" s="27">
        <v>20</v>
      </c>
      <c r="Z22" s="27">
        <v>20</v>
      </c>
      <c r="AA22" s="27">
        <v>17</v>
      </c>
      <c r="AB22" s="451">
        <v>17</v>
      </c>
      <c r="AC22" s="451">
        <v>17</v>
      </c>
      <c r="AD22" s="451">
        <v>17</v>
      </c>
      <c r="AE22" s="451">
        <v>17</v>
      </c>
      <c r="AF22" s="372">
        <f ca="1">AD22+IF(NOT(ISBLANK(OFFSET(AF22,0,6))),N(OFFSET(AF22,0,6)),N(OFFSET(AF22,0,7)))-AE22</f>
        <v>0</v>
      </c>
      <c r="AG22" s="362"/>
      <c r="AH22" s="78"/>
      <c r="AI22" s="7"/>
      <c r="AJ22" s="345"/>
      <c r="AK22" s="112">
        <v>0</v>
      </c>
      <c r="AL22" s="19">
        <v>0</v>
      </c>
      <c r="AM22" s="19">
        <v>0</v>
      </c>
      <c r="AN22" s="19"/>
      <c r="AO22" s="117">
        <v>200</v>
      </c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B22" s="22" t="s">
        <v>158</v>
      </c>
      <c r="BC22" s="6">
        <v>200</v>
      </c>
      <c r="BD22" s="39">
        <f>AK22</f>
        <v>0</v>
      </c>
      <c r="BE22" s="39"/>
      <c r="BF22" s="39"/>
      <c r="BG22" s="39">
        <v>28</v>
      </c>
      <c r="BH22" s="39">
        <v>22</v>
      </c>
      <c r="BI22" s="39">
        <v>4</v>
      </c>
      <c r="BJ22" s="39">
        <v>4</v>
      </c>
      <c r="BK22" s="6"/>
      <c r="BL22" s="6"/>
      <c r="BM22" s="6"/>
      <c r="BN22" s="6"/>
      <c r="BO22" s="26">
        <f ca="1">BM22+IF(NOT(ISBLANK(OFFSET(BO22,0,6))),N(OFFSET(BO22,0,6)),N(OFFSET(BO22,0,7)))-BN22</f>
        <v>0</v>
      </c>
    </row>
    <row r="23" spans="1:67" ht="18.75" x14ac:dyDescent="0.3">
      <c r="A23" s="25" t="s">
        <v>159</v>
      </c>
      <c r="B23" s="6">
        <v>150</v>
      </c>
      <c r="C23" s="66">
        <v>427.5</v>
      </c>
      <c r="D23" s="234"/>
      <c r="F23" s="27"/>
      <c r="G23" s="27"/>
      <c r="H23" s="27"/>
      <c r="I23" s="27"/>
      <c r="J23" s="27">
        <v>0</v>
      </c>
      <c r="K23" s="27">
        <v>0</v>
      </c>
      <c r="L23" s="27">
        <v>0</v>
      </c>
      <c r="M23" s="27">
        <v>0</v>
      </c>
      <c r="N23" s="27">
        <v>0</v>
      </c>
      <c r="O23" s="27">
        <v>0</v>
      </c>
      <c r="P23" s="27">
        <v>0</v>
      </c>
      <c r="Q23" s="290">
        <v>30</v>
      </c>
      <c r="R23" s="27">
        <v>30</v>
      </c>
      <c r="S23" s="27">
        <v>30</v>
      </c>
      <c r="T23" s="27">
        <v>30</v>
      </c>
      <c r="U23" s="27"/>
      <c r="V23" s="27"/>
      <c r="W23" s="27"/>
      <c r="X23" s="27">
        <v>13</v>
      </c>
      <c r="Y23" s="27">
        <v>12</v>
      </c>
      <c r="Z23" s="27">
        <v>9</v>
      </c>
      <c r="AA23" s="27">
        <v>0</v>
      </c>
      <c r="AB23" s="451">
        <v>0</v>
      </c>
      <c r="AC23" s="451">
        <v>0</v>
      </c>
      <c r="AD23" s="451">
        <v>0</v>
      </c>
      <c r="AE23" s="451">
        <v>0</v>
      </c>
      <c r="AF23" s="372">
        <f ca="1">AD23+IF(NOT(ISBLANK(OFFSET(AF23,0,6))),N(OFFSET(AF23,0,6)),N(OFFSET(AF23,0,7)))-AE23</f>
        <v>0</v>
      </c>
      <c r="AG23" s="362"/>
      <c r="AH23" s="78"/>
      <c r="AJ23" s="345"/>
      <c r="AK23" s="445">
        <v>0</v>
      </c>
      <c r="AL23" s="19">
        <v>0</v>
      </c>
      <c r="AM23" s="19">
        <v>0</v>
      </c>
      <c r="AN23" s="19"/>
      <c r="AO23" s="117">
        <v>150</v>
      </c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B23" s="22" t="s">
        <v>160</v>
      </c>
      <c r="BC23" s="6">
        <v>150</v>
      </c>
      <c r="BD23" s="39">
        <f>AK23</f>
        <v>0</v>
      </c>
      <c r="BE23" s="39"/>
      <c r="BF23" s="39"/>
      <c r="BG23" s="39">
        <v>122</v>
      </c>
      <c r="BH23" s="39">
        <v>111</v>
      </c>
      <c r="BI23" s="39">
        <v>-1</v>
      </c>
      <c r="BJ23" s="39">
        <v>-2</v>
      </c>
      <c r="BK23" s="6"/>
      <c r="BL23" s="6"/>
      <c r="BM23" s="6"/>
      <c r="BN23" s="6"/>
      <c r="BO23" s="26">
        <f ca="1">BM23+IF(NOT(ISBLANK(OFFSET(BO23,0,6))),N(OFFSET(BO23,0,6)),N(OFFSET(BO23,0,7)))-BN23</f>
        <v>0</v>
      </c>
    </row>
    <row r="24" spans="1:67" ht="18.75" x14ac:dyDescent="0.3">
      <c r="AG24" s="362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</row>
    <row r="25" spans="1:67" ht="18.75" x14ac:dyDescent="0.3">
      <c r="A25" s="378" t="s">
        <v>161</v>
      </c>
      <c r="B25" s="379" t="s">
        <v>123</v>
      </c>
      <c r="C25" s="379" t="s">
        <v>124</v>
      </c>
      <c r="D25" s="379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13">
        <v>46160</v>
      </c>
      <c r="AB25" s="13">
        <v>46161.480127210649</v>
      </c>
      <c r="AC25" s="13">
        <v>46161.48080085648</v>
      </c>
      <c r="AD25" s="13">
        <v>46161.482958402783</v>
      </c>
      <c r="AE25" s="13">
        <v>46161.483286961477</v>
      </c>
      <c r="AF25" s="35" t="s">
        <v>129</v>
      </c>
      <c r="AG25" s="362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</row>
    <row r="26" spans="1:67" ht="18.75" x14ac:dyDescent="0.3">
      <c r="A26" s="384" t="s">
        <v>162</v>
      </c>
      <c r="B26" s="385">
        <v>100</v>
      </c>
      <c r="C26" s="199">
        <v>790</v>
      </c>
      <c r="D26" s="396"/>
      <c r="F26" s="39">
        <v>216</v>
      </c>
      <c r="G26" s="39">
        <v>199</v>
      </c>
      <c r="H26" s="39">
        <v>199</v>
      </c>
      <c r="I26" s="39">
        <v>199</v>
      </c>
      <c r="J26" s="39">
        <v>196</v>
      </c>
      <c r="K26" s="39">
        <v>196</v>
      </c>
      <c r="L26" s="39">
        <v>196</v>
      </c>
      <c r="M26" s="39">
        <v>196</v>
      </c>
      <c r="N26" s="39">
        <v>195</v>
      </c>
      <c r="O26" s="39">
        <v>195</v>
      </c>
      <c r="P26" s="39">
        <v>195</v>
      </c>
      <c r="Q26" s="39">
        <v>195</v>
      </c>
      <c r="R26" s="39">
        <v>195</v>
      </c>
      <c r="S26" s="39">
        <v>189</v>
      </c>
      <c r="T26" s="39">
        <v>188</v>
      </c>
      <c r="U26" s="39">
        <v>188</v>
      </c>
      <c r="V26" s="39">
        <v>188</v>
      </c>
      <c r="W26" s="39">
        <v>188</v>
      </c>
      <c r="X26" s="39">
        <v>188</v>
      </c>
      <c r="Y26" s="39">
        <v>188</v>
      </c>
      <c r="Z26" s="39">
        <v>188</v>
      </c>
      <c r="AA26" s="39">
        <v>188</v>
      </c>
      <c r="AB26" s="6">
        <v>188</v>
      </c>
      <c r="AC26" s="6">
        <v>188</v>
      </c>
      <c r="AD26" s="6">
        <v>188</v>
      </c>
      <c r="AE26" s="6">
        <v>188</v>
      </c>
      <c r="AF26" s="372">
        <f t="shared" ref="AF26:AF34" ca="1" si="0">AD26+IF(NOT(ISBLANK(OFFSET(AF26,0,6))),N(OFFSET(AF26,0,6)),N(OFFSET(AF26,0,7)))-AE26</f>
        <v>0</v>
      </c>
      <c r="AG26" s="362"/>
      <c r="AH26" s="347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</row>
    <row r="27" spans="1:67" ht="18.75" hidden="1" x14ac:dyDescent="0.3">
      <c r="A27" s="386" t="s">
        <v>163</v>
      </c>
      <c r="B27" s="159">
        <v>100</v>
      </c>
      <c r="C27" s="200">
        <v>295</v>
      </c>
      <c r="D27" s="396"/>
      <c r="F27" s="39">
        <v>3</v>
      </c>
      <c r="G27" s="39">
        <v>3</v>
      </c>
      <c r="H27" s="39">
        <v>3</v>
      </c>
      <c r="I27" s="39">
        <v>3</v>
      </c>
      <c r="J27" s="39">
        <v>0</v>
      </c>
      <c r="K27" s="39">
        <v>0</v>
      </c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6"/>
      <c r="AC27" s="6"/>
      <c r="AD27" s="6"/>
      <c r="AE27" s="6"/>
      <c r="AF27" s="372">
        <f t="shared" ca="1" si="0"/>
        <v>0</v>
      </c>
      <c r="AG27" s="362"/>
      <c r="AH27" s="347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</row>
    <row r="28" spans="1:67" ht="18.75" hidden="1" x14ac:dyDescent="0.3">
      <c r="A28" s="386" t="s">
        <v>164</v>
      </c>
      <c r="B28" s="159">
        <v>100</v>
      </c>
      <c r="C28" s="200">
        <v>283</v>
      </c>
      <c r="D28" s="396"/>
      <c r="F28" s="39">
        <v>2</v>
      </c>
      <c r="G28" s="39">
        <v>2</v>
      </c>
      <c r="H28" s="39">
        <v>2</v>
      </c>
      <c r="I28" s="39">
        <v>2</v>
      </c>
      <c r="J28" s="39">
        <v>0</v>
      </c>
      <c r="K28" s="39">
        <v>0</v>
      </c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6"/>
      <c r="AC28" s="6"/>
      <c r="AD28" s="6"/>
      <c r="AE28" s="6"/>
      <c r="AF28" s="372">
        <f t="shared" ca="1" si="0"/>
        <v>0</v>
      </c>
      <c r="AG28" s="362"/>
      <c r="AH28" s="347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</row>
    <row r="29" spans="1:67" ht="18.75" hidden="1" x14ac:dyDescent="0.3">
      <c r="A29" s="404" t="s">
        <v>226</v>
      </c>
      <c r="B29" s="405">
        <v>100</v>
      </c>
      <c r="C29" s="252">
        <v>841.1</v>
      </c>
      <c r="D29" s="396"/>
      <c r="F29" s="39">
        <v>1</v>
      </c>
      <c r="G29" s="39">
        <v>1</v>
      </c>
      <c r="H29" s="39">
        <v>1</v>
      </c>
      <c r="I29" s="39">
        <v>1</v>
      </c>
      <c r="J29" s="39">
        <v>0</v>
      </c>
      <c r="K29" s="39">
        <v>0</v>
      </c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6"/>
      <c r="AC29" s="6"/>
      <c r="AD29" s="6"/>
      <c r="AE29" s="6"/>
      <c r="AF29" s="372">
        <f t="shared" ca="1" si="0"/>
        <v>0</v>
      </c>
      <c r="AG29" s="362"/>
      <c r="AH29" s="347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</row>
    <row r="30" spans="1:67" ht="18.75" hidden="1" x14ac:dyDescent="0.3">
      <c r="A30" s="25" t="s">
        <v>169</v>
      </c>
      <c r="B30" s="6">
        <v>150</v>
      </c>
      <c r="C30" s="77">
        <v>805.35</v>
      </c>
      <c r="D30" s="396"/>
      <c r="F30" s="6">
        <v>59</v>
      </c>
      <c r="G30" s="39">
        <v>0</v>
      </c>
      <c r="H30" s="39">
        <v>0</v>
      </c>
      <c r="I30" s="39">
        <v>-1</v>
      </c>
      <c r="J30" s="39">
        <v>1</v>
      </c>
      <c r="K30" s="39">
        <v>0</v>
      </c>
      <c r="L30" s="39">
        <v>0</v>
      </c>
      <c r="M30" s="39">
        <v>0</v>
      </c>
      <c r="N30" s="39">
        <v>0</v>
      </c>
      <c r="O30" s="39">
        <v>0</v>
      </c>
      <c r="P30" s="39">
        <v>0</v>
      </c>
      <c r="Q30" s="39">
        <v>0</v>
      </c>
      <c r="R30" s="39">
        <v>0</v>
      </c>
      <c r="S30" s="39"/>
      <c r="T30" s="39"/>
      <c r="U30" s="39"/>
      <c r="V30" s="39"/>
      <c r="W30" s="39"/>
      <c r="X30" s="39"/>
      <c r="Y30" s="39"/>
      <c r="Z30" s="39"/>
      <c r="AA30" s="39"/>
      <c r="AB30" s="6"/>
      <c r="AC30" s="6"/>
      <c r="AD30" s="6"/>
      <c r="AE30" s="6"/>
      <c r="AF30" s="372">
        <f t="shared" ca="1" si="0"/>
        <v>0</v>
      </c>
      <c r="AG30" s="362"/>
      <c r="AH30" s="347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</row>
    <row r="31" spans="1:67" ht="18.75" hidden="1" x14ac:dyDescent="0.3">
      <c r="A31" s="25" t="s">
        <v>170</v>
      </c>
      <c r="B31" s="6">
        <v>100</v>
      </c>
      <c r="C31" s="77">
        <v>792.2</v>
      </c>
      <c r="D31" s="396"/>
      <c r="F31" s="6">
        <v>127</v>
      </c>
      <c r="G31" s="39">
        <v>57</v>
      </c>
      <c r="H31" s="39">
        <v>53</v>
      </c>
      <c r="I31" s="39">
        <v>52</v>
      </c>
      <c r="J31" s="39">
        <v>47</v>
      </c>
      <c r="K31" s="39">
        <v>38</v>
      </c>
      <c r="L31" s="39">
        <v>26</v>
      </c>
      <c r="M31" s="39">
        <v>12</v>
      </c>
      <c r="N31" s="39">
        <v>10</v>
      </c>
      <c r="O31" s="39">
        <v>4</v>
      </c>
      <c r="P31" s="39">
        <v>0</v>
      </c>
      <c r="Q31" s="39">
        <v>0</v>
      </c>
      <c r="R31" s="39">
        <v>0</v>
      </c>
      <c r="S31" s="39"/>
      <c r="T31" s="39"/>
      <c r="U31" s="39"/>
      <c r="V31" s="39"/>
      <c r="W31" s="39"/>
      <c r="X31" s="39"/>
      <c r="Y31" s="39"/>
      <c r="Z31" s="39"/>
      <c r="AA31" s="39"/>
      <c r="AB31" s="6"/>
      <c r="AC31" s="6"/>
      <c r="AD31" s="6"/>
      <c r="AE31" s="6"/>
      <c r="AF31" s="372">
        <f t="shared" ca="1" si="0"/>
        <v>0</v>
      </c>
      <c r="AG31" s="362"/>
      <c r="AH31" s="347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</row>
    <row r="32" spans="1:67" ht="18.75" hidden="1" x14ac:dyDescent="0.3">
      <c r="A32" s="25" t="s">
        <v>171</v>
      </c>
      <c r="B32" s="6">
        <v>200</v>
      </c>
      <c r="C32" s="77">
        <v>487.2</v>
      </c>
      <c r="D32" s="396"/>
      <c r="F32" s="6">
        <v>24</v>
      </c>
      <c r="G32" s="39">
        <v>-4</v>
      </c>
      <c r="H32" s="39">
        <v>-4</v>
      </c>
      <c r="I32" s="39">
        <v>-4</v>
      </c>
      <c r="J32" s="39">
        <v>0</v>
      </c>
      <c r="K32" s="39">
        <v>0</v>
      </c>
      <c r="L32" s="39">
        <v>0</v>
      </c>
      <c r="M32" s="39">
        <v>0</v>
      </c>
      <c r="N32" s="39">
        <v>0</v>
      </c>
      <c r="O32" s="39">
        <v>0</v>
      </c>
      <c r="P32" s="39">
        <v>0</v>
      </c>
      <c r="Q32" s="39">
        <v>0</v>
      </c>
      <c r="R32" s="39">
        <v>0</v>
      </c>
      <c r="S32" s="39"/>
      <c r="T32" s="39"/>
      <c r="U32" s="39"/>
      <c r="V32" s="39"/>
      <c r="W32" s="39"/>
      <c r="X32" s="39"/>
      <c r="Y32" s="39"/>
      <c r="Z32" s="39"/>
      <c r="AA32" s="39"/>
      <c r="AB32" s="6"/>
      <c r="AC32" s="6"/>
      <c r="AD32" s="6"/>
      <c r="AE32" s="6"/>
      <c r="AF32" s="372">
        <f t="shared" ca="1" si="0"/>
        <v>0</v>
      </c>
      <c r="AG32" s="362"/>
      <c r="AH32" s="347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</row>
    <row r="33" spans="1:191" ht="18.75" hidden="1" x14ac:dyDescent="0.3">
      <c r="A33" s="25" t="s">
        <v>172</v>
      </c>
      <c r="B33" s="6">
        <v>150</v>
      </c>
      <c r="C33" s="77">
        <v>460.35</v>
      </c>
      <c r="D33" s="396"/>
      <c r="F33" s="6">
        <v>9</v>
      </c>
      <c r="G33" s="39">
        <v>0</v>
      </c>
      <c r="H33" s="39">
        <v>0</v>
      </c>
      <c r="I33" s="39">
        <v>0</v>
      </c>
      <c r="J33" s="39">
        <v>0</v>
      </c>
      <c r="K33" s="39">
        <v>0</v>
      </c>
      <c r="L33" s="39">
        <v>0</v>
      </c>
      <c r="M33" s="39">
        <v>0</v>
      </c>
      <c r="N33" s="39">
        <v>0</v>
      </c>
      <c r="O33" s="39">
        <v>0</v>
      </c>
      <c r="P33" s="39">
        <v>0</v>
      </c>
      <c r="Q33" s="39">
        <v>0</v>
      </c>
      <c r="R33" s="39">
        <v>0</v>
      </c>
      <c r="S33" s="39"/>
      <c r="T33" s="39"/>
      <c r="U33" s="39"/>
      <c r="V33" s="39"/>
      <c r="W33" s="39"/>
      <c r="X33" s="39"/>
      <c r="Y33" s="39"/>
      <c r="Z33" s="39"/>
      <c r="AA33" s="39"/>
      <c r="AB33" s="6"/>
      <c r="AC33" s="6"/>
      <c r="AD33" s="6"/>
      <c r="AE33" s="6"/>
      <c r="AF33" s="372">
        <f t="shared" ca="1" si="0"/>
        <v>0</v>
      </c>
      <c r="AG33" s="362"/>
      <c r="AH33" s="347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</row>
    <row r="34" spans="1:191" ht="18.75" x14ac:dyDescent="0.3">
      <c r="A34" s="25" t="s">
        <v>173</v>
      </c>
      <c r="B34" s="6">
        <v>10</v>
      </c>
      <c r="C34" s="77">
        <v>120</v>
      </c>
      <c r="D34" s="396"/>
      <c r="F34" s="39">
        <v>4</v>
      </c>
      <c r="G34" s="39">
        <v>4</v>
      </c>
      <c r="H34" s="39">
        <v>4</v>
      </c>
      <c r="I34" s="39">
        <v>4</v>
      </c>
      <c r="J34" s="39">
        <v>4</v>
      </c>
      <c r="K34" s="39">
        <v>4</v>
      </c>
      <c r="L34" s="39">
        <v>4</v>
      </c>
      <c r="M34" s="39">
        <v>4</v>
      </c>
      <c r="N34" s="39">
        <v>4</v>
      </c>
      <c r="O34" s="39">
        <v>4</v>
      </c>
      <c r="P34" s="39">
        <v>4</v>
      </c>
      <c r="Q34" s="39">
        <v>4</v>
      </c>
      <c r="R34" s="39">
        <v>4</v>
      </c>
      <c r="S34" s="39">
        <v>4</v>
      </c>
      <c r="T34" s="39">
        <v>4</v>
      </c>
      <c r="U34" s="39">
        <v>4</v>
      </c>
      <c r="V34" s="39">
        <v>4</v>
      </c>
      <c r="W34" s="39">
        <v>4</v>
      </c>
      <c r="X34" s="39">
        <v>4</v>
      </c>
      <c r="Y34" s="39">
        <v>4</v>
      </c>
      <c r="Z34" s="39">
        <v>4</v>
      </c>
      <c r="AA34" s="39">
        <v>4</v>
      </c>
      <c r="AB34" s="6">
        <v>4</v>
      </c>
      <c r="AC34" s="6">
        <v>4</v>
      </c>
      <c r="AD34" s="6">
        <v>4</v>
      </c>
      <c r="AE34" s="6">
        <v>4</v>
      </c>
      <c r="AF34" s="372">
        <f t="shared" ca="1" si="0"/>
        <v>0</v>
      </c>
      <c r="AG34" s="362"/>
      <c r="AH34" s="347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</row>
    <row r="35" spans="1:191" ht="18.75" x14ac:dyDescent="0.3">
      <c r="AG35" s="362"/>
      <c r="AH35" s="347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</row>
    <row r="36" spans="1:191" ht="21" customHeight="1" x14ac:dyDescent="0.3">
      <c r="A36" s="394" t="s">
        <v>174</v>
      </c>
      <c r="B36" s="394"/>
      <c r="C36" s="394"/>
      <c r="AG36" s="362"/>
      <c r="AH36" s="347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</row>
    <row r="37" spans="1:191" ht="18.75" x14ac:dyDescent="0.3">
      <c r="A37" s="361" t="s">
        <v>175</v>
      </c>
      <c r="B37" s="361"/>
      <c r="C37" s="361" t="s">
        <v>176</v>
      </c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362"/>
      <c r="AH37" s="347"/>
      <c r="AI37" s="4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</row>
    <row r="38" spans="1:191" ht="18.75" x14ac:dyDescent="0.3">
      <c r="A38" s="152"/>
      <c r="B38" s="367"/>
      <c r="C38" s="368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347"/>
      <c r="AI38" s="41"/>
      <c r="AJ38" s="4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41"/>
      <c r="DV38" s="34"/>
      <c r="DW38" s="41"/>
      <c r="DX38" s="71"/>
      <c r="DY38" s="71"/>
      <c r="DZ38" s="34"/>
      <c r="EA38" s="34"/>
      <c r="EB38" s="71"/>
      <c r="EC38" s="71"/>
      <c r="ED38" s="34"/>
      <c r="EE38" s="71"/>
      <c r="EF38" s="34"/>
      <c r="EG38" s="34"/>
      <c r="EH38" s="34"/>
      <c r="EI38" s="71"/>
      <c r="EJ38" s="350"/>
      <c r="EK38" s="34"/>
      <c r="EL38" s="71"/>
      <c r="EM38" s="71"/>
      <c r="EN38" s="71"/>
      <c r="EO38" s="34"/>
    </row>
    <row r="39" spans="1:191" ht="18.75" x14ac:dyDescent="0.3">
      <c r="A39" s="152" t="s">
        <v>227</v>
      </c>
      <c r="B39" s="367"/>
      <c r="C39" s="368">
        <v>100</v>
      </c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347"/>
      <c r="AI39" s="41"/>
      <c r="AJ39" s="41"/>
      <c r="AK39" s="401"/>
      <c r="AL39" s="401"/>
      <c r="AM39" s="401"/>
      <c r="AN39" s="401"/>
      <c r="AO39" s="401"/>
      <c r="AP39" s="401"/>
      <c r="AQ39" s="401"/>
      <c r="AR39" s="401"/>
      <c r="AS39" s="401"/>
      <c r="AT39" s="11"/>
      <c r="AU39" s="11"/>
      <c r="AV39" s="11"/>
      <c r="AW39" s="11"/>
      <c r="AX39" s="11"/>
      <c r="AY39" s="11"/>
      <c r="AZ39" s="11"/>
      <c r="BA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41"/>
      <c r="DV39" s="34"/>
      <c r="DW39" s="41"/>
      <c r="DX39" s="71"/>
      <c r="DY39" s="71"/>
      <c r="DZ39" s="34"/>
      <c r="EA39" s="34"/>
      <c r="EB39" s="71"/>
      <c r="EC39" s="71"/>
      <c r="ED39" s="34"/>
      <c r="EE39" s="71"/>
      <c r="EF39" s="34"/>
      <c r="EG39" s="34"/>
      <c r="EH39" s="34"/>
      <c r="EI39" s="71"/>
      <c r="EJ39" s="350"/>
      <c r="EK39" s="34"/>
      <c r="EL39" s="71"/>
      <c r="EM39" s="71"/>
      <c r="EN39" s="71"/>
      <c r="EO39" s="34"/>
      <c r="EP39" s="401"/>
      <c r="ER39" s="401"/>
      <c r="ES39" s="401"/>
      <c r="ET39" s="401"/>
      <c r="EU39" s="401"/>
      <c r="EV39" s="401"/>
      <c r="EW39" s="401"/>
      <c r="EX39" s="401"/>
      <c r="EZ39" s="401"/>
      <c r="FB39" s="401"/>
      <c r="FD39" s="401"/>
      <c r="FE39" s="401"/>
      <c r="FF39" s="401"/>
      <c r="FH39" s="401"/>
      <c r="FI39" s="401"/>
      <c r="FJ39" s="401"/>
      <c r="FL39" s="401"/>
      <c r="FN39" s="401"/>
      <c r="FO39" s="401"/>
      <c r="FP39" s="401"/>
      <c r="FR39" s="401"/>
      <c r="FS39" s="401"/>
      <c r="FT39" s="401"/>
      <c r="FV39" s="401"/>
      <c r="FW39" s="401"/>
      <c r="FX39" s="401"/>
      <c r="FY39" s="401"/>
      <c r="FZ39" s="401"/>
      <c r="GA39" s="401"/>
      <c r="GB39" s="401"/>
      <c r="GC39" s="401"/>
      <c r="GD39" s="401"/>
      <c r="GE39" s="401"/>
      <c r="GF39" s="401"/>
      <c r="GG39" s="401"/>
      <c r="GH39" s="401"/>
      <c r="GI39" s="401"/>
    </row>
    <row r="40" spans="1:191" ht="18.75" x14ac:dyDescent="0.3">
      <c r="A40" s="249" t="s">
        <v>228</v>
      </c>
      <c r="B40" s="367"/>
      <c r="C40" s="250">
        <v>103</v>
      </c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347"/>
      <c r="AI40" s="41"/>
      <c r="AJ40" s="41"/>
      <c r="AK40" s="401"/>
      <c r="AL40" s="401"/>
      <c r="AM40" s="401"/>
      <c r="AN40" s="401"/>
      <c r="AO40" s="401"/>
      <c r="AP40" s="401"/>
      <c r="AQ40" s="401"/>
      <c r="AR40" s="401"/>
      <c r="AS40" s="401"/>
      <c r="AT40" s="11"/>
      <c r="AU40" s="11"/>
      <c r="AV40" s="11"/>
      <c r="AW40" s="11"/>
      <c r="AX40" s="11"/>
      <c r="AY40" s="11"/>
      <c r="AZ40" s="11"/>
      <c r="BA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41"/>
      <c r="DV40" s="34"/>
      <c r="DW40" s="41"/>
      <c r="DX40" s="71"/>
      <c r="DY40" s="71"/>
      <c r="DZ40" s="34"/>
      <c r="EA40" s="34"/>
      <c r="EB40" s="71"/>
      <c r="EC40" s="71"/>
      <c r="ED40" s="34"/>
      <c r="EE40" s="71"/>
      <c r="EF40" s="34"/>
      <c r="EG40" s="34"/>
      <c r="EH40" s="34"/>
      <c r="EI40" s="71"/>
      <c r="EJ40" s="350"/>
      <c r="EK40" s="34"/>
      <c r="EL40" s="71"/>
      <c r="EM40" s="71"/>
      <c r="EN40" s="71"/>
      <c r="EO40" s="34"/>
      <c r="EP40" s="401"/>
      <c r="ER40" s="401"/>
      <c r="ES40" s="401"/>
      <c r="ET40" s="401"/>
      <c r="EU40" s="401"/>
      <c r="EV40" s="401"/>
      <c r="EW40" s="401"/>
      <c r="EX40" s="401"/>
      <c r="EZ40" s="401"/>
      <c r="FB40" s="401"/>
      <c r="FD40" s="401"/>
      <c r="FE40" s="401"/>
      <c r="FF40" s="401"/>
      <c r="FH40" s="401"/>
      <c r="FI40" s="401"/>
      <c r="FJ40" s="401"/>
      <c r="FL40" s="401"/>
      <c r="FN40" s="401"/>
      <c r="FO40" s="401"/>
      <c r="FP40" s="401"/>
      <c r="FR40" s="401"/>
      <c r="FS40" s="401"/>
      <c r="FT40" s="401"/>
      <c r="FV40" s="401"/>
      <c r="FW40" s="401"/>
      <c r="FX40" s="401"/>
      <c r="FY40" s="401"/>
      <c r="FZ40" s="401"/>
      <c r="GA40" s="401"/>
      <c r="GB40" s="401"/>
      <c r="GC40" s="401"/>
      <c r="GD40" s="401"/>
      <c r="GE40" s="401"/>
      <c r="GF40" s="401"/>
      <c r="GG40" s="401"/>
      <c r="GH40" s="401"/>
      <c r="GI40" s="401"/>
    </row>
    <row r="41" spans="1:191" ht="18.75" x14ac:dyDescent="0.3">
      <c r="A41" s="245" t="s">
        <v>229</v>
      </c>
      <c r="B41" s="367"/>
      <c r="C41" s="368">
        <v>60</v>
      </c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347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11"/>
      <c r="AU41" s="11"/>
      <c r="AV41" s="11"/>
      <c r="AW41" s="11"/>
      <c r="AX41" s="11"/>
      <c r="AY41" s="11"/>
      <c r="AZ41" s="11"/>
      <c r="BA41" s="34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41"/>
      <c r="DV41" s="34"/>
      <c r="DW41" s="41"/>
      <c r="DX41" s="71"/>
      <c r="DY41" s="71"/>
      <c r="DZ41" s="34"/>
      <c r="EA41" s="34"/>
      <c r="EB41" s="71"/>
      <c r="EC41" s="71"/>
      <c r="ED41" s="34"/>
      <c r="EE41" s="71"/>
      <c r="EF41" s="34"/>
      <c r="EG41" s="34"/>
      <c r="EH41" s="34"/>
      <c r="EI41" s="71"/>
      <c r="EJ41" s="350"/>
      <c r="EK41" s="34"/>
      <c r="EL41" s="71"/>
      <c r="EM41" s="71"/>
      <c r="EN41" s="71"/>
      <c r="EO41" s="34"/>
      <c r="EP41" s="401"/>
      <c r="ER41" s="401"/>
      <c r="ES41" s="401"/>
      <c r="ET41" s="401"/>
      <c r="EU41" s="401"/>
      <c r="EV41" s="401"/>
      <c r="EW41" s="401"/>
      <c r="EX41" s="401"/>
      <c r="EZ41" s="401"/>
      <c r="FB41" s="401"/>
      <c r="FD41" s="401"/>
      <c r="FE41" s="401"/>
      <c r="FF41" s="401"/>
      <c r="FH41" s="401"/>
      <c r="FI41" s="401"/>
      <c r="FJ41" s="401"/>
      <c r="FL41" s="401"/>
      <c r="FN41" s="401"/>
      <c r="FO41" s="401"/>
      <c r="FP41" s="401"/>
      <c r="FR41" s="401"/>
      <c r="FS41" s="401"/>
      <c r="FT41" s="401"/>
      <c r="FV41" s="401"/>
      <c r="FW41" s="401"/>
      <c r="FX41" s="401"/>
      <c r="FY41" s="401"/>
      <c r="FZ41" s="401"/>
      <c r="GA41" s="401"/>
      <c r="GB41" s="401"/>
      <c r="GC41" s="401"/>
      <c r="GD41" s="401"/>
      <c r="GE41" s="401"/>
      <c r="GF41" s="401"/>
      <c r="GG41" s="401"/>
      <c r="GH41" s="401"/>
      <c r="GI41" s="401"/>
    </row>
    <row r="42" spans="1:191" s="34" customFormat="1" ht="18.75" x14ac:dyDescent="0.3"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I42" s="41"/>
      <c r="AK42" s="41"/>
      <c r="AL42" s="41"/>
      <c r="AM42" s="41"/>
      <c r="AN42" s="41"/>
      <c r="AO42" s="41"/>
      <c r="AP42" s="41"/>
      <c r="AQ42" s="41"/>
      <c r="AR42" s="41"/>
      <c r="AS42" s="41"/>
      <c r="AT42" s="11"/>
      <c r="AU42" s="11"/>
      <c r="AV42" s="11"/>
      <c r="AW42" s="11"/>
      <c r="AX42" s="401"/>
      <c r="AY42" s="401"/>
      <c r="AZ42" s="40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</row>
    <row r="43" spans="1:191" ht="18.75" x14ac:dyDescent="0.3">
      <c r="A43" s="472" t="s">
        <v>177</v>
      </c>
      <c r="B43" s="467"/>
      <c r="C43" s="467"/>
      <c r="D43" s="469"/>
      <c r="F43" s="356">
        <v>46013</v>
      </c>
      <c r="G43" s="356">
        <v>46020</v>
      </c>
      <c r="H43" s="356">
        <v>46027</v>
      </c>
      <c r="I43" s="356">
        <v>46034</v>
      </c>
      <c r="J43" s="356">
        <v>46041</v>
      </c>
      <c r="K43" s="356">
        <v>46048</v>
      </c>
      <c r="L43" s="356">
        <v>46055</v>
      </c>
      <c r="M43" s="356">
        <v>46062</v>
      </c>
      <c r="N43" s="356">
        <v>46069</v>
      </c>
      <c r="O43" s="356">
        <v>46076</v>
      </c>
      <c r="P43" s="356">
        <v>46083</v>
      </c>
      <c r="Q43" s="356">
        <v>46090</v>
      </c>
      <c r="R43" s="356">
        <v>46097</v>
      </c>
      <c r="S43" s="356">
        <v>46104</v>
      </c>
      <c r="T43" s="356">
        <v>46111</v>
      </c>
      <c r="U43" s="356">
        <v>46118</v>
      </c>
      <c r="V43" s="356">
        <v>46125</v>
      </c>
      <c r="W43" s="356">
        <v>46132</v>
      </c>
      <c r="X43" s="356">
        <v>46139</v>
      </c>
      <c r="Y43" s="356">
        <v>46146</v>
      </c>
      <c r="Z43" s="356">
        <v>46154</v>
      </c>
      <c r="AA43" s="356">
        <v>46160</v>
      </c>
      <c r="AB43" s="356">
        <v>46161.480127210649</v>
      </c>
      <c r="AC43" s="356">
        <v>46161.48080085648</v>
      </c>
      <c r="AD43" s="356">
        <v>46161.482958402783</v>
      </c>
      <c r="AE43" s="356">
        <v>46161.483286961753</v>
      </c>
      <c r="AG43" s="362"/>
      <c r="AK43" s="41"/>
      <c r="AL43" s="41"/>
      <c r="AM43" s="41"/>
      <c r="AN43" s="41"/>
      <c r="AO43" s="41"/>
      <c r="AP43" s="41"/>
      <c r="AQ43" s="41"/>
      <c r="AR43" s="41"/>
      <c r="AS43" s="41"/>
      <c r="AT43" s="11"/>
      <c r="AU43" s="11"/>
      <c r="AV43" s="11"/>
      <c r="AW43" s="11"/>
      <c r="AX43" s="401"/>
      <c r="AY43" s="401"/>
      <c r="AZ43" s="401"/>
      <c r="BB43" s="41"/>
      <c r="BC43" s="41"/>
      <c r="BD43" s="41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</row>
    <row r="44" spans="1:191" ht="18.75" x14ac:dyDescent="0.3">
      <c r="A44" s="470" t="s">
        <v>200</v>
      </c>
      <c r="B44" s="467"/>
      <c r="C44" s="467"/>
      <c r="D44" s="469"/>
      <c r="F44" s="358">
        <v>0</v>
      </c>
      <c r="G44" s="358">
        <v>0</v>
      </c>
      <c r="H44" s="358">
        <v>0</v>
      </c>
      <c r="I44" s="358">
        <v>0</v>
      </c>
      <c r="J44" s="358">
        <v>0</v>
      </c>
      <c r="K44" s="358">
        <v>0</v>
      </c>
      <c r="L44" s="358">
        <v>0</v>
      </c>
      <c r="M44" s="358">
        <v>0</v>
      </c>
      <c r="N44" s="358">
        <v>0</v>
      </c>
      <c r="O44" s="358">
        <v>0</v>
      </c>
      <c r="P44" s="358">
        <v>0</v>
      </c>
      <c r="Q44" s="358">
        <v>0</v>
      </c>
      <c r="R44" s="358">
        <v>0</v>
      </c>
      <c r="S44" s="358">
        <v>0</v>
      </c>
      <c r="T44" s="358">
        <v>0</v>
      </c>
      <c r="U44" s="358">
        <v>0</v>
      </c>
      <c r="V44" s="358">
        <v>0</v>
      </c>
      <c r="W44" s="358">
        <v>0</v>
      </c>
      <c r="X44" s="358">
        <v>0</v>
      </c>
      <c r="Y44" s="358">
        <v>0</v>
      </c>
      <c r="Z44" s="358">
        <v>0</v>
      </c>
      <c r="AA44" s="358"/>
      <c r="AB44" s="448"/>
      <c r="AC44" s="448"/>
      <c r="AD44" s="448"/>
      <c r="AE44" s="448"/>
      <c r="AK44" s="41"/>
      <c r="AL44" s="41"/>
      <c r="AM44" s="41"/>
      <c r="AN44" s="41"/>
      <c r="AO44" s="41"/>
      <c r="AP44" s="41"/>
      <c r="AQ44" s="41"/>
      <c r="AR44" s="41"/>
      <c r="AS44" s="41"/>
      <c r="BB44" s="41"/>
      <c r="BC44" s="41"/>
      <c r="BD44" s="41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</row>
    <row r="45" spans="1:191" ht="18.75" x14ac:dyDescent="0.25">
      <c r="A45" s="470" t="s">
        <v>192</v>
      </c>
      <c r="B45" s="467"/>
      <c r="C45" s="467"/>
      <c r="D45" s="469"/>
      <c r="F45" s="358">
        <v>0</v>
      </c>
      <c r="G45" s="358">
        <v>0</v>
      </c>
      <c r="H45" s="358">
        <v>0</v>
      </c>
      <c r="I45" s="358">
        <v>0</v>
      </c>
      <c r="J45" s="358">
        <v>0</v>
      </c>
      <c r="K45" s="358">
        <v>0</v>
      </c>
      <c r="L45" s="358">
        <v>0</v>
      </c>
      <c r="M45" s="358">
        <v>0</v>
      </c>
      <c r="N45" s="358">
        <v>0</v>
      </c>
      <c r="O45" s="358">
        <v>0</v>
      </c>
      <c r="P45" s="358">
        <v>0</v>
      </c>
      <c r="Q45" s="358">
        <v>0</v>
      </c>
      <c r="R45" s="358">
        <v>0</v>
      </c>
      <c r="S45" s="358">
        <v>0</v>
      </c>
      <c r="T45" s="358">
        <v>0</v>
      </c>
      <c r="U45" s="358">
        <v>0</v>
      </c>
      <c r="V45" s="358">
        <v>0</v>
      </c>
      <c r="W45" s="358">
        <v>0</v>
      </c>
      <c r="X45" s="358">
        <v>0</v>
      </c>
      <c r="Y45" s="358">
        <v>0</v>
      </c>
      <c r="Z45" s="358">
        <v>0</v>
      </c>
      <c r="AA45" s="358"/>
      <c r="AB45" s="448"/>
      <c r="AC45" s="448"/>
      <c r="AD45" s="448"/>
      <c r="AE45" s="448"/>
    </row>
    <row r="46" spans="1:191" ht="18.75" x14ac:dyDescent="0.25">
      <c r="A46" s="470" t="s">
        <v>193</v>
      </c>
      <c r="B46" s="467"/>
      <c r="C46" s="467"/>
      <c r="D46" s="469"/>
      <c r="F46" s="358">
        <v>0</v>
      </c>
      <c r="G46" s="358">
        <v>0</v>
      </c>
      <c r="H46" s="358">
        <v>0</v>
      </c>
      <c r="I46" s="358">
        <v>0</v>
      </c>
      <c r="J46" s="358">
        <v>0</v>
      </c>
      <c r="K46" s="358">
        <v>0</v>
      </c>
      <c r="L46" s="358">
        <v>0</v>
      </c>
      <c r="M46" s="358">
        <v>0</v>
      </c>
      <c r="N46" s="358">
        <v>0</v>
      </c>
      <c r="O46" s="358">
        <v>0</v>
      </c>
      <c r="P46" s="358">
        <v>0</v>
      </c>
      <c r="Q46" s="358">
        <v>0</v>
      </c>
      <c r="R46" s="358">
        <v>0</v>
      </c>
      <c r="S46" s="358">
        <v>0</v>
      </c>
      <c r="T46" s="358">
        <v>0</v>
      </c>
      <c r="U46" s="358">
        <v>0</v>
      </c>
      <c r="V46" s="358">
        <v>0</v>
      </c>
      <c r="W46" s="358">
        <v>0</v>
      </c>
      <c r="X46" s="358">
        <v>0</v>
      </c>
      <c r="Y46" s="358">
        <v>0</v>
      </c>
      <c r="Z46" s="358">
        <v>0</v>
      </c>
      <c r="AA46" s="358"/>
      <c r="AB46" s="448"/>
      <c r="AC46" s="448"/>
      <c r="AD46" s="448"/>
      <c r="AE46" s="448"/>
    </row>
    <row r="47" spans="1:191" ht="18.75" x14ac:dyDescent="0.3">
      <c r="A47" s="470" t="s">
        <v>230</v>
      </c>
      <c r="B47" s="467"/>
      <c r="C47" s="467"/>
      <c r="D47" s="469"/>
      <c r="F47" s="358">
        <v>0</v>
      </c>
      <c r="G47" s="358">
        <v>0</v>
      </c>
      <c r="H47" s="358">
        <v>0</v>
      </c>
      <c r="I47" s="358">
        <v>0</v>
      </c>
      <c r="J47" s="358">
        <v>0</v>
      </c>
      <c r="K47" s="358">
        <v>0</v>
      </c>
      <c r="L47" s="358">
        <v>0</v>
      </c>
      <c r="M47" s="358">
        <v>0</v>
      </c>
      <c r="N47" s="358">
        <v>0</v>
      </c>
      <c r="O47" s="358">
        <v>0</v>
      </c>
      <c r="P47" s="358">
        <v>0</v>
      </c>
      <c r="Q47" s="358">
        <v>0</v>
      </c>
      <c r="R47" s="358">
        <v>0</v>
      </c>
      <c r="S47" s="358">
        <v>0</v>
      </c>
      <c r="T47" s="358">
        <v>0</v>
      </c>
      <c r="U47" s="358">
        <v>0</v>
      </c>
      <c r="V47" s="358">
        <v>0</v>
      </c>
      <c r="W47" s="358">
        <v>0</v>
      </c>
      <c r="X47" s="358">
        <v>0</v>
      </c>
      <c r="Y47" s="358">
        <v>0</v>
      </c>
      <c r="Z47" s="358">
        <v>0</v>
      </c>
      <c r="AA47" s="358"/>
      <c r="AB47" s="448"/>
      <c r="AC47" s="448"/>
      <c r="AD47" s="448"/>
      <c r="AE47" s="448"/>
      <c r="AK47" s="11"/>
      <c r="AL47" s="11"/>
      <c r="AM47" s="11"/>
      <c r="AN47" s="11"/>
      <c r="AO47" s="11"/>
      <c r="AP47" s="11"/>
      <c r="AQ47" s="11"/>
      <c r="AR47" s="11"/>
      <c r="AS47" s="11"/>
    </row>
    <row r="48" spans="1:191" ht="18.75" x14ac:dyDescent="0.25">
      <c r="A48" s="470" t="s">
        <v>231</v>
      </c>
      <c r="B48" s="467"/>
      <c r="C48" s="467"/>
      <c r="D48" s="469"/>
      <c r="F48" s="358">
        <v>0</v>
      </c>
      <c r="G48" s="358">
        <v>0</v>
      </c>
      <c r="H48" s="358">
        <v>0</v>
      </c>
      <c r="I48" s="358">
        <v>0</v>
      </c>
      <c r="J48" s="358">
        <v>0</v>
      </c>
      <c r="K48" s="358">
        <v>0</v>
      </c>
      <c r="L48" s="358">
        <v>0</v>
      </c>
      <c r="M48" s="358">
        <v>0</v>
      </c>
      <c r="N48" s="358">
        <v>0</v>
      </c>
      <c r="O48" s="358">
        <v>0</v>
      </c>
      <c r="P48" s="358">
        <v>0</v>
      </c>
      <c r="Q48" s="358">
        <v>0</v>
      </c>
      <c r="R48" s="358">
        <v>0</v>
      </c>
      <c r="S48" s="358">
        <v>0</v>
      </c>
      <c r="T48" s="358">
        <v>0</v>
      </c>
      <c r="U48" s="358">
        <v>0</v>
      </c>
      <c r="V48" s="358">
        <v>0</v>
      </c>
      <c r="W48" s="358">
        <v>0</v>
      </c>
      <c r="X48" s="358">
        <v>0</v>
      </c>
      <c r="Y48" s="358">
        <v>0</v>
      </c>
      <c r="Z48" s="358">
        <v>0</v>
      </c>
      <c r="AA48" s="358"/>
      <c r="AB48" s="448"/>
      <c r="AC48" s="448"/>
      <c r="AD48" s="448"/>
      <c r="AE48" s="448"/>
    </row>
    <row r="49" spans="1:31" ht="18.75" x14ac:dyDescent="0.25">
      <c r="A49" s="470" t="s">
        <v>232</v>
      </c>
      <c r="B49" s="467"/>
      <c r="C49" s="467"/>
      <c r="D49" s="469"/>
      <c r="F49" s="358">
        <v>0</v>
      </c>
      <c r="G49" s="358">
        <v>0</v>
      </c>
      <c r="H49" s="358">
        <v>0</v>
      </c>
      <c r="I49" s="358">
        <v>0</v>
      </c>
      <c r="J49" s="358">
        <v>0</v>
      </c>
      <c r="K49" s="358">
        <v>0</v>
      </c>
      <c r="L49" s="358">
        <v>0</v>
      </c>
      <c r="M49" s="358">
        <v>0</v>
      </c>
      <c r="N49" s="358">
        <v>0</v>
      </c>
      <c r="O49" s="358">
        <v>0</v>
      </c>
      <c r="P49" s="358">
        <v>0</v>
      </c>
      <c r="Q49" s="358">
        <v>0</v>
      </c>
      <c r="R49" s="358">
        <v>0</v>
      </c>
      <c r="S49" s="358">
        <v>0</v>
      </c>
      <c r="T49" s="358">
        <v>0</v>
      </c>
      <c r="U49" s="358">
        <v>0</v>
      </c>
      <c r="V49" s="358">
        <v>0</v>
      </c>
      <c r="W49" s="358">
        <v>0</v>
      </c>
      <c r="X49" s="358">
        <v>0</v>
      </c>
      <c r="Y49" s="358">
        <v>0</v>
      </c>
      <c r="Z49" s="358">
        <v>0</v>
      </c>
      <c r="AA49" s="358"/>
      <c r="AB49" s="448"/>
      <c r="AC49" s="448"/>
      <c r="AD49" s="448"/>
      <c r="AE49" s="448"/>
    </row>
    <row r="50" spans="1:31" ht="18.75" x14ac:dyDescent="0.25">
      <c r="A50" s="470" t="s">
        <v>203</v>
      </c>
      <c r="B50" s="467"/>
      <c r="C50" s="467"/>
      <c r="D50" s="469"/>
      <c r="F50" s="358">
        <v>0</v>
      </c>
      <c r="G50" s="358">
        <v>0</v>
      </c>
      <c r="H50" s="358">
        <v>0</v>
      </c>
      <c r="I50" s="358">
        <v>0</v>
      </c>
      <c r="J50" s="358">
        <v>0</v>
      </c>
      <c r="K50" s="358">
        <v>0</v>
      </c>
      <c r="L50" s="358">
        <v>0</v>
      </c>
      <c r="M50" s="358">
        <v>0</v>
      </c>
      <c r="N50" s="358">
        <v>0</v>
      </c>
      <c r="O50" s="358">
        <v>0</v>
      </c>
      <c r="P50" s="358">
        <v>0</v>
      </c>
      <c r="Q50" s="358">
        <v>0</v>
      </c>
      <c r="R50" s="358">
        <v>0</v>
      </c>
      <c r="S50" s="358">
        <v>0</v>
      </c>
      <c r="T50" s="358">
        <v>0</v>
      </c>
      <c r="U50" s="358">
        <v>0</v>
      </c>
      <c r="V50" s="358">
        <v>0</v>
      </c>
      <c r="W50" s="358">
        <v>0</v>
      </c>
      <c r="X50" s="358">
        <v>0</v>
      </c>
      <c r="Y50" s="358">
        <v>0</v>
      </c>
      <c r="Z50" s="358">
        <v>0</v>
      </c>
      <c r="AA50" s="358"/>
      <c r="AB50" s="448"/>
      <c r="AC50" s="448"/>
      <c r="AD50" s="448"/>
      <c r="AE50" s="448"/>
    </row>
    <row r="51" spans="1:31" ht="18.75" x14ac:dyDescent="0.25">
      <c r="A51" s="470" t="s">
        <v>219</v>
      </c>
      <c r="B51" s="467"/>
      <c r="C51" s="467"/>
      <c r="D51" s="469"/>
      <c r="F51" s="358">
        <v>0</v>
      </c>
      <c r="G51" s="358">
        <v>0</v>
      </c>
      <c r="H51" s="358">
        <v>0</v>
      </c>
      <c r="I51" s="358">
        <v>0</v>
      </c>
      <c r="J51" s="358">
        <v>0</v>
      </c>
      <c r="K51" s="358">
        <v>0</v>
      </c>
      <c r="L51" s="358">
        <v>0</v>
      </c>
      <c r="M51" s="358">
        <v>0</v>
      </c>
      <c r="N51" s="358">
        <v>0</v>
      </c>
      <c r="O51" s="358">
        <v>0</v>
      </c>
      <c r="P51" s="358">
        <v>0</v>
      </c>
      <c r="Q51" s="358">
        <v>0</v>
      </c>
      <c r="R51" s="358">
        <v>0</v>
      </c>
      <c r="S51" s="358">
        <v>0</v>
      </c>
      <c r="T51" s="358">
        <v>0</v>
      </c>
      <c r="U51" s="358">
        <v>0</v>
      </c>
      <c r="V51" s="358">
        <v>0</v>
      </c>
      <c r="W51" s="358">
        <v>0</v>
      </c>
      <c r="X51" s="358">
        <v>0</v>
      </c>
      <c r="Y51" s="358">
        <v>0</v>
      </c>
      <c r="Z51" s="358">
        <v>0</v>
      </c>
      <c r="AA51" s="358"/>
      <c r="AB51" s="448"/>
      <c r="AC51" s="448"/>
      <c r="AD51" s="448"/>
      <c r="AE51" s="448"/>
    </row>
    <row r="52" spans="1:31" ht="18.75" x14ac:dyDescent="0.25">
      <c r="A52" s="470" t="s">
        <v>220</v>
      </c>
      <c r="B52" s="467"/>
      <c r="C52" s="467"/>
      <c r="D52" s="469"/>
      <c r="F52" s="358">
        <v>0</v>
      </c>
      <c r="G52" s="358">
        <v>0</v>
      </c>
      <c r="H52" s="358">
        <v>0</v>
      </c>
      <c r="I52" s="358">
        <v>0</v>
      </c>
      <c r="J52" s="358">
        <v>0</v>
      </c>
      <c r="K52" s="358">
        <v>0</v>
      </c>
      <c r="L52" s="358">
        <v>0</v>
      </c>
      <c r="M52" s="358">
        <v>0</v>
      </c>
      <c r="N52" s="358">
        <v>0</v>
      </c>
      <c r="O52" s="358">
        <v>0</v>
      </c>
      <c r="P52" s="358">
        <v>0</v>
      </c>
      <c r="Q52" s="358">
        <v>0</v>
      </c>
      <c r="R52" s="358">
        <v>0</v>
      </c>
      <c r="S52" s="358">
        <v>0</v>
      </c>
      <c r="T52" s="358">
        <v>0</v>
      </c>
      <c r="U52" s="358">
        <v>0</v>
      </c>
      <c r="V52" s="358">
        <v>0</v>
      </c>
      <c r="W52" s="358">
        <v>0</v>
      </c>
      <c r="X52" s="358">
        <v>0</v>
      </c>
      <c r="Y52" s="358">
        <v>0</v>
      </c>
      <c r="Z52" s="358">
        <v>0</v>
      </c>
      <c r="AA52" s="358"/>
      <c r="AB52" s="448"/>
      <c r="AC52" s="448"/>
      <c r="AD52" s="448"/>
      <c r="AE52" s="448"/>
    </row>
  </sheetData>
  <mergeCells count="20">
    <mergeCell ref="A1:AA1"/>
    <mergeCell ref="B2:D2"/>
    <mergeCell ref="C5:C6"/>
    <mergeCell ref="F3:AB3"/>
    <mergeCell ref="A51:D51"/>
    <mergeCell ref="A49:D49"/>
    <mergeCell ref="A5:A6"/>
    <mergeCell ref="A45:D45"/>
    <mergeCell ref="A46:D46"/>
    <mergeCell ref="B5:B6"/>
    <mergeCell ref="D5:D6"/>
    <mergeCell ref="B3:D3"/>
    <mergeCell ref="F5:AA5"/>
    <mergeCell ref="A50:D50"/>
    <mergeCell ref="A47:D47"/>
    <mergeCell ref="A52:D52"/>
    <mergeCell ref="A43:D43"/>
    <mergeCell ref="A44:D44"/>
    <mergeCell ref="AX7:BF7"/>
    <mergeCell ref="A48:D48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63" fitToHeight="0"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>
    <tabColor theme="8"/>
  </sheetPr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58">
    <tabColor theme="9"/>
  </sheetPr>
  <dimension ref="A1:FX52"/>
  <sheetViews>
    <sheetView showGridLines="0" topLeftCell="A4" zoomScale="80" zoomScaleNormal="80" workbookViewId="0">
      <selection activeCell="AA14" activeCellId="1" sqref="AA8:AA11 AA14:AA17"/>
    </sheetView>
  </sheetViews>
  <sheetFormatPr defaultColWidth="9.140625" defaultRowHeight="18.75" x14ac:dyDescent="0.3"/>
  <cols>
    <col min="1" max="1" width="29" style="11" customWidth="1"/>
    <col min="2" max="2" width="9.140625" style="11" customWidth="1"/>
    <col min="3" max="4" width="14.42578125" style="11" customWidth="1"/>
    <col min="5" max="5" width="1.85546875" style="11" customWidth="1"/>
    <col min="6" max="24" width="8.140625" style="11" hidden="1" customWidth="1"/>
    <col min="25" max="26" width="8.140625" style="11" customWidth="1"/>
    <col min="27" max="27" width="7.85546875" style="11" bestFit="1" customWidth="1"/>
    <col min="28" max="28" width="1.28515625" style="34" customWidth="1"/>
    <col min="29" max="29" width="14.28515625" style="34" customWidth="1"/>
    <col min="30" max="30" width="1.28515625" style="11" customWidth="1"/>
    <col min="31" max="31" width="15.7109375" style="34" customWidth="1"/>
    <col min="32" max="32" width="1.140625" style="11" customWidth="1"/>
    <col min="33" max="37" width="8.7109375" style="71" customWidth="1"/>
    <col min="38" max="46" width="8.7109375" style="71" hidden="1" customWidth="1"/>
    <col min="47" max="47" width="9.140625" style="11" customWidth="1"/>
    <col min="48" max="48" width="21.85546875" style="11" bestFit="1" customWidth="1"/>
    <col min="49" max="49" width="9.140625" style="11" customWidth="1"/>
    <col min="50" max="53" width="13" style="11" hidden="1" customWidth="1"/>
    <col min="54" max="54" width="9.140625" style="11" customWidth="1"/>
    <col min="55" max="16384" width="9.140625" style="11"/>
  </cols>
  <sheetData>
    <row r="1" spans="1:56" ht="23.25" customHeight="1" x14ac:dyDescent="0.3">
      <c r="A1" s="477" t="s">
        <v>117</v>
      </c>
      <c r="B1" s="479"/>
      <c r="C1" s="479"/>
      <c r="D1" s="479"/>
      <c r="E1" s="479"/>
      <c r="F1" s="479"/>
      <c r="G1" s="479"/>
      <c r="H1" s="479"/>
      <c r="I1" s="479"/>
      <c r="J1" s="479"/>
      <c r="K1" s="479"/>
      <c r="L1" s="479"/>
      <c r="M1" s="479"/>
      <c r="N1" s="479"/>
      <c r="O1" s="479"/>
      <c r="P1" s="479"/>
      <c r="Q1" s="479"/>
      <c r="R1" s="479"/>
      <c r="S1" s="479"/>
      <c r="T1" s="479"/>
      <c r="U1" s="479"/>
      <c r="V1" s="479"/>
      <c r="W1" s="479"/>
      <c r="X1" s="479"/>
      <c r="Y1" s="479"/>
      <c r="Z1" s="479"/>
      <c r="AA1" s="479"/>
      <c r="AB1" s="354"/>
      <c r="AC1" s="353"/>
      <c r="AD1" s="353"/>
      <c r="AE1" s="353"/>
      <c r="AF1" s="353"/>
      <c r="AG1" s="353"/>
      <c r="AH1" s="353"/>
      <c r="AI1" s="353"/>
      <c r="AJ1" s="353"/>
      <c r="AK1" s="353"/>
      <c r="AL1" s="353"/>
      <c r="AM1" s="353"/>
      <c r="AN1" s="353"/>
      <c r="AO1" s="353"/>
      <c r="AP1" s="353"/>
      <c r="AQ1" s="353"/>
      <c r="AR1" s="353"/>
      <c r="AS1" s="353"/>
      <c r="AT1" s="353"/>
    </row>
    <row r="2" spans="1:56" x14ac:dyDescent="0.3">
      <c r="A2" s="28" t="s">
        <v>118</v>
      </c>
      <c r="B2" s="473" t="s">
        <v>222</v>
      </c>
      <c r="C2" s="463"/>
      <c r="D2" s="464"/>
      <c r="AB2" s="11"/>
      <c r="AC2" s="11"/>
      <c r="AE2" s="11"/>
    </row>
    <row r="3" spans="1:56" x14ac:dyDescent="0.3">
      <c r="A3" s="28" t="s">
        <v>120</v>
      </c>
      <c r="B3" s="465" t="s">
        <v>223</v>
      </c>
      <c r="C3" s="463"/>
      <c r="D3" s="464"/>
      <c r="E3" s="7"/>
      <c r="F3" s="481"/>
      <c r="G3" s="479"/>
      <c r="H3" s="479"/>
      <c r="I3" s="479"/>
      <c r="J3" s="479"/>
      <c r="K3" s="479"/>
      <c r="L3" s="479"/>
      <c r="M3" s="479"/>
      <c r="N3" s="479"/>
      <c r="O3" s="479"/>
      <c r="P3" s="479"/>
      <c r="Q3" s="479"/>
      <c r="R3" s="479"/>
      <c r="S3" s="479"/>
      <c r="T3" s="479"/>
      <c r="U3" s="479"/>
      <c r="V3" s="479"/>
      <c r="W3" s="479"/>
      <c r="X3" s="479"/>
      <c r="Y3" s="479"/>
      <c r="Z3" s="479"/>
      <c r="AA3" s="479"/>
      <c r="AB3" s="480"/>
      <c r="AC3" s="11"/>
      <c r="AD3" s="7"/>
    </row>
    <row r="4" spans="1:56" x14ac:dyDescent="0.3">
      <c r="AB4" s="74"/>
      <c r="AE4" s="11"/>
      <c r="AG4" s="387"/>
      <c r="AH4" s="387"/>
      <c r="AI4" s="387"/>
      <c r="AJ4" s="387"/>
      <c r="AK4" s="387"/>
      <c r="AL4" s="387"/>
      <c r="AM4" s="387"/>
      <c r="AN4" s="387"/>
      <c r="AO4" s="387"/>
      <c r="AP4" s="387"/>
      <c r="AQ4" s="387"/>
      <c r="AR4" s="387"/>
      <c r="AS4" s="387"/>
      <c r="AT4" s="387"/>
    </row>
    <row r="5" spans="1:56" ht="18.75" customHeight="1" x14ac:dyDescent="0.3">
      <c r="A5" s="476" t="s">
        <v>122</v>
      </c>
      <c r="B5" s="471" t="s">
        <v>123</v>
      </c>
      <c r="C5" s="471" t="s">
        <v>124</v>
      </c>
      <c r="D5" s="474" t="s">
        <v>125</v>
      </c>
      <c r="F5" s="482"/>
      <c r="G5" s="483"/>
      <c r="H5" s="483"/>
      <c r="I5" s="483"/>
      <c r="J5" s="483"/>
      <c r="K5" s="483"/>
      <c r="L5" s="483"/>
      <c r="M5" s="483"/>
      <c r="N5" s="483"/>
      <c r="O5" s="483"/>
      <c r="P5" s="483"/>
      <c r="Q5" s="483"/>
      <c r="R5" s="483"/>
      <c r="S5" s="483"/>
      <c r="T5" s="483"/>
      <c r="U5" s="483"/>
      <c r="V5" s="483"/>
      <c r="W5" s="483"/>
      <c r="X5" s="483"/>
      <c r="Y5" s="483"/>
      <c r="Z5" s="483"/>
      <c r="AA5" s="483"/>
      <c r="AB5" s="115"/>
      <c r="AC5" s="29" t="s">
        <v>126</v>
      </c>
      <c r="AE5" s="9" t="s">
        <v>127</v>
      </c>
      <c r="AG5" s="363">
        <v>46142</v>
      </c>
      <c r="AH5" s="363">
        <v>46114</v>
      </c>
      <c r="AI5" s="409">
        <v>46065</v>
      </c>
      <c r="AJ5" s="363">
        <v>46107</v>
      </c>
      <c r="AK5" s="363">
        <v>46092</v>
      </c>
      <c r="AL5" s="363">
        <v>46056</v>
      </c>
      <c r="AM5" s="363">
        <v>46048</v>
      </c>
      <c r="AN5" s="363">
        <v>46043</v>
      </c>
      <c r="AO5" s="363">
        <v>46035</v>
      </c>
      <c r="AP5" s="363">
        <v>46029</v>
      </c>
      <c r="AQ5" s="363">
        <v>46017</v>
      </c>
      <c r="AR5" s="363">
        <v>46007</v>
      </c>
      <c r="AS5" s="363">
        <v>46001</v>
      </c>
      <c r="AT5" s="363">
        <v>45994</v>
      </c>
    </row>
    <row r="6" spans="1:56" s="3" customFormat="1" x14ac:dyDescent="0.3">
      <c r="A6" s="461"/>
      <c r="B6" s="461"/>
      <c r="C6" s="461"/>
      <c r="D6" s="461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35" t="s">
        <v>129</v>
      </c>
      <c r="AB6" s="116"/>
      <c r="AC6" s="180"/>
      <c r="AD6" s="31"/>
      <c r="AE6" s="179">
        <v>46155</v>
      </c>
      <c r="AF6" s="31"/>
      <c r="AG6" s="363">
        <v>46156</v>
      </c>
      <c r="AH6" s="363">
        <v>46125</v>
      </c>
      <c r="AI6" s="409">
        <v>46111</v>
      </c>
      <c r="AJ6" s="363">
        <v>46111</v>
      </c>
      <c r="AK6" s="363">
        <v>46101</v>
      </c>
      <c r="AL6" s="363">
        <v>46062</v>
      </c>
      <c r="AM6" s="363">
        <v>46056</v>
      </c>
      <c r="AN6" s="363">
        <v>46052</v>
      </c>
      <c r="AO6" s="363">
        <v>46043</v>
      </c>
      <c r="AP6" s="363">
        <v>46037</v>
      </c>
      <c r="AQ6" s="363">
        <v>46027</v>
      </c>
      <c r="AR6" s="363">
        <v>46013</v>
      </c>
      <c r="AS6" s="363">
        <v>46010</v>
      </c>
      <c r="AT6" s="363">
        <v>46001</v>
      </c>
      <c r="AV6" s="11"/>
      <c r="AW6" s="11"/>
      <c r="AX6" s="11"/>
      <c r="AY6" s="11"/>
      <c r="AZ6" s="11"/>
      <c r="BA6" s="11"/>
      <c r="BB6" s="11"/>
      <c r="BC6" s="11"/>
      <c r="BD6" s="11"/>
    </row>
    <row r="7" spans="1:56" s="3" customFormat="1" ht="21.75" customHeight="1" x14ac:dyDescent="0.3">
      <c r="A7" s="5" t="s">
        <v>130</v>
      </c>
      <c r="B7" s="5"/>
      <c r="C7" s="5"/>
      <c r="D7" s="233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341"/>
      <c r="AC7" s="84"/>
      <c r="AD7" s="11"/>
      <c r="AE7" s="124"/>
      <c r="AF7" s="11"/>
      <c r="AG7" s="12"/>
      <c r="AH7" s="12"/>
      <c r="AI7" s="12" t="s">
        <v>131</v>
      </c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V7" s="475" t="s">
        <v>180</v>
      </c>
      <c r="AW7" s="467"/>
      <c r="AX7" s="467"/>
      <c r="AY7" s="467"/>
      <c r="AZ7" s="467"/>
      <c r="BA7" s="467"/>
      <c r="BB7" s="467"/>
      <c r="BC7" s="467"/>
      <c r="BD7" s="469"/>
    </row>
    <row r="8" spans="1:56" s="3" customFormat="1" ht="19.5" customHeight="1" x14ac:dyDescent="0.3">
      <c r="A8" s="21" t="s">
        <v>132</v>
      </c>
      <c r="B8" s="6">
        <v>300</v>
      </c>
      <c r="C8" s="82">
        <v>187.12</v>
      </c>
      <c r="D8" s="234">
        <v>250</v>
      </c>
      <c r="E8" s="11"/>
      <c r="F8" s="39">
        <f>390+AR8</f>
        <v>990</v>
      </c>
      <c r="G8" s="39">
        <v>765</v>
      </c>
      <c r="H8" s="39">
        <v>735</v>
      </c>
      <c r="I8" s="39">
        <v>735</v>
      </c>
      <c r="J8" s="39">
        <v>705</v>
      </c>
      <c r="K8" s="39">
        <v>690</v>
      </c>
      <c r="L8" s="39">
        <v>645</v>
      </c>
      <c r="M8" s="39">
        <v>615</v>
      </c>
      <c r="N8" s="39">
        <v>570</v>
      </c>
      <c r="O8" s="39">
        <v>570</v>
      </c>
      <c r="P8" s="39">
        <v>510</v>
      </c>
      <c r="Q8" s="39">
        <v>465</v>
      </c>
      <c r="R8" s="39">
        <v>420</v>
      </c>
      <c r="S8" s="39">
        <v>375</v>
      </c>
      <c r="T8" s="39">
        <v>345</v>
      </c>
      <c r="U8" s="39">
        <v>300</v>
      </c>
      <c r="V8" s="39">
        <v>270</v>
      </c>
      <c r="W8" s="39">
        <v>210</v>
      </c>
      <c r="X8" s="39">
        <v>195</v>
      </c>
      <c r="Y8" s="39">
        <v>150</v>
      </c>
      <c r="Z8" s="39">
        <f>45+AG8</f>
        <v>345</v>
      </c>
      <c r="AA8" s="372">
        <f ca="1">Y8+IF(NOT(ISBLANK(OFFSET(AA8,0,6))),N(OFFSET(AA8,0,6)),N(OFFSET(AA8,0,7)))-Z8</f>
        <v>105</v>
      </c>
      <c r="AB8" s="109"/>
      <c r="AC8" s="78"/>
      <c r="AD8" s="11"/>
      <c r="AE8" s="345"/>
      <c r="AF8" s="11"/>
      <c r="AG8" s="19">
        <v>300</v>
      </c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>
        <v>600</v>
      </c>
      <c r="AS8" s="19">
        <v>300</v>
      </c>
      <c r="AT8" s="19">
        <v>300</v>
      </c>
      <c r="AV8" s="389" t="s">
        <v>130</v>
      </c>
      <c r="AW8" s="376" t="s">
        <v>123</v>
      </c>
      <c r="AX8" s="13">
        <v>46118</v>
      </c>
      <c r="AY8" s="13">
        <v>46125</v>
      </c>
      <c r="AZ8" s="13">
        <v>46132</v>
      </c>
      <c r="BA8" s="13">
        <v>46139</v>
      </c>
      <c r="BB8" s="13">
        <v>46146</v>
      </c>
      <c r="BC8" s="13">
        <v>46154</v>
      </c>
      <c r="BD8" s="35" t="s">
        <v>129</v>
      </c>
    </row>
    <row r="9" spans="1:56" s="3" customFormat="1" ht="19.5" customHeight="1" x14ac:dyDescent="0.3">
      <c r="A9" s="21" t="s">
        <v>134</v>
      </c>
      <c r="B9" s="6">
        <v>200</v>
      </c>
      <c r="C9" s="82">
        <v>246.28</v>
      </c>
      <c r="D9" s="234">
        <v>650</v>
      </c>
      <c r="E9" s="11"/>
      <c r="F9" s="39">
        <f>135+AR9</f>
        <v>735</v>
      </c>
      <c r="G9" s="39">
        <v>195</v>
      </c>
      <c r="H9" s="39">
        <f>105+AQ9</f>
        <v>905</v>
      </c>
      <c r="I9" s="39">
        <v>750</v>
      </c>
      <c r="J9" s="39">
        <f>630+AO9</f>
        <v>1030</v>
      </c>
      <c r="K9" s="39">
        <v>935</v>
      </c>
      <c r="L9" s="39">
        <f>800+AM9</f>
        <v>1000</v>
      </c>
      <c r="M9" s="39">
        <f>860+AL9</f>
        <v>1060</v>
      </c>
      <c r="N9" s="39">
        <v>920</v>
      </c>
      <c r="O9" s="39">
        <v>800</v>
      </c>
      <c r="P9" s="39">
        <v>690</v>
      </c>
      <c r="Q9" s="39">
        <v>520</v>
      </c>
      <c r="R9" s="39">
        <f>370+AK9</f>
        <v>570</v>
      </c>
      <c r="S9" s="39">
        <v>385</v>
      </c>
      <c r="T9" s="39">
        <f>275+AJ9</f>
        <v>475</v>
      </c>
      <c r="U9" s="39">
        <v>370</v>
      </c>
      <c r="V9" s="39">
        <v>335</v>
      </c>
      <c r="W9" s="39">
        <v>335</v>
      </c>
      <c r="X9" s="39">
        <v>335</v>
      </c>
      <c r="Y9" s="39">
        <v>335</v>
      </c>
      <c r="Z9" s="39">
        <f>275+AG9</f>
        <v>675</v>
      </c>
      <c r="AA9" s="372">
        <f ca="1">Y9+IF(NOT(ISBLANK(OFFSET(AA9,0,6))),N(OFFSET(AA9,0,6)),N(OFFSET(AA9,0,7)))-Z9</f>
        <v>60</v>
      </c>
      <c r="AB9" s="109"/>
      <c r="AC9" s="78"/>
      <c r="AD9" s="11"/>
      <c r="AE9" s="345"/>
      <c r="AF9" s="11"/>
      <c r="AG9" s="296">
        <v>400</v>
      </c>
      <c r="AH9" s="19"/>
      <c r="AI9" s="117">
        <v>800</v>
      </c>
      <c r="AJ9" s="19">
        <v>200</v>
      </c>
      <c r="AK9" s="19">
        <v>200</v>
      </c>
      <c r="AL9" s="19">
        <v>200</v>
      </c>
      <c r="AM9" s="19">
        <v>200</v>
      </c>
      <c r="AN9" s="19"/>
      <c r="AO9" s="19">
        <v>400</v>
      </c>
      <c r="AP9" s="19"/>
      <c r="AQ9" s="19">
        <v>800</v>
      </c>
      <c r="AR9" s="19">
        <v>600</v>
      </c>
      <c r="AS9" s="19">
        <v>400</v>
      </c>
      <c r="AT9" s="19"/>
      <c r="AV9" s="364" t="s">
        <v>136</v>
      </c>
      <c r="AW9" s="135">
        <v>200</v>
      </c>
      <c r="AX9" s="39">
        <f>AI9</f>
        <v>800</v>
      </c>
      <c r="AY9" s="39">
        <v>600</v>
      </c>
      <c r="AZ9" s="39">
        <v>490</v>
      </c>
      <c r="BA9" s="39">
        <v>430</v>
      </c>
      <c r="BB9" s="39">
        <v>305</v>
      </c>
      <c r="BC9" s="39">
        <v>105</v>
      </c>
      <c r="BD9" s="26">
        <f ca="1">BB9+IF(NOT(ISBLANK(OFFSET(BD9,0,6))),N(OFFSET(BD9,0,6)),N(OFFSET(BD9,0,7)))-BC9</f>
        <v>200</v>
      </c>
    </row>
    <row r="10" spans="1:56" s="3" customFormat="1" ht="19.5" customHeight="1" x14ac:dyDescent="0.3">
      <c r="A10" s="21" t="s">
        <v>137</v>
      </c>
      <c r="B10" s="6">
        <v>200</v>
      </c>
      <c r="C10" s="82">
        <v>253.83</v>
      </c>
      <c r="D10" s="234">
        <v>250</v>
      </c>
      <c r="E10" s="11"/>
      <c r="F10" s="39">
        <f>260+AR10</f>
        <v>460</v>
      </c>
      <c r="G10" s="39">
        <v>120</v>
      </c>
      <c r="H10" s="39">
        <f>60+AQ10</f>
        <v>460</v>
      </c>
      <c r="I10" s="39">
        <v>400</v>
      </c>
      <c r="J10" s="39">
        <v>350</v>
      </c>
      <c r="K10" s="39">
        <v>305</v>
      </c>
      <c r="L10" s="39">
        <v>460</v>
      </c>
      <c r="M10" s="39">
        <v>400</v>
      </c>
      <c r="N10" s="39">
        <v>370</v>
      </c>
      <c r="O10" s="39">
        <v>335</v>
      </c>
      <c r="P10" s="39">
        <v>290</v>
      </c>
      <c r="Q10" s="39">
        <v>230</v>
      </c>
      <c r="R10" s="39">
        <f>170+AK10</f>
        <v>370</v>
      </c>
      <c r="S10" s="39">
        <v>320</v>
      </c>
      <c r="T10" s="39">
        <v>305</v>
      </c>
      <c r="U10" s="39">
        <v>260</v>
      </c>
      <c r="V10" s="39">
        <v>245</v>
      </c>
      <c r="W10" s="39">
        <v>245</v>
      </c>
      <c r="X10" s="39">
        <v>245</v>
      </c>
      <c r="Y10" s="39">
        <v>245</v>
      </c>
      <c r="Z10" s="39">
        <f>215+AG10</f>
        <v>415</v>
      </c>
      <c r="AA10" s="372">
        <f ca="1">Y10+IF(NOT(ISBLANK(OFFSET(AA10,0,6))),N(OFFSET(AA10,0,6)),N(OFFSET(AA10,0,7)))-Z10</f>
        <v>30</v>
      </c>
      <c r="AB10" s="109"/>
      <c r="AC10" s="78"/>
      <c r="AD10" s="11"/>
      <c r="AE10" s="345"/>
      <c r="AF10" s="11"/>
      <c r="AG10" s="296">
        <v>200</v>
      </c>
      <c r="AH10" s="19"/>
      <c r="AI10" s="117">
        <v>600</v>
      </c>
      <c r="AJ10" s="19"/>
      <c r="AK10" s="19">
        <v>200</v>
      </c>
      <c r="AL10" s="19"/>
      <c r="AM10" s="19"/>
      <c r="AN10" s="19">
        <v>200</v>
      </c>
      <c r="AO10" s="19"/>
      <c r="AP10" s="19"/>
      <c r="AQ10" s="19">
        <v>400</v>
      </c>
      <c r="AR10" s="19">
        <v>200</v>
      </c>
      <c r="AS10" s="19">
        <v>200</v>
      </c>
      <c r="AT10" s="19"/>
      <c r="AV10" s="21" t="s">
        <v>138</v>
      </c>
      <c r="AW10" s="6">
        <v>200</v>
      </c>
      <c r="AX10" s="39">
        <f>AI10</f>
        <v>600</v>
      </c>
      <c r="AY10" s="39">
        <v>490</v>
      </c>
      <c r="AZ10" s="39">
        <v>400</v>
      </c>
      <c r="BA10" s="39">
        <v>350</v>
      </c>
      <c r="BB10" s="39">
        <v>245</v>
      </c>
      <c r="BC10" s="39">
        <v>0</v>
      </c>
      <c r="BD10" s="26">
        <f ca="1">BB10+IF(NOT(ISBLANK(OFFSET(BD10,0,6))),N(OFFSET(BD10,0,6)),N(OFFSET(BD10,0,7)))-BC10</f>
        <v>245</v>
      </c>
    </row>
    <row r="11" spans="1:56" s="3" customFormat="1" ht="19.5" customHeight="1" x14ac:dyDescent="0.3">
      <c r="A11" s="22" t="s">
        <v>139</v>
      </c>
      <c r="B11" s="6">
        <v>100</v>
      </c>
      <c r="C11" s="82">
        <v>184.57</v>
      </c>
      <c r="D11" s="234">
        <v>50</v>
      </c>
      <c r="E11" s="11"/>
      <c r="F11" s="39">
        <v>50</v>
      </c>
      <c r="G11" s="39">
        <v>50</v>
      </c>
      <c r="H11" s="39">
        <v>50</v>
      </c>
      <c r="I11" s="39">
        <v>50</v>
      </c>
      <c r="J11" s="39">
        <v>0</v>
      </c>
      <c r="K11" s="39">
        <v>0</v>
      </c>
      <c r="L11" s="39">
        <v>100</v>
      </c>
      <c r="M11" s="39">
        <v>100</v>
      </c>
      <c r="N11" s="39">
        <v>100</v>
      </c>
      <c r="O11" s="39">
        <v>100</v>
      </c>
      <c r="P11" s="39">
        <v>100</v>
      </c>
      <c r="Q11" s="39">
        <v>100</v>
      </c>
      <c r="R11" s="39">
        <v>100</v>
      </c>
      <c r="S11" s="39">
        <v>100</v>
      </c>
      <c r="T11" s="39">
        <v>100</v>
      </c>
      <c r="U11" s="39">
        <v>100</v>
      </c>
      <c r="V11" s="39">
        <v>100</v>
      </c>
      <c r="W11" s="39">
        <v>100</v>
      </c>
      <c r="X11" s="39">
        <v>100</v>
      </c>
      <c r="Y11" s="39">
        <v>100</v>
      </c>
      <c r="Z11" s="39">
        <v>100</v>
      </c>
      <c r="AA11" s="372">
        <f ca="1">Y11+IF(NOT(ISBLANK(OFFSET(AA11,0,6))),N(OFFSET(AA11,0,6)),N(OFFSET(AA11,0,7)))-Z11</f>
        <v>0</v>
      </c>
      <c r="AB11" s="109"/>
      <c r="AC11" s="78"/>
      <c r="AD11" s="11"/>
      <c r="AE11" s="345"/>
      <c r="AF11" s="11"/>
      <c r="AG11" s="296">
        <v>0</v>
      </c>
      <c r="AH11" s="19"/>
      <c r="AI11" s="117">
        <v>100</v>
      </c>
      <c r="AJ11" s="19"/>
      <c r="AK11" s="19"/>
      <c r="AL11" s="19"/>
      <c r="AM11" s="19"/>
      <c r="AN11" s="19">
        <v>100</v>
      </c>
      <c r="AO11" s="19"/>
      <c r="AP11" s="19"/>
      <c r="AQ11" s="19"/>
      <c r="AR11" s="19"/>
      <c r="AS11" s="19"/>
      <c r="AT11" s="19"/>
      <c r="AV11" s="22" t="s">
        <v>140</v>
      </c>
      <c r="AW11" s="6">
        <v>100</v>
      </c>
      <c r="AX11" s="39">
        <f>AI11</f>
        <v>100</v>
      </c>
      <c r="AY11" s="39">
        <v>0</v>
      </c>
      <c r="AZ11" s="39">
        <v>0</v>
      </c>
      <c r="BA11" s="39">
        <v>0</v>
      </c>
      <c r="BB11" s="39">
        <v>0</v>
      </c>
      <c r="BC11" s="39">
        <v>0</v>
      </c>
      <c r="BD11" s="26">
        <f ca="1">BB11+IF(NOT(ISBLANK(OFFSET(BD11,0,6))),N(OFFSET(BD11,0,6)),N(OFFSET(BD11,0,7)))-BC11</f>
        <v>0</v>
      </c>
    </row>
    <row r="12" spans="1:56" s="3" customFormat="1" ht="16.5" customHeight="1" x14ac:dyDescent="0.3">
      <c r="A12" s="23"/>
      <c r="B12" s="1"/>
      <c r="C12" s="64"/>
      <c r="D12" s="235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C12" s="342"/>
      <c r="AD12" s="11"/>
      <c r="AE12" s="351"/>
      <c r="AF12" s="11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V12" s="23"/>
      <c r="AW12" s="1"/>
      <c r="AX12" s="2"/>
      <c r="AY12" s="2"/>
      <c r="AZ12" s="2"/>
      <c r="BA12" s="2"/>
      <c r="BB12" s="2"/>
      <c r="BC12" s="2"/>
    </row>
    <row r="13" spans="1:56" s="3" customFormat="1" x14ac:dyDescent="0.3">
      <c r="A13" s="24" t="s">
        <v>141</v>
      </c>
      <c r="B13" s="12"/>
      <c r="C13" s="65"/>
      <c r="D13" s="395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35" t="s">
        <v>129</v>
      </c>
      <c r="AC13" s="29" t="s">
        <v>126</v>
      </c>
      <c r="AD13" s="11"/>
      <c r="AE13" s="9" t="s">
        <v>127</v>
      </c>
      <c r="AF13" s="7"/>
      <c r="AG13" s="363">
        <v>46142</v>
      </c>
      <c r="AH13" s="363">
        <v>46114</v>
      </c>
      <c r="AI13" s="409">
        <v>46065</v>
      </c>
      <c r="AJ13" s="363">
        <v>46107</v>
      </c>
      <c r="AK13" s="363">
        <v>46092</v>
      </c>
      <c r="AL13" s="363">
        <v>46056</v>
      </c>
      <c r="AM13" s="363">
        <v>46048</v>
      </c>
      <c r="AN13" s="363">
        <v>46043</v>
      </c>
      <c r="AO13" s="363">
        <v>46035</v>
      </c>
      <c r="AP13" s="363">
        <v>46029</v>
      </c>
      <c r="AQ13" s="363">
        <v>46017</v>
      </c>
      <c r="AR13" s="363">
        <v>46007</v>
      </c>
      <c r="AS13" s="363">
        <v>46001</v>
      </c>
      <c r="AT13" s="363">
        <v>45994</v>
      </c>
      <c r="AV13" s="389" t="s">
        <v>141</v>
      </c>
      <c r="AW13" s="376" t="s">
        <v>123</v>
      </c>
      <c r="AX13" s="13">
        <v>46118</v>
      </c>
      <c r="AY13" s="13">
        <v>46125</v>
      </c>
      <c r="AZ13" s="13">
        <v>46132</v>
      </c>
      <c r="BA13" s="13">
        <v>46139</v>
      </c>
      <c r="BB13" s="13">
        <v>46146</v>
      </c>
      <c r="BC13" s="13">
        <v>46154</v>
      </c>
      <c r="BD13" s="35" t="s">
        <v>129</v>
      </c>
    </row>
    <row r="14" spans="1:56" s="3" customFormat="1" x14ac:dyDescent="0.3">
      <c r="A14" s="25" t="s">
        <v>224</v>
      </c>
      <c r="B14" s="6">
        <v>500</v>
      </c>
      <c r="C14" s="66">
        <v>99.26</v>
      </c>
      <c r="D14" s="234">
        <v>2</v>
      </c>
      <c r="E14" s="7"/>
      <c r="F14" s="39">
        <f>3+AR14</f>
        <v>5</v>
      </c>
      <c r="G14" s="39">
        <v>4</v>
      </c>
      <c r="H14" s="39">
        <f>4+AQ14</f>
        <v>6</v>
      </c>
      <c r="I14" s="39">
        <v>6</v>
      </c>
      <c r="J14" s="39">
        <v>6</v>
      </c>
      <c r="K14" s="39">
        <v>5</v>
      </c>
      <c r="L14" s="39">
        <f>4+AM14</f>
        <v>6</v>
      </c>
      <c r="M14" s="39">
        <f>5+AL14</f>
        <v>6</v>
      </c>
      <c r="N14" s="39">
        <v>6</v>
      </c>
      <c r="O14" s="39">
        <v>5</v>
      </c>
      <c r="P14" s="39">
        <v>4</v>
      </c>
      <c r="Q14" s="39">
        <v>3</v>
      </c>
      <c r="R14" s="39">
        <f>2+AK14</f>
        <v>4</v>
      </c>
      <c r="S14" s="39">
        <v>3</v>
      </c>
      <c r="T14" s="39">
        <f>3+AJ14</f>
        <v>4</v>
      </c>
      <c r="U14" s="39">
        <v>3</v>
      </c>
      <c r="V14" s="39">
        <v>3</v>
      </c>
      <c r="W14" s="39">
        <v>3</v>
      </c>
      <c r="X14" s="39">
        <v>3</v>
      </c>
      <c r="Y14" s="39">
        <v>3</v>
      </c>
      <c r="Z14" s="39">
        <f>3+AG14</f>
        <v>6</v>
      </c>
      <c r="AA14" s="372">
        <f ca="1">Y14+IF(NOT(ISBLANK(OFFSET(AA14,0,6))),N(OFFSET(AA14,0,6)),N(OFFSET(AA14,0,7)))-Z14</f>
        <v>0</v>
      </c>
      <c r="AC14" s="78"/>
      <c r="AD14" s="7"/>
      <c r="AE14" s="345"/>
      <c r="AF14" s="7"/>
      <c r="AG14" s="296">
        <v>3</v>
      </c>
      <c r="AH14" s="19"/>
      <c r="AI14" s="117">
        <v>7</v>
      </c>
      <c r="AJ14" s="19">
        <v>1</v>
      </c>
      <c r="AK14" s="19">
        <v>2</v>
      </c>
      <c r="AL14" s="19">
        <v>1</v>
      </c>
      <c r="AM14" s="19">
        <v>2</v>
      </c>
      <c r="AN14" s="19"/>
      <c r="AO14" s="19"/>
      <c r="AP14" s="19"/>
      <c r="AQ14" s="19">
        <v>2</v>
      </c>
      <c r="AR14" s="19">
        <v>2</v>
      </c>
      <c r="AS14" s="19"/>
      <c r="AT14" s="19"/>
      <c r="AV14" s="364" t="s">
        <v>143</v>
      </c>
      <c r="AW14" s="135">
        <v>200</v>
      </c>
      <c r="AX14" s="39">
        <f>AI14</f>
        <v>7</v>
      </c>
      <c r="AY14" s="39">
        <v>6</v>
      </c>
      <c r="AZ14" s="39">
        <v>5</v>
      </c>
      <c r="BA14" s="39">
        <v>4</v>
      </c>
      <c r="BB14" s="39">
        <v>4</v>
      </c>
      <c r="BC14" s="39">
        <v>0</v>
      </c>
      <c r="BD14" s="26">
        <f ca="1">BB14+IF(NOT(ISBLANK(OFFSET(BD14,0,6))),N(OFFSET(BD14,0,6)),N(OFFSET(BD14,0,7)))-BC14</f>
        <v>4</v>
      </c>
    </row>
    <row r="15" spans="1:56" s="3" customFormat="1" x14ac:dyDescent="0.3">
      <c r="A15" s="25" t="s">
        <v>225</v>
      </c>
      <c r="B15" s="6">
        <v>2000</v>
      </c>
      <c r="C15" s="66">
        <v>55.36</v>
      </c>
      <c r="D15" s="234">
        <v>2</v>
      </c>
      <c r="E15" s="7"/>
      <c r="F15" s="39">
        <f>2+AS15</f>
        <v>3</v>
      </c>
      <c r="G15" s="39">
        <v>2</v>
      </c>
      <c r="H15" s="39">
        <f>2+AQ15</f>
        <v>5</v>
      </c>
      <c r="I15" s="39">
        <v>4</v>
      </c>
      <c r="J15" s="39">
        <v>3</v>
      </c>
      <c r="K15" s="39">
        <v>3</v>
      </c>
      <c r="L15" s="39">
        <v>3</v>
      </c>
      <c r="M15" s="39">
        <v>3</v>
      </c>
      <c r="N15" s="39">
        <v>3</v>
      </c>
      <c r="O15" s="39">
        <v>3</v>
      </c>
      <c r="P15" s="39">
        <v>3</v>
      </c>
      <c r="Q15" s="39">
        <v>3</v>
      </c>
      <c r="R15" s="39">
        <v>3</v>
      </c>
      <c r="S15" s="39">
        <v>3</v>
      </c>
      <c r="T15" s="39">
        <v>3</v>
      </c>
      <c r="U15" s="39">
        <v>2</v>
      </c>
      <c r="V15" s="39">
        <v>3</v>
      </c>
      <c r="W15" s="39">
        <v>3</v>
      </c>
      <c r="X15" s="39">
        <v>3</v>
      </c>
      <c r="Y15" s="39">
        <v>3</v>
      </c>
      <c r="Z15" s="39">
        <v>3</v>
      </c>
      <c r="AA15" s="372">
        <f ca="1">Y15+IF(NOT(ISBLANK(OFFSET(AA15,0,6))),N(OFFSET(AA15,0,6)),N(OFFSET(AA15,0,7)))-Z15</f>
        <v>0</v>
      </c>
      <c r="AC15" s="78"/>
      <c r="AD15" s="7"/>
      <c r="AE15" s="345"/>
      <c r="AF15" s="7"/>
      <c r="AG15" s="296">
        <v>0</v>
      </c>
      <c r="AH15" s="19"/>
      <c r="AI15" s="117">
        <v>3</v>
      </c>
      <c r="AJ15" s="19"/>
      <c r="AK15" s="19"/>
      <c r="AL15" s="19"/>
      <c r="AM15" s="19"/>
      <c r="AN15" s="19"/>
      <c r="AO15" s="19"/>
      <c r="AP15" s="19"/>
      <c r="AQ15" s="19">
        <v>3</v>
      </c>
      <c r="AR15" s="19"/>
      <c r="AS15" s="19">
        <v>1</v>
      </c>
      <c r="AT15" s="19"/>
      <c r="AV15" s="21" t="s">
        <v>146</v>
      </c>
      <c r="AW15" s="6">
        <v>200</v>
      </c>
      <c r="AX15" s="39">
        <f>AI15</f>
        <v>3</v>
      </c>
      <c r="AY15" s="39">
        <v>2</v>
      </c>
      <c r="AZ15" s="39">
        <v>2</v>
      </c>
      <c r="BA15" s="39">
        <v>2</v>
      </c>
      <c r="BB15" s="39">
        <v>2</v>
      </c>
      <c r="BC15" s="39">
        <v>0</v>
      </c>
      <c r="BD15" s="26">
        <f ca="1">BB15+IF(NOT(ISBLANK(OFFSET(BD15,0,6))),N(OFFSET(BD15,0,6)),N(OFFSET(BD15,0,7)))-BC15</f>
        <v>2</v>
      </c>
    </row>
    <row r="16" spans="1:56" s="3" customFormat="1" x14ac:dyDescent="0.25">
      <c r="A16" s="25" t="s">
        <v>147</v>
      </c>
      <c r="B16" s="6">
        <v>200</v>
      </c>
      <c r="C16" s="66">
        <v>10.28</v>
      </c>
      <c r="D16" s="234">
        <v>3</v>
      </c>
      <c r="E16" s="1"/>
      <c r="F16" s="39">
        <f>3+AR16</f>
        <v>4</v>
      </c>
      <c r="G16" s="39">
        <v>1</v>
      </c>
      <c r="H16" s="39">
        <f>0+AQ16</f>
        <v>3</v>
      </c>
      <c r="I16" s="39">
        <v>3</v>
      </c>
      <c r="J16" s="39">
        <v>3</v>
      </c>
      <c r="K16" s="39">
        <v>3</v>
      </c>
      <c r="L16" s="39">
        <v>2</v>
      </c>
      <c r="M16" s="39">
        <f>2+AL16</f>
        <v>3</v>
      </c>
      <c r="N16" s="39">
        <v>2</v>
      </c>
      <c r="O16" s="39">
        <v>2</v>
      </c>
      <c r="P16" s="39">
        <v>2</v>
      </c>
      <c r="Q16" s="39">
        <v>1</v>
      </c>
      <c r="R16" s="39">
        <f>1+AK16</f>
        <v>3</v>
      </c>
      <c r="S16" s="39">
        <v>2</v>
      </c>
      <c r="T16" s="39">
        <f>2+AJ16</f>
        <v>3</v>
      </c>
      <c r="U16" s="39">
        <v>3</v>
      </c>
      <c r="V16" s="39">
        <v>1</v>
      </c>
      <c r="W16" s="39">
        <v>1</v>
      </c>
      <c r="X16" s="39">
        <v>1</v>
      </c>
      <c r="Y16" s="39">
        <v>0</v>
      </c>
      <c r="Z16" s="39">
        <f>0+AG16</f>
        <v>3</v>
      </c>
      <c r="AA16" s="372">
        <f ca="1">Y16+IF(NOT(ISBLANK(OFFSET(AA16,0,6))),N(OFFSET(AA16,0,6)),N(OFFSET(AA16,0,7)))-Z16</f>
        <v>0</v>
      </c>
      <c r="AC16" s="78"/>
      <c r="AD16" s="1"/>
      <c r="AE16" s="345"/>
      <c r="AF16" s="1"/>
      <c r="AG16" s="19">
        <v>3</v>
      </c>
      <c r="AH16" s="19"/>
      <c r="AI16" s="19"/>
      <c r="AJ16" s="19">
        <v>1</v>
      </c>
      <c r="AK16" s="19">
        <v>2</v>
      </c>
      <c r="AL16" s="19">
        <v>1</v>
      </c>
      <c r="AM16" s="19"/>
      <c r="AN16" s="19"/>
      <c r="AO16" s="19"/>
      <c r="AP16" s="19"/>
      <c r="AQ16" s="19">
        <v>3</v>
      </c>
      <c r="AR16" s="19">
        <v>1</v>
      </c>
      <c r="AS16" s="19">
        <v>1</v>
      </c>
      <c r="AT16" s="19"/>
    </row>
    <row r="17" spans="1:56" s="3" customFormat="1" x14ac:dyDescent="0.25">
      <c r="A17" s="25" t="s">
        <v>148</v>
      </c>
      <c r="B17" s="6">
        <v>3000</v>
      </c>
      <c r="C17" s="66">
        <v>71.8</v>
      </c>
      <c r="D17" s="234">
        <v>2</v>
      </c>
      <c r="E17" s="1"/>
      <c r="F17" s="39">
        <f>2+AR17</f>
        <v>3</v>
      </c>
      <c r="G17" s="39">
        <v>2</v>
      </c>
      <c r="H17" s="39">
        <f>2+AQ17</f>
        <v>4</v>
      </c>
      <c r="I17" s="39">
        <v>4</v>
      </c>
      <c r="J17" s="39">
        <v>4</v>
      </c>
      <c r="K17" s="39">
        <v>3</v>
      </c>
      <c r="L17" s="39">
        <f>3+AM17</f>
        <v>4</v>
      </c>
      <c r="M17" s="39">
        <v>4</v>
      </c>
      <c r="N17" s="39">
        <v>4</v>
      </c>
      <c r="O17" s="39">
        <v>3</v>
      </c>
      <c r="P17" s="39">
        <v>3</v>
      </c>
      <c r="Q17" s="39">
        <v>3</v>
      </c>
      <c r="R17" s="39">
        <v>2</v>
      </c>
      <c r="S17" s="39">
        <v>2</v>
      </c>
      <c r="T17" s="39">
        <v>2</v>
      </c>
      <c r="U17" s="39">
        <v>2</v>
      </c>
      <c r="V17" s="39">
        <v>1</v>
      </c>
      <c r="W17" s="39">
        <v>1</v>
      </c>
      <c r="X17" s="39">
        <v>1</v>
      </c>
      <c r="Y17" s="39">
        <v>1</v>
      </c>
      <c r="Z17" s="39">
        <f>0+AG17</f>
        <v>1</v>
      </c>
      <c r="AA17" s="372">
        <f ca="1">Y17+IF(NOT(ISBLANK(OFFSET(AA17,0,6))),N(OFFSET(AA17,0,6)),N(OFFSET(AA17,0,7)))-Z17</f>
        <v>1</v>
      </c>
      <c r="AC17" s="78"/>
      <c r="AD17" s="1"/>
      <c r="AE17" s="345"/>
      <c r="AF17" s="1"/>
      <c r="AG17" s="19">
        <v>1</v>
      </c>
      <c r="AH17" s="19"/>
      <c r="AI17" s="19"/>
      <c r="AJ17" s="19"/>
      <c r="AK17" s="19"/>
      <c r="AL17" s="19"/>
      <c r="AM17" s="19">
        <v>1</v>
      </c>
      <c r="AN17" s="19"/>
      <c r="AO17" s="19"/>
      <c r="AP17" s="19"/>
      <c r="AQ17" s="19">
        <v>2</v>
      </c>
      <c r="AR17" s="19">
        <v>1</v>
      </c>
      <c r="AS17" s="19"/>
      <c r="AT17" s="19">
        <v>1</v>
      </c>
    </row>
    <row r="18" spans="1:56" s="3" customFormat="1" ht="14.25" customHeight="1" x14ac:dyDescent="0.25">
      <c r="A18" s="23"/>
      <c r="D18" s="235"/>
      <c r="AC18" s="390"/>
      <c r="AE18" s="352"/>
      <c r="AG18" s="388"/>
      <c r="AH18" s="388"/>
      <c r="AI18" s="388"/>
      <c r="AJ18" s="388"/>
      <c r="AK18" s="388"/>
      <c r="AL18" s="388"/>
      <c r="AM18" s="388"/>
      <c r="AN18" s="388"/>
      <c r="AO18" s="388"/>
      <c r="AP18" s="388"/>
      <c r="AQ18" s="388"/>
      <c r="AR18" s="388"/>
      <c r="AS18" s="388"/>
      <c r="AT18" s="388"/>
    </row>
    <row r="19" spans="1:56" s="3" customFormat="1" x14ac:dyDescent="0.3">
      <c r="A19" s="24" t="s">
        <v>150</v>
      </c>
      <c r="B19" s="12"/>
      <c r="C19" s="61"/>
      <c r="D19" s="395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35" t="s">
        <v>129</v>
      </c>
      <c r="AC19" s="29" t="s">
        <v>126</v>
      </c>
      <c r="AD19" s="11"/>
      <c r="AE19" s="9" t="s">
        <v>127</v>
      </c>
      <c r="AF19" s="1"/>
      <c r="AG19" s="363">
        <v>46142</v>
      </c>
      <c r="AH19" s="363">
        <v>46114</v>
      </c>
      <c r="AI19" s="409">
        <v>46065</v>
      </c>
      <c r="AJ19" s="363">
        <v>46107</v>
      </c>
      <c r="AK19" s="363">
        <v>46092</v>
      </c>
      <c r="AL19" s="363">
        <v>46056</v>
      </c>
      <c r="AM19" s="363">
        <v>46048</v>
      </c>
      <c r="AN19" s="363">
        <v>46043</v>
      </c>
      <c r="AO19" s="363">
        <v>46035</v>
      </c>
      <c r="AP19" s="363">
        <v>46029</v>
      </c>
      <c r="AQ19" s="363">
        <v>46017</v>
      </c>
      <c r="AR19" s="363">
        <v>46007</v>
      </c>
      <c r="AS19" s="363">
        <v>46001</v>
      </c>
      <c r="AT19" s="363">
        <v>45994</v>
      </c>
      <c r="AV19" s="389" t="s">
        <v>150</v>
      </c>
      <c r="AW19" s="376" t="s">
        <v>123</v>
      </c>
      <c r="AX19" s="13">
        <v>46118</v>
      </c>
      <c r="AY19" s="13">
        <v>46125</v>
      </c>
      <c r="AZ19" s="13">
        <v>46132</v>
      </c>
      <c r="BA19" s="13">
        <v>46139</v>
      </c>
      <c r="BB19" s="13">
        <v>46146</v>
      </c>
      <c r="BC19" s="13">
        <v>46154</v>
      </c>
      <c r="BD19" s="35" t="s">
        <v>129</v>
      </c>
    </row>
    <row r="20" spans="1:56" s="3" customFormat="1" x14ac:dyDescent="0.3">
      <c r="A20" s="25" t="s">
        <v>153</v>
      </c>
      <c r="B20" s="6">
        <v>150</v>
      </c>
      <c r="C20" s="82">
        <v>334.31</v>
      </c>
      <c r="D20" s="234">
        <v>120</v>
      </c>
      <c r="E20" s="1"/>
      <c r="F20" s="27">
        <v>211</v>
      </c>
      <c r="G20" s="27">
        <v>155</v>
      </c>
      <c r="H20" s="27">
        <v>120</v>
      </c>
      <c r="I20" s="27">
        <v>94</v>
      </c>
      <c r="J20" s="27">
        <v>223</v>
      </c>
      <c r="K20" s="27">
        <v>202</v>
      </c>
      <c r="L20" s="27">
        <v>178</v>
      </c>
      <c r="M20" s="27">
        <v>291</v>
      </c>
      <c r="N20" s="27">
        <v>284</v>
      </c>
      <c r="O20" s="27">
        <v>269</v>
      </c>
      <c r="P20" s="27">
        <v>252</v>
      </c>
      <c r="Q20" s="27">
        <v>227</v>
      </c>
      <c r="R20" s="27">
        <v>214</v>
      </c>
      <c r="S20" s="27">
        <v>203</v>
      </c>
      <c r="T20" s="27">
        <v>191</v>
      </c>
      <c r="U20" s="27"/>
      <c r="V20" s="27"/>
      <c r="W20" s="27"/>
      <c r="X20" s="27">
        <v>169</v>
      </c>
      <c r="Y20" s="27">
        <v>169</v>
      </c>
      <c r="Z20" s="27">
        <v>132</v>
      </c>
      <c r="AA20" s="372">
        <f ca="1">Y20+IF(NOT(ISBLANK(OFFSET(AA20,0,6))),N(OFFSET(AA20,0,6)),N(OFFSET(AA20,0,7)))-Z20</f>
        <v>37</v>
      </c>
      <c r="AB20" s="362"/>
      <c r="AC20" s="78"/>
      <c r="AD20" s="1"/>
      <c r="AE20" s="345"/>
      <c r="AF20" s="1"/>
      <c r="AG20" s="19">
        <v>0</v>
      </c>
      <c r="AH20" s="19"/>
      <c r="AI20" s="117">
        <v>150</v>
      </c>
      <c r="AJ20" s="19"/>
      <c r="AK20" s="19"/>
      <c r="AL20" s="19">
        <v>150</v>
      </c>
      <c r="AM20" s="19"/>
      <c r="AN20" s="19"/>
      <c r="AO20" s="19"/>
      <c r="AP20" s="19">
        <v>150</v>
      </c>
      <c r="AQ20" s="19"/>
      <c r="AR20" s="19"/>
      <c r="AS20" s="19"/>
      <c r="AT20" s="19"/>
      <c r="AV20" s="364" t="s">
        <v>154</v>
      </c>
      <c r="AW20" s="135">
        <v>150</v>
      </c>
      <c r="AX20" s="39">
        <f>AI20</f>
        <v>150</v>
      </c>
      <c r="AY20" s="39"/>
      <c r="AZ20" s="39"/>
      <c r="BA20" s="39">
        <v>29</v>
      </c>
      <c r="BB20" s="39">
        <v>19</v>
      </c>
      <c r="BC20" s="39">
        <v>3</v>
      </c>
      <c r="BD20" s="26">
        <f ca="1">BB20+IF(NOT(ISBLANK(OFFSET(BD20,0,6))),N(OFFSET(BD20,0,6)),N(OFFSET(BD20,0,7)))-BC20</f>
        <v>16</v>
      </c>
    </row>
    <row r="21" spans="1:56" s="3" customFormat="1" x14ac:dyDescent="0.3">
      <c r="A21" s="25" t="s">
        <v>155</v>
      </c>
      <c r="B21" s="6">
        <v>100</v>
      </c>
      <c r="C21" s="81">
        <v>292.25</v>
      </c>
      <c r="D21" s="236">
        <v>120</v>
      </c>
      <c r="E21" s="1"/>
      <c r="F21" s="27">
        <v>59</v>
      </c>
      <c r="G21" s="27">
        <v>46</v>
      </c>
      <c r="H21" s="27">
        <v>37</v>
      </c>
      <c r="I21" s="27">
        <v>19</v>
      </c>
      <c r="J21" s="27">
        <v>111</v>
      </c>
      <c r="K21" s="27">
        <v>105</v>
      </c>
      <c r="L21" s="27">
        <f>99+AM21</f>
        <v>199</v>
      </c>
      <c r="M21" s="27">
        <v>201</v>
      </c>
      <c r="N21" s="27">
        <v>199</v>
      </c>
      <c r="O21" s="27">
        <v>199</v>
      </c>
      <c r="P21" s="27">
        <v>190</v>
      </c>
      <c r="Q21" s="27">
        <v>166</v>
      </c>
      <c r="R21" s="27">
        <v>146</v>
      </c>
      <c r="S21" s="27">
        <v>135</v>
      </c>
      <c r="T21" s="27">
        <v>131</v>
      </c>
      <c r="U21" s="27"/>
      <c r="V21" s="27"/>
      <c r="W21" s="27"/>
      <c r="X21" s="27">
        <v>217</v>
      </c>
      <c r="Y21" s="27">
        <v>217</v>
      </c>
      <c r="Z21" s="27">
        <v>196</v>
      </c>
      <c r="AA21" s="372">
        <f ca="1">Y21+IF(NOT(ISBLANK(OFFSET(AA21,0,6))),N(OFFSET(AA21,0,6)),N(OFFSET(AA21,0,7)))-Z21</f>
        <v>21</v>
      </c>
      <c r="AB21" s="362"/>
      <c r="AC21" s="78"/>
      <c r="AD21" s="1"/>
      <c r="AE21" s="345"/>
      <c r="AF21" s="1"/>
      <c r="AG21" s="19">
        <v>0</v>
      </c>
      <c r="AH21" s="19">
        <v>100</v>
      </c>
      <c r="AI21" s="117">
        <v>200</v>
      </c>
      <c r="AJ21" s="19"/>
      <c r="AK21" s="19"/>
      <c r="AL21" s="19"/>
      <c r="AM21" s="19">
        <v>100</v>
      </c>
      <c r="AN21" s="19"/>
      <c r="AO21" s="19"/>
      <c r="AP21" s="19">
        <v>100</v>
      </c>
      <c r="AQ21" s="19"/>
      <c r="AR21" s="19"/>
      <c r="AS21" s="19"/>
      <c r="AT21" s="19"/>
      <c r="AV21" s="21" t="s">
        <v>156</v>
      </c>
      <c r="AW21" s="6">
        <v>100</v>
      </c>
      <c r="AX21" s="39">
        <f>AI21</f>
        <v>200</v>
      </c>
      <c r="AY21" s="39"/>
      <c r="AZ21" s="39"/>
      <c r="BA21" s="39">
        <v>61</v>
      </c>
      <c r="BB21" s="39">
        <v>51</v>
      </c>
      <c r="BC21" s="39">
        <v>3</v>
      </c>
      <c r="BD21" s="26">
        <f ca="1">BB21+IF(NOT(ISBLANK(OFFSET(BD21,0,6))),N(OFFSET(BD21,0,6)),N(OFFSET(BD21,0,7)))-BC21</f>
        <v>48</v>
      </c>
    </row>
    <row r="22" spans="1:56" s="3" customFormat="1" x14ac:dyDescent="0.3">
      <c r="A22" s="25" t="s">
        <v>157</v>
      </c>
      <c r="B22" s="6">
        <v>75</v>
      </c>
      <c r="C22" s="66">
        <v>425.38</v>
      </c>
      <c r="D22" s="234">
        <v>25</v>
      </c>
      <c r="E22" s="7"/>
      <c r="F22" s="27">
        <v>26</v>
      </c>
      <c r="G22" s="27">
        <v>19</v>
      </c>
      <c r="H22" s="27">
        <v>19</v>
      </c>
      <c r="I22" s="27">
        <v>16</v>
      </c>
      <c r="J22" s="27">
        <v>24</v>
      </c>
      <c r="K22" s="27">
        <v>24</v>
      </c>
      <c r="L22" s="27">
        <v>23</v>
      </c>
      <c r="M22" s="27">
        <v>22</v>
      </c>
      <c r="N22" s="27">
        <v>22</v>
      </c>
      <c r="O22" s="27">
        <v>22</v>
      </c>
      <c r="P22" s="27">
        <v>22</v>
      </c>
      <c r="Q22" s="27">
        <v>22</v>
      </c>
      <c r="R22" s="27">
        <v>22</v>
      </c>
      <c r="S22" s="27">
        <v>23</v>
      </c>
      <c r="T22" s="27">
        <v>23</v>
      </c>
      <c r="U22" s="27">
        <v>23</v>
      </c>
      <c r="V22" s="27">
        <v>22</v>
      </c>
      <c r="W22" s="27">
        <v>22</v>
      </c>
      <c r="X22" s="27">
        <v>20</v>
      </c>
      <c r="Y22" s="27">
        <v>20</v>
      </c>
      <c r="Z22" s="27">
        <v>20</v>
      </c>
      <c r="AA22" s="372">
        <f ca="1">Y22+IF(NOT(ISBLANK(OFFSET(AA22,0,6))),N(OFFSET(AA22,0,6)),N(OFFSET(AA22,0,7)))-Z22</f>
        <v>0</v>
      </c>
      <c r="AB22" s="362"/>
      <c r="AC22" s="78"/>
      <c r="AD22" s="7"/>
      <c r="AE22" s="345"/>
      <c r="AF22" s="7"/>
      <c r="AG22" s="19">
        <v>0</v>
      </c>
      <c r="AH22" s="19"/>
      <c r="AI22" s="117">
        <v>200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V22" s="22" t="s">
        <v>158</v>
      </c>
      <c r="AW22" s="6">
        <v>200</v>
      </c>
      <c r="AX22" s="39">
        <f>AI22</f>
        <v>200</v>
      </c>
      <c r="AY22" s="39"/>
      <c r="AZ22" s="39"/>
      <c r="BA22" s="39">
        <v>28</v>
      </c>
      <c r="BB22" s="39">
        <v>22</v>
      </c>
      <c r="BC22" s="39">
        <v>4</v>
      </c>
      <c r="BD22" s="26">
        <f ca="1">BB22+IF(NOT(ISBLANK(OFFSET(BD22,0,6))),N(OFFSET(BD22,0,6)),N(OFFSET(BD22,0,7)))-BC22</f>
        <v>18</v>
      </c>
    </row>
    <row r="23" spans="1:56" x14ac:dyDescent="0.3">
      <c r="A23" s="25" t="s">
        <v>159</v>
      </c>
      <c r="B23" s="6">
        <v>150</v>
      </c>
      <c r="C23" s="66">
        <v>427.5</v>
      </c>
      <c r="D23" s="234"/>
      <c r="F23" s="27"/>
      <c r="G23" s="27"/>
      <c r="H23" s="27"/>
      <c r="I23" s="27"/>
      <c r="J23" s="27">
        <v>0</v>
      </c>
      <c r="K23" s="27">
        <v>0</v>
      </c>
      <c r="L23" s="27">
        <v>0</v>
      </c>
      <c r="M23" s="27">
        <v>0</v>
      </c>
      <c r="N23" s="27">
        <v>0</v>
      </c>
      <c r="O23" s="27">
        <v>0</v>
      </c>
      <c r="P23" s="27">
        <v>0</v>
      </c>
      <c r="Q23" s="290">
        <v>30</v>
      </c>
      <c r="R23" s="27">
        <v>30</v>
      </c>
      <c r="S23" s="27">
        <v>30</v>
      </c>
      <c r="T23" s="27">
        <v>30</v>
      </c>
      <c r="U23" s="27"/>
      <c r="V23" s="27"/>
      <c r="W23" s="27"/>
      <c r="X23" s="27">
        <v>13</v>
      </c>
      <c r="Y23" s="27">
        <v>12</v>
      </c>
      <c r="Z23" s="27">
        <v>9</v>
      </c>
      <c r="AA23" s="372">
        <f ca="1">Y23+IF(NOT(ISBLANK(OFFSET(AA23,0,6))),N(OFFSET(AA23,0,6)),N(OFFSET(AA23,0,7)))-Z23</f>
        <v>3</v>
      </c>
      <c r="AB23" s="362"/>
      <c r="AC23" s="78"/>
      <c r="AE23" s="345"/>
      <c r="AG23" s="19">
        <v>0</v>
      </c>
      <c r="AH23" s="19"/>
      <c r="AI23" s="117">
        <v>150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V23" s="22" t="s">
        <v>160</v>
      </c>
      <c r="AW23" s="6">
        <v>150</v>
      </c>
      <c r="AX23" s="39">
        <f>AI23</f>
        <v>150</v>
      </c>
      <c r="AY23" s="39"/>
      <c r="AZ23" s="39"/>
      <c r="BA23" s="39">
        <v>122</v>
      </c>
      <c r="BB23" s="39">
        <v>111</v>
      </c>
      <c r="BC23" s="39">
        <v>-1</v>
      </c>
      <c r="BD23" s="26">
        <f ca="1">BB23+IF(NOT(ISBLANK(OFFSET(BD23,0,6))),N(OFFSET(BD23,0,6)),N(OFFSET(BD23,0,7)))-BC23</f>
        <v>112</v>
      </c>
    </row>
    <row r="24" spans="1:56" x14ac:dyDescent="0.3">
      <c r="AB24" s="362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</row>
    <row r="25" spans="1:56" x14ac:dyDescent="0.3">
      <c r="A25" s="378" t="s">
        <v>161</v>
      </c>
      <c r="B25" s="379" t="s">
        <v>123</v>
      </c>
      <c r="C25" s="379" t="s">
        <v>124</v>
      </c>
      <c r="D25" s="379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35" t="s">
        <v>129</v>
      </c>
      <c r="AB25" s="362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</row>
    <row r="26" spans="1:56" x14ac:dyDescent="0.3">
      <c r="A26" s="384" t="s">
        <v>162</v>
      </c>
      <c r="B26" s="385">
        <v>100</v>
      </c>
      <c r="C26" s="199">
        <v>790</v>
      </c>
      <c r="D26" s="396"/>
      <c r="F26" s="39">
        <v>216</v>
      </c>
      <c r="G26" s="39">
        <v>199</v>
      </c>
      <c r="H26" s="39">
        <v>199</v>
      </c>
      <c r="I26" s="39">
        <v>199</v>
      </c>
      <c r="J26" s="39">
        <v>196</v>
      </c>
      <c r="K26" s="39">
        <v>196</v>
      </c>
      <c r="L26" s="39">
        <v>196</v>
      </c>
      <c r="M26" s="39">
        <v>196</v>
      </c>
      <c r="N26" s="39">
        <v>195</v>
      </c>
      <c r="O26" s="39">
        <v>195</v>
      </c>
      <c r="P26" s="39">
        <v>195</v>
      </c>
      <c r="Q26" s="39">
        <v>195</v>
      </c>
      <c r="R26" s="39">
        <v>195</v>
      </c>
      <c r="S26" s="39">
        <v>189</v>
      </c>
      <c r="T26" s="39">
        <v>188</v>
      </c>
      <c r="U26" s="39">
        <v>188</v>
      </c>
      <c r="V26" s="39">
        <v>188</v>
      </c>
      <c r="W26" s="39">
        <v>188</v>
      </c>
      <c r="X26" s="39">
        <v>188</v>
      </c>
      <c r="Y26" s="39">
        <v>188</v>
      </c>
      <c r="Z26" s="39">
        <v>188</v>
      </c>
      <c r="AA26" s="372">
        <f t="shared" ref="AA26:AA34" ca="1" si="0">Y26+IF(NOT(ISBLANK(OFFSET(AA26,0,6))),N(OFFSET(AA26,0,6)),N(OFFSET(AA26,0,7)))-Z26</f>
        <v>0</v>
      </c>
      <c r="AB26" s="362"/>
      <c r="AC26" s="347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</row>
    <row r="27" spans="1:56" hidden="1" x14ac:dyDescent="0.3">
      <c r="A27" s="386" t="s">
        <v>163</v>
      </c>
      <c r="B27" s="159">
        <v>100</v>
      </c>
      <c r="C27" s="200">
        <v>295</v>
      </c>
      <c r="D27" s="396"/>
      <c r="F27" s="39">
        <v>3</v>
      </c>
      <c r="G27" s="39">
        <v>3</v>
      </c>
      <c r="H27" s="39">
        <v>3</v>
      </c>
      <c r="I27" s="39">
        <v>3</v>
      </c>
      <c r="J27" s="39">
        <v>0</v>
      </c>
      <c r="K27" s="39">
        <v>0</v>
      </c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72">
        <f t="shared" ca="1" si="0"/>
        <v>0</v>
      </c>
      <c r="AB27" s="362"/>
      <c r="AC27" s="347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</row>
    <row r="28" spans="1:56" hidden="1" x14ac:dyDescent="0.3">
      <c r="A28" s="386" t="s">
        <v>164</v>
      </c>
      <c r="B28" s="159">
        <v>100</v>
      </c>
      <c r="C28" s="200">
        <v>283</v>
      </c>
      <c r="D28" s="396"/>
      <c r="F28" s="39">
        <v>2</v>
      </c>
      <c r="G28" s="39">
        <v>2</v>
      </c>
      <c r="H28" s="39">
        <v>2</v>
      </c>
      <c r="I28" s="39">
        <v>2</v>
      </c>
      <c r="J28" s="39">
        <v>0</v>
      </c>
      <c r="K28" s="39">
        <v>0</v>
      </c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72">
        <f t="shared" ca="1" si="0"/>
        <v>0</v>
      </c>
      <c r="AB28" s="362"/>
      <c r="AC28" s="347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</row>
    <row r="29" spans="1:56" hidden="1" x14ac:dyDescent="0.3">
      <c r="A29" s="404" t="s">
        <v>226</v>
      </c>
      <c r="B29" s="405">
        <v>100</v>
      </c>
      <c r="C29" s="252">
        <v>841.1</v>
      </c>
      <c r="D29" s="396"/>
      <c r="F29" s="39">
        <v>1</v>
      </c>
      <c r="G29" s="39">
        <v>1</v>
      </c>
      <c r="H29" s="39">
        <v>1</v>
      </c>
      <c r="I29" s="39">
        <v>1</v>
      </c>
      <c r="J29" s="39">
        <v>0</v>
      </c>
      <c r="K29" s="39">
        <v>0</v>
      </c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72">
        <f t="shared" ca="1" si="0"/>
        <v>0</v>
      </c>
      <c r="AB29" s="362"/>
      <c r="AC29" s="347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</row>
    <row r="30" spans="1:56" hidden="1" x14ac:dyDescent="0.3">
      <c r="A30" s="25" t="s">
        <v>169</v>
      </c>
      <c r="B30" s="6">
        <v>150</v>
      </c>
      <c r="C30" s="77">
        <v>805.35</v>
      </c>
      <c r="D30" s="396"/>
      <c r="F30" s="6">
        <v>59</v>
      </c>
      <c r="G30" s="39">
        <v>0</v>
      </c>
      <c r="H30" s="39">
        <v>0</v>
      </c>
      <c r="I30" s="39">
        <v>-1</v>
      </c>
      <c r="J30" s="39">
        <v>1</v>
      </c>
      <c r="K30" s="39">
        <v>0</v>
      </c>
      <c r="L30" s="39">
        <v>0</v>
      </c>
      <c r="M30" s="39">
        <v>0</v>
      </c>
      <c r="N30" s="39">
        <v>0</v>
      </c>
      <c r="O30" s="39">
        <v>0</v>
      </c>
      <c r="P30" s="39">
        <v>0</v>
      </c>
      <c r="Q30" s="39">
        <v>0</v>
      </c>
      <c r="R30" s="39">
        <v>0</v>
      </c>
      <c r="S30" s="39"/>
      <c r="T30" s="39"/>
      <c r="U30" s="39"/>
      <c r="V30" s="39"/>
      <c r="W30" s="39"/>
      <c r="X30" s="39"/>
      <c r="Y30" s="39"/>
      <c r="Z30" s="39"/>
      <c r="AA30" s="372">
        <f t="shared" ca="1" si="0"/>
        <v>0</v>
      </c>
      <c r="AB30" s="362"/>
      <c r="AC30" s="347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</row>
    <row r="31" spans="1:56" hidden="1" x14ac:dyDescent="0.3">
      <c r="A31" s="25" t="s">
        <v>170</v>
      </c>
      <c r="B31" s="6">
        <v>100</v>
      </c>
      <c r="C31" s="77">
        <v>792.2</v>
      </c>
      <c r="D31" s="396"/>
      <c r="F31" s="6">
        <v>127</v>
      </c>
      <c r="G31" s="39">
        <v>57</v>
      </c>
      <c r="H31" s="39">
        <v>53</v>
      </c>
      <c r="I31" s="39">
        <v>52</v>
      </c>
      <c r="J31" s="39">
        <v>47</v>
      </c>
      <c r="K31" s="39">
        <v>38</v>
      </c>
      <c r="L31" s="39">
        <v>26</v>
      </c>
      <c r="M31" s="39">
        <v>12</v>
      </c>
      <c r="N31" s="39">
        <v>10</v>
      </c>
      <c r="O31" s="39">
        <v>4</v>
      </c>
      <c r="P31" s="39">
        <v>0</v>
      </c>
      <c r="Q31" s="39">
        <v>0</v>
      </c>
      <c r="R31" s="39">
        <v>0</v>
      </c>
      <c r="S31" s="39"/>
      <c r="T31" s="39"/>
      <c r="U31" s="39"/>
      <c r="V31" s="39"/>
      <c r="W31" s="39"/>
      <c r="X31" s="39"/>
      <c r="Y31" s="39"/>
      <c r="Z31" s="39"/>
      <c r="AA31" s="372">
        <f t="shared" ca="1" si="0"/>
        <v>0</v>
      </c>
      <c r="AB31" s="362"/>
      <c r="AC31" s="347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</row>
    <row r="32" spans="1:56" hidden="1" x14ac:dyDescent="0.3">
      <c r="A32" s="25" t="s">
        <v>171</v>
      </c>
      <c r="B32" s="6">
        <v>200</v>
      </c>
      <c r="C32" s="77">
        <v>487.2</v>
      </c>
      <c r="D32" s="396"/>
      <c r="F32" s="6">
        <v>24</v>
      </c>
      <c r="G32" s="39">
        <v>-4</v>
      </c>
      <c r="H32" s="39">
        <v>-4</v>
      </c>
      <c r="I32" s="39">
        <v>-4</v>
      </c>
      <c r="J32" s="39">
        <v>0</v>
      </c>
      <c r="K32" s="39">
        <v>0</v>
      </c>
      <c r="L32" s="39">
        <v>0</v>
      </c>
      <c r="M32" s="39">
        <v>0</v>
      </c>
      <c r="N32" s="39">
        <v>0</v>
      </c>
      <c r="O32" s="39">
        <v>0</v>
      </c>
      <c r="P32" s="39">
        <v>0</v>
      </c>
      <c r="Q32" s="39">
        <v>0</v>
      </c>
      <c r="R32" s="39">
        <v>0</v>
      </c>
      <c r="S32" s="39"/>
      <c r="T32" s="39"/>
      <c r="U32" s="39"/>
      <c r="V32" s="39"/>
      <c r="W32" s="39"/>
      <c r="X32" s="39"/>
      <c r="Y32" s="39"/>
      <c r="Z32" s="39"/>
      <c r="AA32" s="372">
        <f t="shared" ca="1" si="0"/>
        <v>0</v>
      </c>
      <c r="AB32" s="362"/>
      <c r="AC32" s="347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</row>
    <row r="33" spans="1:180" hidden="1" x14ac:dyDescent="0.3">
      <c r="A33" s="25" t="s">
        <v>172</v>
      </c>
      <c r="B33" s="6">
        <v>150</v>
      </c>
      <c r="C33" s="77">
        <v>460.35</v>
      </c>
      <c r="D33" s="396"/>
      <c r="F33" s="6">
        <v>9</v>
      </c>
      <c r="G33" s="39">
        <v>0</v>
      </c>
      <c r="H33" s="39">
        <v>0</v>
      </c>
      <c r="I33" s="39">
        <v>0</v>
      </c>
      <c r="J33" s="39">
        <v>0</v>
      </c>
      <c r="K33" s="39">
        <v>0</v>
      </c>
      <c r="L33" s="39">
        <v>0</v>
      </c>
      <c r="M33" s="39">
        <v>0</v>
      </c>
      <c r="N33" s="39">
        <v>0</v>
      </c>
      <c r="O33" s="39">
        <v>0</v>
      </c>
      <c r="P33" s="39">
        <v>0</v>
      </c>
      <c r="Q33" s="39">
        <v>0</v>
      </c>
      <c r="R33" s="39">
        <v>0</v>
      </c>
      <c r="S33" s="39"/>
      <c r="T33" s="39"/>
      <c r="U33" s="39"/>
      <c r="V33" s="39"/>
      <c r="W33" s="39"/>
      <c r="X33" s="39"/>
      <c r="Y33" s="39"/>
      <c r="Z33" s="39"/>
      <c r="AA33" s="372">
        <f t="shared" ca="1" si="0"/>
        <v>0</v>
      </c>
      <c r="AB33" s="362"/>
      <c r="AC33" s="347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</row>
    <row r="34" spans="1:180" x14ac:dyDescent="0.3">
      <c r="A34" s="25" t="s">
        <v>173</v>
      </c>
      <c r="B34" s="6">
        <v>10</v>
      </c>
      <c r="C34" s="77">
        <v>120</v>
      </c>
      <c r="D34" s="396"/>
      <c r="F34" s="39">
        <v>4</v>
      </c>
      <c r="G34" s="39">
        <v>4</v>
      </c>
      <c r="H34" s="39">
        <v>4</v>
      </c>
      <c r="I34" s="39">
        <v>4</v>
      </c>
      <c r="J34" s="39">
        <v>4</v>
      </c>
      <c r="K34" s="39">
        <v>4</v>
      </c>
      <c r="L34" s="39">
        <v>4</v>
      </c>
      <c r="M34" s="39">
        <v>4</v>
      </c>
      <c r="N34" s="39">
        <v>4</v>
      </c>
      <c r="O34" s="39">
        <v>4</v>
      </c>
      <c r="P34" s="39">
        <v>4</v>
      </c>
      <c r="Q34" s="39">
        <v>4</v>
      </c>
      <c r="R34" s="39">
        <v>4</v>
      </c>
      <c r="S34" s="39">
        <v>4</v>
      </c>
      <c r="T34" s="39">
        <v>4</v>
      </c>
      <c r="U34" s="39">
        <v>4</v>
      </c>
      <c r="V34" s="39">
        <v>4</v>
      </c>
      <c r="W34" s="39">
        <v>4</v>
      </c>
      <c r="X34" s="39">
        <v>4</v>
      </c>
      <c r="Y34" s="39">
        <v>4</v>
      </c>
      <c r="Z34" s="39">
        <v>4</v>
      </c>
      <c r="AA34" s="372">
        <f t="shared" ca="1" si="0"/>
        <v>0</v>
      </c>
      <c r="AB34" s="362"/>
      <c r="AC34" s="347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</row>
    <row r="35" spans="1:180" x14ac:dyDescent="0.3">
      <c r="AB35" s="362"/>
      <c r="AC35" s="347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</row>
    <row r="36" spans="1:180" ht="21" customHeight="1" x14ac:dyDescent="0.3">
      <c r="A36" s="394" t="s">
        <v>174</v>
      </c>
      <c r="B36" s="394"/>
      <c r="C36" s="394"/>
      <c r="AB36" s="362"/>
      <c r="AC36" s="347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</row>
    <row r="37" spans="1:180" x14ac:dyDescent="0.3">
      <c r="A37" s="361" t="s">
        <v>175</v>
      </c>
      <c r="B37" s="361"/>
      <c r="C37" s="361" t="s">
        <v>176</v>
      </c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362"/>
      <c r="AC37" s="347"/>
      <c r="AD37" s="41"/>
      <c r="AF37" s="4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</row>
    <row r="38" spans="1:180" x14ac:dyDescent="0.3">
      <c r="A38" s="152"/>
      <c r="B38" s="367"/>
      <c r="C38" s="368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347"/>
      <c r="AD38" s="41"/>
      <c r="AE38" s="41"/>
      <c r="AF38" s="4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41"/>
      <c r="DK38" s="34"/>
      <c r="DL38" s="41"/>
      <c r="DM38" s="71"/>
      <c r="DN38" s="71"/>
      <c r="DO38" s="34"/>
      <c r="DP38" s="34"/>
      <c r="DQ38" s="71"/>
      <c r="DR38" s="71"/>
      <c r="DS38" s="34"/>
      <c r="DT38" s="71"/>
      <c r="DU38" s="34"/>
      <c r="DV38" s="34"/>
      <c r="DW38" s="34"/>
      <c r="DX38" s="71"/>
      <c r="DY38" s="350"/>
      <c r="DZ38" s="34"/>
      <c r="EA38" s="71"/>
      <c r="EB38" s="71"/>
      <c r="EC38" s="71"/>
      <c r="ED38" s="34"/>
    </row>
    <row r="39" spans="1:180" x14ac:dyDescent="0.3">
      <c r="A39" s="152" t="s">
        <v>227</v>
      </c>
      <c r="B39" s="367"/>
      <c r="C39" s="368">
        <v>100</v>
      </c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347"/>
      <c r="AD39" s="41"/>
      <c r="AE39" s="41"/>
      <c r="AF39" s="41"/>
      <c r="AG39" s="401"/>
      <c r="AH39" s="401"/>
      <c r="AI39" s="401"/>
      <c r="AJ39" s="401"/>
      <c r="AK39" s="401"/>
      <c r="AL39" s="401"/>
      <c r="AM39" s="401"/>
      <c r="AN39" s="11"/>
      <c r="AO39" s="11"/>
      <c r="AP39" s="11"/>
      <c r="AQ39" s="11"/>
      <c r="AR39" s="11"/>
      <c r="AS39" s="11"/>
      <c r="AT39" s="11"/>
      <c r="AU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41"/>
      <c r="DK39" s="34"/>
      <c r="DL39" s="41"/>
      <c r="DM39" s="71"/>
      <c r="DN39" s="71"/>
      <c r="DO39" s="34"/>
      <c r="DP39" s="34"/>
      <c r="DQ39" s="71"/>
      <c r="DR39" s="71"/>
      <c r="DS39" s="34"/>
      <c r="DT39" s="71"/>
      <c r="DU39" s="34"/>
      <c r="DV39" s="34"/>
      <c r="DW39" s="34"/>
      <c r="DX39" s="71"/>
      <c r="DY39" s="350"/>
      <c r="DZ39" s="34"/>
      <c r="EA39" s="71"/>
      <c r="EB39" s="71"/>
      <c r="EC39" s="71"/>
      <c r="ED39" s="34"/>
      <c r="EE39" s="401"/>
      <c r="EG39" s="401"/>
      <c r="EH39" s="401"/>
      <c r="EI39" s="401"/>
      <c r="EJ39" s="401"/>
      <c r="EK39" s="401"/>
      <c r="EL39" s="401"/>
      <c r="EM39" s="401"/>
      <c r="EO39" s="401"/>
      <c r="EQ39" s="401"/>
      <c r="ES39" s="401"/>
      <c r="ET39" s="401"/>
      <c r="EU39" s="401"/>
      <c r="EW39" s="401"/>
      <c r="EX39" s="401"/>
      <c r="EY39" s="401"/>
      <c r="FA39" s="401"/>
      <c r="FC39" s="401"/>
      <c r="FD39" s="401"/>
      <c r="FE39" s="401"/>
      <c r="FG39" s="401"/>
      <c r="FH39" s="401"/>
      <c r="FI39" s="401"/>
      <c r="FK39" s="401"/>
      <c r="FL39" s="401"/>
      <c r="FM39" s="401"/>
      <c r="FN39" s="401"/>
      <c r="FO39" s="401"/>
      <c r="FP39" s="401"/>
      <c r="FQ39" s="401"/>
      <c r="FR39" s="401"/>
      <c r="FS39" s="401"/>
      <c r="FT39" s="401"/>
      <c r="FU39" s="401"/>
      <c r="FV39" s="401"/>
      <c r="FW39" s="401"/>
      <c r="FX39" s="401"/>
    </row>
    <row r="40" spans="1:180" x14ac:dyDescent="0.3">
      <c r="A40" s="249" t="s">
        <v>228</v>
      </c>
      <c r="B40" s="367"/>
      <c r="C40" s="250">
        <v>103</v>
      </c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347"/>
      <c r="AD40" s="41"/>
      <c r="AE40" s="41"/>
      <c r="AF40" s="41"/>
      <c r="AG40" s="401"/>
      <c r="AH40" s="401"/>
      <c r="AI40" s="401"/>
      <c r="AJ40" s="401"/>
      <c r="AK40" s="401"/>
      <c r="AL40" s="401"/>
      <c r="AM40" s="401"/>
      <c r="AN40" s="11"/>
      <c r="AO40" s="11"/>
      <c r="AP40" s="11"/>
      <c r="AQ40" s="11"/>
      <c r="AR40" s="11"/>
      <c r="AS40" s="11"/>
      <c r="AT40" s="11"/>
      <c r="AU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41"/>
      <c r="DK40" s="34"/>
      <c r="DL40" s="41"/>
      <c r="DM40" s="71"/>
      <c r="DN40" s="71"/>
      <c r="DO40" s="34"/>
      <c r="DP40" s="34"/>
      <c r="DQ40" s="71"/>
      <c r="DR40" s="71"/>
      <c r="DS40" s="34"/>
      <c r="DT40" s="71"/>
      <c r="DU40" s="34"/>
      <c r="DV40" s="34"/>
      <c r="DW40" s="34"/>
      <c r="DX40" s="71"/>
      <c r="DY40" s="350"/>
      <c r="DZ40" s="34"/>
      <c r="EA40" s="71"/>
      <c r="EB40" s="71"/>
      <c r="EC40" s="71"/>
      <c r="ED40" s="34"/>
      <c r="EE40" s="401"/>
      <c r="EG40" s="401"/>
      <c r="EH40" s="401"/>
      <c r="EI40" s="401"/>
      <c r="EJ40" s="401"/>
      <c r="EK40" s="401"/>
      <c r="EL40" s="401"/>
      <c r="EM40" s="401"/>
      <c r="EO40" s="401"/>
      <c r="EQ40" s="401"/>
      <c r="ES40" s="401"/>
      <c r="ET40" s="401"/>
      <c r="EU40" s="401"/>
      <c r="EW40" s="401"/>
      <c r="EX40" s="401"/>
      <c r="EY40" s="401"/>
      <c r="FA40" s="401"/>
      <c r="FC40" s="401"/>
      <c r="FD40" s="401"/>
      <c r="FE40" s="401"/>
      <c r="FG40" s="401"/>
      <c r="FH40" s="401"/>
      <c r="FI40" s="401"/>
      <c r="FK40" s="401"/>
      <c r="FL40" s="401"/>
      <c r="FM40" s="401"/>
      <c r="FN40" s="401"/>
      <c r="FO40" s="401"/>
      <c r="FP40" s="401"/>
      <c r="FQ40" s="401"/>
      <c r="FR40" s="401"/>
      <c r="FS40" s="401"/>
      <c r="FT40" s="401"/>
      <c r="FU40" s="401"/>
      <c r="FV40" s="401"/>
      <c r="FW40" s="401"/>
      <c r="FX40" s="401"/>
    </row>
    <row r="41" spans="1:180" x14ac:dyDescent="0.3">
      <c r="A41" s="245" t="s">
        <v>229</v>
      </c>
      <c r="B41" s="367"/>
      <c r="C41" s="368">
        <v>60</v>
      </c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347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11"/>
      <c r="AO41" s="11"/>
      <c r="AP41" s="11"/>
      <c r="AQ41" s="11"/>
      <c r="AR41" s="11"/>
      <c r="AS41" s="11"/>
      <c r="AT41" s="11"/>
      <c r="AU41" s="34"/>
      <c r="AV41" s="41"/>
      <c r="AW41" s="41"/>
      <c r="AX41" s="41"/>
      <c r="AY41" s="41"/>
      <c r="AZ41" s="41"/>
      <c r="BA41" s="41"/>
      <c r="BB41" s="41"/>
      <c r="BC41" s="41"/>
      <c r="BD41" s="41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41"/>
      <c r="DK41" s="34"/>
      <c r="DL41" s="41"/>
      <c r="DM41" s="71"/>
      <c r="DN41" s="71"/>
      <c r="DO41" s="34"/>
      <c r="DP41" s="34"/>
      <c r="DQ41" s="71"/>
      <c r="DR41" s="71"/>
      <c r="DS41" s="34"/>
      <c r="DT41" s="71"/>
      <c r="DU41" s="34"/>
      <c r="DV41" s="34"/>
      <c r="DW41" s="34"/>
      <c r="DX41" s="71"/>
      <c r="DY41" s="350"/>
      <c r="DZ41" s="34"/>
      <c r="EA41" s="71"/>
      <c r="EB41" s="71"/>
      <c r="EC41" s="71"/>
      <c r="ED41" s="34"/>
      <c r="EE41" s="401"/>
      <c r="EG41" s="401"/>
      <c r="EH41" s="401"/>
      <c r="EI41" s="401"/>
      <c r="EJ41" s="401"/>
      <c r="EK41" s="401"/>
      <c r="EL41" s="401"/>
      <c r="EM41" s="401"/>
      <c r="EO41" s="401"/>
      <c r="EQ41" s="401"/>
      <c r="ES41" s="401"/>
      <c r="ET41" s="401"/>
      <c r="EU41" s="401"/>
      <c r="EW41" s="401"/>
      <c r="EX41" s="401"/>
      <c r="EY41" s="401"/>
      <c r="FA41" s="401"/>
      <c r="FC41" s="401"/>
      <c r="FD41" s="401"/>
      <c r="FE41" s="401"/>
      <c r="FG41" s="401"/>
      <c r="FH41" s="401"/>
      <c r="FI41" s="401"/>
      <c r="FK41" s="401"/>
      <c r="FL41" s="401"/>
      <c r="FM41" s="401"/>
      <c r="FN41" s="401"/>
      <c r="FO41" s="401"/>
      <c r="FP41" s="401"/>
      <c r="FQ41" s="401"/>
      <c r="FR41" s="401"/>
      <c r="FS41" s="401"/>
      <c r="FT41" s="401"/>
      <c r="FU41" s="401"/>
      <c r="FV41" s="401"/>
      <c r="FW41" s="401"/>
      <c r="FX41" s="401"/>
    </row>
    <row r="42" spans="1:180" s="34" customFormat="1" x14ac:dyDescent="0.3"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D42" s="41"/>
      <c r="AF42" s="41"/>
      <c r="AG42" s="41"/>
      <c r="AH42" s="41"/>
      <c r="AI42" s="41"/>
      <c r="AJ42" s="41"/>
      <c r="AK42" s="41"/>
      <c r="AL42" s="41"/>
      <c r="AM42" s="41"/>
      <c r="AN42" s="11"/>
      <c r="AO42" s="11"/>
      <c r="AP42" s="11"/>
      <c r="AQ42" s="11"/>
      <c r="AR42" s="401"/>
      <c r="AS42" s="401"/>
      <c r="AT42" s="401"/>
      <c r="AV42" s="41"/>
      <c r="AW42" s="41"/>
      <c r="AX42" s="41"/>
      <c r="AY42" s="41"/>
      <c r="AZ42" s="41"/>
      <c r="BA42" s="41"/>
      <c r="BB42" s="41"/>
      <c r="BC42" s="41"/>
      <c r="BD42" s="41"/>
    </row>
    <row r="43" spans="1:180" x14ac:dyDescent="0.3">
      <c r="A43" s="472" t="s">
        <v>177</v>
      </c>
      <c r="B43" s="467"/>
      <c r="C43" s="467"/>
      <c r="D43" s="469"/>
      <c r="F43" s="356">
        <v>46013</v>
      </c>
      <c r="G43" s="356">
        <v>46020</v>
      </c>
      <c r="H43" s="356">
        <v>46027</v>
      </c>
      <c r="I43" s="356">
        <v>46034</v>
      </c>
      <c r="J43" s="356">
        <v>46041</v>
      </c>
      <c r="K43" s="356">
        <v>46048</v>
      </c>
      <c r="L43" s="356">
        <v>46055</v>
      </c>
      <c r="M43" s="356">
        <v>46062</v>
      </c>
      <c r="N43" s="356">
        <v>46069</v>
      </c>
      <c r="O43" s="356">
        <v>46076</v>
      </c>
      <c r="P43" s="356">
        <v>46083</v>
      </c>
      <c r="Q43" s="356">
        <v>46090</v>
      </c>
      <c r="R43" s="356">
        <v>46097</v>
      </c>
      <c r="S43" s="356">
        <v>46104</v>
      </c>
      <c r="T43" s="356">
        <v>46111</v>
      </c>
      <c r="U43" s="356">
        <v>46118</v>
      </c>
      <c r="V43" s="356">
        <v>46125</v>
      </c>
      <c r="W43" s="356">
        <v>46132</v>
      </c>
      <c r="X43" s="356">
        <v>46139</v>
      </c>
      <c r="Y43" s="356">
        <v>46146</v>
      </c>
      <c r="Z43" s="356">
        <v>46154</v>
      </c>
      <c r="AB43" s="362"/>
      <c r="AG43" s="41"/>
      <c r="AH43" s="41"/>
      <c r="AI43" s="41"/>
      <c r="AJ43" s="41"/>
      <c r="AK43" s="41"/>
      <c r="AL43" s="41"/>
      <c r="AM43" s="41"/>
      <c r="AN43" s="11"/>
      <c r="AO43" s="11"/>
      <c r="AP43" s="11"/>
      <c r="AQ43" s="11"/>
      <c r="AR43" s="401"/>
      <c r="AS43" s="401"/>
      <c r="AT43" s="401"/>
      <c r="AV43" s="41"/>
      <c r="AW43" s="41"/>
      <c r="AX43" s="41"/>
      <c r="AY43" s="41"/>
      <c r="AZ43" s="41"/>
      <c r="BA43" s="41"/>
      <c r="BB43" s="41"/>
      <c r="BC43" s="41"/>
      <c r="BD43" s="41"/>
    </row>
    <row r="44" spans="1:180" x14ac:dyDescent="0.3">
      <c r="A44" s="470" t="s">
        <v>200</v>
      </c>
      <c r="B44" s="467"/>
      <c r="C44" s="467"/>
      <c r="D44" s="469"/>
      <c r="F44" s="358">
        <v>0</v>
      </c>
      <c r="G44" s="358">
        <v>0</v>
      </c>
      <c r="H44" s="358">
        <v>0</v>
      </c>
      <c r="I44" s="358">
        <v>0</v>
      </c>
      <c r="J44" s="358">
        <v>0</v>
      </c>
      <c r="K44" s="358">
        <v>0</v>
      </c>
      <c r="L44" s="358">
        <v>0</v>
      </c>
      <c r="M44" s="358">
        <v>0</v>
      </c>
      <c r="N44" s="358">
        <v>0</v>
      </c>
      <c r="O44" s="358">
        <v>0</v>
      </c>
      <c r="P44" s="358">
        <v>0</v>
      </c>
      <c r="Q44" s="358">
        <v>0</v>
      </c>
      <c r="R44" s="358">
        <v>0</v>
      </c>
      <c r="S44" s="358">
        <v>0</v>
      </c>
      <c r="T44" s="358">
        <v>0</v>
      </c>
      <c r="U44" s="358">
        <v>0</v>
      </c>
      <c r="V44" s="358">
        <v>0</v>
      </c>
      <c r="W44" s="358">
        <v>0</v>
      </c>
      <c r="X44" s="358">
        <v>0</v>
      </c>
      <c r="Y44" s="358">
        <v>0</v>
      </c>
      <c r="Z44" s="358">
        <v>0</v>
      </c>
      <c r="AG44" s="41"/>
      <c r="AH44" s="41"/>
      <c r="AI44" s="41"/>
      <c r="AJ44" s="41"/>
      <c r="AK44" s="41"/>
      <c r="AL44" s="41"/>
      <c r="AM44" s="41"/>
      <c r="AV44" s="41"/>
      <c r="AW44" s="41"/>
      <c r="AX44" s="41"/>
      <c r="AY44" s="41"/>
      <c r="AZ44" s="41"/>
      <c r="BA44" s="41"/>
      <c r="BB44" s="41"/>
      <c r="BC44" s="41"/>
      <c r="BD44" s="41"/>
    </row>
    <row r="45" spans="1:180" x14ac:dyDescent="0.3">
      <c r="A45" s="470" t="s">
        <v>192</v>
      </c>
      <c r="B45" s="467"/>
      <c r="C45" s="467"/>
      <c r="D45" s="469"/>
      <c r="F45" s="358">
        <v>0</v>
      </c>
      <c r="G45" s="358">
        <v>0</v>
      </c>
      <c r="H45" s="358">
        <v>0</v>
      </c>
      <c r="I45" s="358">
        <v>0</v>
      </c>
      <c r="J45" s="358">
        <v>0</v>
      </c>
      <c r="K45" s="358">
        <v>0</v>
      </c>
      <c r="L45" s="358">
        <v>0</v>
      </c>
      <c r="M45" s="358">
        <v>0</v>
      </c>
      <c r="N45" s="358">
        <v>0</v>
      </c>
      <c r="O45" s="358">
        <v>0</v>
      </c>
      <c r="P45" s="358">
        <v>0</v>
      </c>
      <c r="Q45" s="358">
        <v>0</v>
      </c>
      <c r="R45" s="358">
        <v>0</v>
      </c>
      <c r="S45" s="358">
        <v>0</v>
      </c>
      <c r="T45" s="358">
        <v>0</v>
      </c>
      <c r="U45" s="358">
        <v>0</v>
      </c>
      <c r="V45" s="358">
        <v>0</v>
      </c>
      <c r="W45" s="358">
        <v>0</v>
      </c>
      <c r="X45" s="358">
        <v>0</v>
      </c>
      <c r="Y45" s="358">
        <v>0</v>
      </c>
      <c r="Z45" s="358">
        <v>0</v>
      </c>
    </row>
    <row r="46" spans="1:180" x14ac:dyDescent="0.3">
      <c r="A46" s="470" t="s">
        <v>193</v>
      </c>
      <c r="B46" s="467"/>
      <c r="C46" s="467"/>
      <c r="D46" s="469"/>
      <c r="F46" s="358">
        <v>0</v>
      </c>
      <c r="G46" s="358">
        <v>0</v>
      </c>
      <c r="H46" s="358">
        <v>0</v>
      </c>
      <c r="I46" s="358">
        <v>0</v>
      </c>
      <c r="J46" s="358">
        <v>0</v>
      </c>
      <c r="K46" s="358">
        <v>0</v>
      </c>
      <c r="L46" s="358">
        <v>0</v>
      </c>
      <c r="M46" s="358">
        <v>0</v>
      </c>
      <c r="N46" s="358">
        <v>0</v>
      </c>
      <c r="O46" s="358">
        <v>0</v>
      </c>
      <c r="P46" s="358">
        <v>0</v>
      </c>
      <c r="Q46" s="358">
        <v>0</v>
      </c>
      <c r="R46" s="358">
        <v>0</v>
      </c>
      <c r="S46" s="358">
        <v>0</v>
      </c>
      <c r="T46" s="358">
        <v>0</v>
      </c>
      <c r="U46" s="358">
        <v>0</v>
      </c>
      <c r="V46" s="358">
        <v>0</v>
      </c>
      <c r="W46" s="358">
        <v>0</v>
      </c>
      <c r="X46" s="358">
        <v>0</v>
      </c>
      <c r="Y46" s="358">
        <v>0</v>
      </c>
      <c r="Z46" s="358">
        <v>0</v>
      </c>
    </row>
    <row r="47" spans="1:180" x14ac:dyDescent="0.3">
      <c r="A47" s="470" t="s">
        <v>230</v>
      </c>
      <c r="B47" s="467"/>
      <c r="C47" s="467"/>
      <c r="D47" s="469"/>
      <c r="F47" s="358">
        <v>0</v>
      </c>
      <c r="G47" s="358">
        <v>0</v>
      </c>
      <c r="H47" s="358">
        <v>0</v>
      </c>
      <c r="I47" s="358">
        <v>0</v>
      </c>
      <c r="J47" s="358">
        <v>0</v>
      </c>
      <c r="K47" s="358">
        <v>0</v>
      </c>
      <c r="L47" s="358">
        <v>0</v>
      </c>
      <c r="M47" s="358">
        <v>0</v>
      </c>
      <c r="N47" s="358">
        <v>0</v>
      </c>
      <c r="O47" s="358">
        <v>0</v>
      </c>
      <c r="P47" s="358">
        <v>0</v>
      </c>
      <c r="Q47" s="358">
        <v>0</v>
      </c>
      <c r="R47" s="358">
        <v>0</v>
      </c>
      <c r="S47" s="358">
        <v>0</v>
      </c>
      <c r="T47" s="358">
        <v>0</v>
      </c>
      <c r="U47" s="358">
        <v>0</v>
      </c>
      <c r="V47" s="358">
        <v>0</v>
      </c>
      <c r="W47" s="358">
        <v>0</v>
      </c>
      <c r="X47" s="358">
        <v>0</v>
      </c>
      <c r="Y47" s="358">
        <v>0</v>
      </c>
      <c r="Z47" s="358">
        <v>0</v>
      </c>
      <c r="AG47" s="11"/>
      <c r="AH47" s="11"/>
      <c r="AI47" s="11"/>
      <c r="AJ47" s="11"/>
      <c r="AK47" s="11"/>
      <c r="AL47" s="11"/>
      <c r="AM47" s="11"/>
    </row>
    <row r="48" spans="1:180" x14ac:dyDescent="0.3">
      <c r="A48" s="470" t="s">
        <v>231</v>
      </c>
      <c r="B48" s="467"/>
      <c r="C48" s="467"/>
      <c r="D48" s="469"/>
      <c r="F48" s="358">
        <v>0</v>
      </c>
      <c r="G48" s="358">
        <v>0</v>
      </c>
      <c r="H48" s="358">
        <v>0</v>
      </c>
      <c r="I48" s="358">
        <v>0</v>
      </c>
      <c r="J48" s="358">
        <v>0</v>
      </c>
      <c r="K48" s="358">
        <v>0</v>
      </c>
      <c r="L48" s="358">
        <v>0</v>
      </c>
      <c r="M48" s="358">
        <v>0</v>
      </c>
      <c r="N48" s="358">
        <v>0</v>
      </c>
      <c r="O48" s="358">
        <v>0</v>
      </c>
      <c r="P48" s="358">
        <v>0</v>
      </c>
      <c r="Q48" s="358">
        <v>0</v>
      </c>
      <c r="R48" s="358">
        <v>0</v>
      </c>
      <c r="S48" s="358">
        <v>0</v>
      </c>
      <c r="T48" s="358">
        <v>0</v>
      </c>
      <c r="U48" s="358">
        <v>0</v>
      </c>
      <c r="V48" s="358">
        <v>0</v>
      </c>
      <c r="W48" s="358">
        <v>0</v>
      </c>
      <c r="X48" s="358">
        <v>0</v>
      </c>
      <c r="Y48" s="358">
        <v>0</v>
      </c>
      <c r="Z48" s="358">
        <v>0</v>
      </c>
    </row>
    <row r="49" spans="1:26" x14ac:dyDescent="0.3">
      <c r="A49" s="470" t="s">
        <v>232</v>
      </c>
      <c r="B49" s="467"/>
      <c r="C49" s="467"/>
      <c r="D49" s="469"/>
      <c r="F49" s="358">
        <v>0</v>
      </c>
      <c r="G49" s="358">
        <v>0</v>
      </c>
      <c r="H49" s="358">
        <v>0</v>
      </c>
      <c r="I49" s="358">
        <v>0</v>
      </c>
      <c r="J49" s="358">
        <v>0</v>
      </c>
      <c r="K49" s="358">
        <v>0</v>
      </c>
      <c r="L49" s="358">
        <v>0</v>
      </c>
      <c r="M49" s="358">
        <v>0</v>
      </c>
      <c r="N49" s="358">
        <v>0</v>
      </c>
      <c r="O49" s="358">
        <v>0</v>
      </c>
      <c r="P49" s="358">
        <v>0</v>
      </c>
      <c r="Q49" s="358">
        <v>0</v>
      </c>
      <c r="R49" s="358">
        <v>0</v>
      </c>
      <c r="S49" s="358">
        <v>0</v>
      </c>
      <c r="T49" s="358">
        <v>0</v>
      </c>
      <c r="U49" s="358">
        <v>0</v>
      </c>
      <c r="V49" s="358">
        <v>0</v>
      </c>
      <c r="W49" s="358">
        <v>0</v>
      </c>
      <c r="X49" s="358">
        <v>0</v>
      </c>
      <c r="Y49" s="358">
        <v>0</v>
      </c>
      <c r="Z49" s="358">
        <v>0</v>
      </c>
    </row>
    <row r="50" spans="1:26" x14ac:dyDescent="0.3">
      <c r="A50" s="470" t="s">
        <v>203</v>
      </c>
      <c r="B50" s="467"/>
      <c r="C50" s="467"/>
      <c r="D50" s="469"/>
      <c r="F50" s="358">
        <v>0</v>
      </c>
      <c r="G50" s="358">
        <v>0</v>
      </c>
      <c r="H50" s="358">
        <v>0</v>
      </c>
      <c r="I50" s="358">
        <v>0</v>
      </c>
      <c r="J50" s="358">
        <v>0</v>
      </c>
      <c r="K50" s="358">
        <v>0</v>
      </c>
      <c r="L50" s="358">
        <v>0</v>
      </c>
      <c r="M50" s="358">
        <v>0</v>
      </c>
      <c r="N50" s="358">
        <v>0</v>
      </c>
      <c r="O50" s="358">
        <v>0</v>
      </c>
      <c r="P50" s="358">
        <v>0</v>
      </c>
      <c r="Q50" s="358">
        <v>0</v>
      </c>
      <c r="R50" s="358">
        <v>0</v>
      </c>
      <c r="S50" s="358">
        <v>0</v>
      </c>
      <c r="T50" s="358">
        <v>0</v>
      </c>
      <c r="U50" s="358">
        <v>0</v>
      </c>
      <c r="V50" s="358">
        <v>0</v>
      </c>
      <c r="W50" s="358">
        <v>0</v>
      </c>
      <c r="X50" s="358">
        <v>0</v>
      </c>
      <c r="Y50" s="358">
        <v>0</v>
      </c>
      <c r="Z50" s="358">
        <v>0</v>
      </c>
    </row>
    <row r="51" spans="1:26" x14ac:dyDescent="0.3">
      <c r="A51" s="470" t="s">
        <v>219</v>
      </c>
      <c r="B51" s="467"/>
      <c r="C51" s="467"/>
      <c r="D51" s="469"/>
      <c r="F51" s="358">
        <v>0</v>
      </c>
      <c r="G51" s="358">
        <v>0</v>
      </c>
      <c r="H51" s="358">
        <v>0</v>
      </c>
      <c r="I51" s="358">
        <v>0</v>
      </c>
      <c r="J51" s="358">
        <v>0</v>
      </c>
      <c r="K51" s="358">
        <v>0</v>
      </c>
      <c r="L51" s="358">
        <v>0</v>
      </c>
      <c r="M51" s="358">
        <v>0</v>
      </c>
      <c r="N51" s="358">
        <v>0</v>
      </c>
      <c r="O51" s="358">
        <v>0</v>
      </c>
      <c r="P51" s="358">
        <v>0</v>
      </c>
      <c r="Q51" s="358">
        <v>0</v>
      </c>
      <c r="R51" s="358">
        <v>0</v>
      </c>
      <c r="S51" s="358">
        <v>0</v>
      </c>
      <c r="T51" s="358">
        <v>0</v>
      </c>
      <c r="U51" s="358">
        <v>0</v>
      </c>
      <c r="V51" s="358">
        <v>0</v>
      </c>
      <c r="W51" s="358">
        <v>0</v>
      </c>
      <c r="X51" s="358">
        <v>0</v>
      </c>
      <c r="Y51" s="358">
        <v>0</v>
      </c>
      <c r="Z51" s="358">
        <v>0</v>
      </c>
    </row>
    <row r="52" spans="1:26" x14ac:dyDescent="0.3">
      <c r="A52" s="470" t="s">
        <v>220</v>
      </c>
      <c r="B52" s="467"/>
      <c r="C52" s="467"/>
      <c r="D52" s="469"/>
      <c r="F52" s="358">
        <v>0</v>
      </c>
      <c r="G52" s="358">
        <v>0</v>
      </c>
      <c r="H52" s="358">
        <v>0</v>
      </c>
      <c r="I52" s="358">
        <v>0</v>
      </c>
      <c r="J52" s="358">
        <v>0</v>
      </c>
      <c r="K52" s="358">
        <v>0</v>
      </c>
      <c r="L52" s="358">
        <v>0</v>
      </c>
      <c r="M52" s="358">
        <v>0</v>
      </c>
      <c r="N52" s="358">
        <v>0</v>
      </c>
      <c r="O52" s="358">
        <v>0</v>
      </c>
      <c r="P52" s="358">
        <v>0</v>
      </c>
      <c r="Q52" s="358">
        <v>0</v>
      </c>
      <c r="R52" s="358">
        <v>0</v>
      </c>
      <c r="S52" s="358">
        <v>0</v>
      </c>
      <c r="T52" s="358">
        <v>0</v>
      </c>
      <c r="U52" s="358">
        <v>0</v>
      </c>
      <c r="V52" s="358">
        <v>0</v>
      </c>
      <c r="W52" s="358">
        <v>0</v>
      </c>
      <c r="X52" s="358">
        <v>0</v>
      </c>
      <c r="Y52" s="358">
        <v>0</v>
      </c>
      <c r="Z52" s="358">
        <v>0</v>
      </c>
    </row>
  </sheetData>
  <mergeCells count="20">
    <mergeCell ref="AV7:BD7"/>
    <mergeCell ref="F5:AA5"/>
    <mergeCell ref="A50:D50"/>
    <mergeCell ref="A47:D47"/>
    <mergeCell ref="A1:AA1"/>
    <mergeCell ref="B2:D2"/>
    <mergeCell ref="C5:C6"/>
    <mergeCell ref="A52:D52"/>
    <mergeCell ref="A43:D43"/>
    <mergeCell ref="A44:D44"/>
    <mergeCell ref="A48:D48"/>
    <mergeCell ref="F3:AB3"/>
    <mergeCell ref="A51:D51"/>
    <mergeCell ref="A49:D49"/>
    <mergeCell ref="A5:A6"/>
    <mergeCell ref="A45:D45"/>
    <mergeCell ref="A46:D46"/>
    <mergeCell ref="B5:B6"/>
    <mergeCell ref="D5:D6"/>
    <mergeCell ref="B3:D3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63" fitToHeight="0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45">
    <tabColor theme="9"/>
  </sheetPr>
  <dimension ref="A1:II50"/>
  <sheetViews>
    <sheetView showGridLines="0" topLeftCell="D1" zoomScale="80" zoomScaleNormal="80" workbookViewId="0">
      <selection activeCell="AL38" sqref="AL38"/>
    </sheetView>
  </sheetViews>
  <sheetFormatPr defaultColWidth="9.140625" defaultRowHeight="15" x14ac:dyDescent="0.25"/>
  <cols>
    <col min="1" max="1" width="27.42578125" customWidth="1"/>
    <col min="2" max="2" width="9.5703125" customWidth="1"/>
    <col min="3" max="3" width="14.85546875" hidden="1" customWidth="1"/>
    <col min="4" max="4" width="14.85546875" customWidth="1"/>
    <col min="5" max="5" width="1.5703125" customWidth="1"/>
    <col min="6" max="6" width="9.42578125" hidden="1" customWidth="1"/>
    <col min="7" max="25" width="13" hidden="1" customWidth="1"/>
    <col min="26" max="26" width="9.42578125" hidden="1" customWidth="1"/>
    <col min="27" max="29" width="13" hidden="1" customWidth="1"/>
    <col min="30" max="31" width="13" customWidth="1"/>
    <col min="33" max="33" width="1.5703125" customWidth="1"/>
    <col min="34" max="34" width="52.85546875" customWidth="1"/>
    <col min="35" max="35" width="14.28515625" customWidth="1"/>
    <col min="36" max="36" width="1.140625" customWidth="1"/>
    <col min="37" max="37" width="15.85546875" customWidth="1"/>
    <col min="38" max="38" width="1.28515625" customWidth="1"/>
    <col min="39" max="39" width="8.7109375" customWidth="1"/>
    <col min="40" max="40" width="11.5703125" customWidth="1"/>
    <col min="41" max="41" width="24.85546875" hidden="1" customWidth="1"/>
    <col min="42" max="42" width="8.7109375" hidden="1" customWidth="1"/>
    <col min="43" max="45" width="13" hidden="1" customWidth="1"/>
    <col min="46" max="46" width="8.7109375" hidden="1" customWidth="1"/>
    <col min="47" max="51" width="13" hidden="1" customWidth="1"/>
    <col min="52" max="52" width="13.85546875" hidden="1" customWidth="1"/>
    <col min="53" max="53" width="8.7109375" hidden="1" customWidth="1"/>
    <col min="54" max="54" width="13" hidden="1" customWidth="1"/>
    <col min="55" max="55" width="13.85546875" hidden="1" customWidth="1"/>
    <col min="56" max="56" width="8.7109375" hidden="1" customWidth="1"/>
    <col min="57" max="59" width="13" hidden="1" customWidth="1"/>
    <col min="60" max="60" width="9.140625" customWidth="1"/>
    <col min="61" max="61" width="21.85546875" customWidth="1"/>
    <col min="62" max="62" width="9.140625" customWidth="1"/>
    <col min="63" max="67" width="13" hidden="1" customWidth="1"/>
    <col min="68" max="68" width="9.140625" hidden="1" customWidth="1"/>
    <col min="69" max="71" width="13" hidden="1" customWidth="1"/>
    <col min="72" max="73" width="13" customWidth="1"/>
  </cols>
  <sheetData>
    <row r="1" spans="1:74" ht="23.25" customHeight="1" x14ac:dyDescent="0.25">
      <c r="A1" s="477" t="s">
        <v>117</v>
      </c>
      <c r="B1" s="478"/>
      <c r="C1" s="478"/>
      <c r="D1" s="478"/>
      <c r="E1" s="478"/>
      <c r="F1" s="478"/>
      <c r="G1" s="478"/>
      <c r="H1" s="478"/>
      <c r="I1" s="478"/>
      <c r="J1" s="478"/>
      <c r="K1" s="478"/>
      <c r="L1" s="478"/>
      <c r="M1" s="478"/>
      <c r="N1" s="478"/>
      <c r="O1" s="478"/>
      <c r="P1" s="478"/>
      <c r="Q1" s="478"/>
      <c r="R1" s="478"/>
      <c r="S1" s="478"/>
      <c r="T1" s="478"/>
      <c r="U1" s="478"/>
      <c r="V1" s="478"/>
      <c r="W1" s="478"/>
      <c r="X1" s="478"/>
      <c r="Y1" s="478"/>
      <c r="Z1" s="478"/>
      <c r="AA1" s="478"/>
      <c r="AB1" s="478"/>
      <c r="AG1" s="338"/>
      <c r="AH1" s="353"/>
      <c r="AI1" s="353"/>
      <c r="AJ1" s="353"/>
      <c r="AK1" s="353"/>
      <c r="AL1" s="353"/>
      <c r="AM1" s="353"/>
      <c r="AN1" s="353"/>
      <c r="AO1" s="353"/>
      <c r="AP1" s="353"/>
      <c r="AQ1" s="353"/>
      <c r="AR1" s="353"/>
      <c r="AS1" s="353"/>
      <c r="AT1" s="353"/>
      <c r="AU1" s="353"/>
      <c r="AV1" s="353"/>
      <c r="AW1" s="353"/>
      <c r="AX1" s="353"/>
      <c r="AY1" s="353"/>
      <c r="AZ1" s="353"/>
      <c r="BA1" s="353"/>
      <c r="BB1" s="353"/>
      <c r="BC1" s="353"/>
      <c r="BD1" s="353"/>
      <c r="BE1" s="353"/>
      <c r="BF1" s="353"/>
      <c r="BG1" s="353"/>
    </row>
    <row r="2" spans="1:74" ht="18.75" x14ac:dyDescent="0.3">
      <c r="A2" s="63" t="s">
        <v>118</v>
      </c>
      <c r="B2" s="473" t="s">
        <v>233</v>
      </c>
      <c r="C2" s="463"/>
      <c r="D2" s="464"/>
      <c r="AH2" s="11"/>
      <c r="AI2" s="11"/>
      <c r="AK2" s="11"/>
    </row>
    <row r="3" spans="1:74" ht="18.75" x14ac:dyDescent="0.3">
      <c r="A3" s="63" t="s">
        <v>120</v>
      </c>
      <c r="B3" s="465" t="s">
        <v>234</v>
      </c>
      <c r="C3" s="463"/>
      <c r="D3" s="464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442"/>
      <c r="AC3" s="442"/>
      <c r="AD3" s="442"/>
      <c r="AE3" s="442"/>
      <c r="AF3" s="7"/>
      <c r="AG3" s="7"/>
      <c r="AH3" s="11"/>
      <c r="AI3" s="11"/>
      <c r="AJ3" s="7"/>
    </row>
    <row r="4" spans="1:74" ht="18.75" x14ac:dyDescent="0.3">
      <c r="AL4" s="154"/>
      <c r="AM4" s="387"/>
      <c r="AN4" s="387"/>
      <c r="AO4" s="387"/>
      <c r="AP4" s="387"/>
      <c r="AQ4" s="387"/>
      <c r="AR4" s="387"/>
      <c r="AS4" s="387"/>
      <c r="AT4" s="387"/>
      <c r="AU4" s="387"/>
      <c r="AV4" s="387"/>
      <c r="AW4" s="387"/>
      <c r="AX4" s="387"/>
      <c r="AY4" s="387"/>
      <c r="AZ4" s="387"/>
      <c r="BA4" s="387"/>
      <c r="BB4" s="387"/>
      <c r="BC4" s="387"/>
      <c r="BD4" s="387"/>
      <c r="BE4" s="387"/>
      <c r="BF4" s="387"/>
      <c r="BG4" s="387"/>
    </row>
    <row r="5" spans="1:74" ht="18.75" customHeight="1" x14ac:dyDescent="0.3">
      <c r="A5" s="476" t="s">
        <v>122</v>
      </c>
      <c r="B5" s="471" t="s">
        <v>123</v>
      </c>
      <c r="C5" s="471" t="s">
        <v>124</v>
      </c>
      <c r="D5" s="474" t="s">
        <v>125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H5" s="29" t="s">
        <v>126</v>
      </c>
      <c r="AI5" s="29" t="s">
        <v>126</v>
      </c>
      <c r="AK5" s="9" t="s">
        <v>127</v>
      </c>
      <c r="AL5" s="363">
        <v>46161.483287228148</v>
      </c>
      <c r="AM5" s="363">
        <v>46156</v>
      </c>
      <c r="AN5" s="339" t="s">
        <v>128</v>
      </c>
      <c r="AO5" s="339" t="s">
        <v>128</v>
      </c>
      <c r="AP5" s="363">
        <v>46142</v>
      </c>
      <c r="AQ5" s="363">
        <v>46114</v>
      </c>
      <c r="AR5" s="409">
        <v>46065</v>
      </c>
      <c r="AS5" s="363">
        <v>46099</v>
      </c>
      <c r="AT5" s="363">
        <v>46092</v>
      </c>
      <c r="AU5" s="363">
        <v>46084</v>
      </c>
      <c r="AV5" s="363">
        <v>46071</v>
      </c>
      <c r="AW5" s="363">
        <v>46056</v>
      </c>
      <c r="AX5" s="363">
        <v>46048</v>
      </c>
      <c r="AY5" s="363">
        <v>46035</v>
      </c>
      <c r="AZ5" s="371" t="s">
        <v>128</v>
      </c>
      <c r="BA5" s="363">
        <v>46024</v>
      </c>
      <c r="BB5" s="363">
        <v>46017</v>
      </c>
      <c r="BC5" s="371" t="s">
        <v>128</v>
      </c>
      <c r="BD5" s="363">
        <v>46007</v>
      </c>
      <c r="BE5" s="363">
        <v>46001</v>
      </c>
      <c r="BF5" s="363">
        <v>45994</v>
      </c>
      <c r="BG5" s="363">
        <v>45986</v>
      </c>
    </row>
    <row r="6" spans="1:74" s="3" customFormat="1" ht="19.5" customHeight="1" x14ac:dyDescent="0.3">
      <c r="A6" s="461"/>
      <c r="B6" s="461"/>
      <c r="C6" s="461"/>
      <c r="D6" s="461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13">
        <v>46160</v>
      </c>
      <c r="AB6" s="13">
        <v>46161.480128368057</v>
      </c>
      <c r="AC6" s="13">
        <v>46161.480801979167</v>
      </c>
      <c r="AD6" s="13">
        <v>46161.482959444453</v>
      </c>
      <c r="AE6" s="13">
        <v>46161.483287969742</v>
      </c>
      <c r="AF6" s="35" t="s">
        <v>129</v>
      </c>
      <c r="AG6" s="30"/>
      <c r="AH6" s="281" t="s">
        <v>128</v>
      </c>
      <c r="AI6" s="180">
        <v>46156</v>
      </c>
      <c r="AJ6" s="31"/>
      <c r="AK6" s="179"/>
      <c r="AL6" s="363"/>
      <c r="AM6" s="363"/>
      <c r="AN6" s="339">
        <v>46150</v>
      </c>
      <c r="AO6" s="339">
        <v>46148</v>
      </c>
      <c r="AP6" s="363">
        <v>46150</v>
      </c>
      <c r="AQ6" s="363">
        <v>46125</v>
      </c>
      <c r="AR6" s="409">
        <v>46112</v>
      </c>
      <c r="AS6" s="363">
        <v>46106</v>
      </c>
      <c r="AT6" s="363">
        <v>46099</v>
      </c>
      <c r="AU6" s="363">
        <v>46097</v>
      </c>
      <c r="AV6" s="363">
        <v>46078</v>
      </c>
      <c r="AW6" s="363">
        <v>46063</v>
      </c>
      <c r="AX6" s="363">
        <v>46056</v>
      </c>
      <c r="AY6" s="363">
        <v>46041</v>
      </c>
      <c r="AZ6" s="371">
        <v>46037</v>
      </c>
      <c r="BA6" s="363">
        <v>46034</v>
      </c>
      <c r="BB6" s="363">
        <v>46029</v>
      </c>
      <c r="BC6" s="371">
        <v>46027</v>
      </c>
      <c r="BD6" s="363">
        <v>46010</v>
      </c>
      <c r="BE6" s="363">
        <v>46010</v>
      </c>
      <c r="BF6" s="363">
        <v>46003</v>
      </c>
      <c r="BG6" s="363">
        <v>45994</v>
      </c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</row>
    <row r="7" spans="1:74" s="3" customFormat="1" ht="21.75" customHeight="1" x14ac:dyDescent="0.3">
      <c r="A7" s="20" t="s">
        <v>130</v>
      </c>
      <c r="B7" s="4"/>
      <c r="C7" s="5"/>
      <c r="D7" s="233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1"/>
      <c r="AH7" s="84"/>
      <c r="AI7" s="84"/>
      <c r="AJ7" s="11"/>
      <c r="AK7" s="111"/>
      <c r="AL7" s="12"/>
      <c r="AM7" s="12"/>
      <c r="AN7" s="12"/>
      <c r="AO7" s="12"/>
      <c r="AP7" s="12"/>
      <c r="AQ7" s="12"/>
      <c r="AR7" s="12" t="s">
        <v>131</v>
      </c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466"/>
      <c r="BF7" s="466"/>
      <c r="BG7" s="467"/>
      <c r="BH7" s="467"/>
      <c r="BI7" s="467"/>
      <c r="BJ7" s="467"/>
      <c r="BK7" s="467"/>
      <c r="BL7" s="467"/>
      <c r="BM7" s="467"/>
      <c r="BN7" s="447"/>
      <c r="BO7" s="447"/>
      <c r="BP7" s="452"/>
      <c r="BQ7" s="443"/>
      <c r="BR7" s="444"/>
      <c r="BS7" s="444"/>
      <c r="BT7" s="444"/>
      <c r="BU7" s="444"/>
      <c r="BV7" s="412"/>
    </row>
    <row r="8" spans="1:74" s="3" customFormat="1" ht="19.5" customHeight="1" x14ac:dyDescent="0.3">
      <c r="A8" s="21" t="s">
        <v>132</v>
      </c>
      <c r="B8" s="6">
        <v>300</v>
      </c>
      <c r="C8" s="82">
        <v>187.12</v>
      </c>
      <c r="D8" s="234">
        <v>600</v>
      </c>
      <c r="E8" s="11"/>
      <c r="F8" s="39">
        <v>1500</v>
      </c>
      <c r="G8" s="39">
        <v>1000</v>
      </c>
      <c r="H8" s="39">
        <v>940</v>
      </c>
      <c r="I8" s="39">
        <f>1200+600</f>
        <v>1800</v>
      </c>
      <c r="J8" s="39">
        <v>1800</v>
      </c>
      <c r="K8" s="39">
        <v>1700</v>
      </c>
      <c r="L8" s="39">
        <v>1672</v>
      </c>
      <c r="M8" s="39">
        <v>1849</v>
      </c>
      <c r="N8" s="39">
        <v>1483</v>
      </c>
      <c r="O8" s="39">
        <v>1806</v>
      </c>
      <c r="P8" s="39">
        <v>1800</v>
      </c>
      <c r="Q8" s="39">
        <v>1021</v>
      </c>
      <c r="R8" s="39">
        <v>900</v>
      </c>
      <c r="S8" s="39">
        <v>678</v>
      </c>
      <c r="T8" s="39">
        <v>642</v>
      </c>
      <c r="U8" s="39">
        <v>385</v>
      </c>
      <c r="V8" s="39">
        <f>335+AM8</f>
        <v>335</v>
      </c>
      <c r="W8" s="39">
        <v>600</v>
      </c>
      <c r="X8" s="39">
        <v>556</v>
      </c>
      <c r="Y8" s="39">
        <f>421+AL8</f>
        <v>421</v>
      </c>
      <c r="Z8" s="39">
        <v>385</v>
      </c>
      <c r="AA8" s="39"/>
      <c r="AB8" s="6"/>
      <c r="AC8" s="6"/>
      <c r="AD8" s="6"/>
      <c r="AE8" s="6"/>
      <c r="AF8" s="372">
        <f ca="1">AD8+IF(NOT(ISBLANK(OFFSET(AF8,0,6))),N(OFFSET(AF8,0,6)),N(OFFSET(AF8,0,7)))-AE8</f>
        <v>0</v>
      </c>
      <c r="AG8" s="11"/>
      <c r="AH8" s="78"/>
      <c r="AI8" s="78">
        <v>300</v>
      </c>
      <c r="AJ8" s="11"/>
      <c r="AK8" s="32"/>
      <c r="AL8" s="445">
        <v>0</v>
      </c>
      <c r="AM8" s="19">
        <v>0</v>
      </c>
      <c r="AN8" s="296"/>
      <c r="AO8" s="296"/>
      <c r="AP8" s="19">
        <v>300</v>
      </c>
      <c r="AQ8" s="19">
        <v>300</v>
      </c>
      <c r="AR8" s="19"/>
      <c r="AS8" s="19"/>
      <c r="AT8" s="19"/>
      <c r="AU8" s="19"/>
      <c r="AV8" s="19"/>
      <c r="AW8" s="19"/>
      <c r="AX8" s="19"/>
      <c r="AY8" s="19"/>
      <c r="AZ8" s="253" t="s">
        <v>235</v>
      </c>
      <c r="BA8" s="19"/>
      <c r="BB8" s="19">
        <v>300</v>
      </c>
      <c r="BC8" s="19"/>
      <c r="BD8" s="19">
        <v>600</v>
      </c>
      <c r="BE8" s="19">
        <v>300</v>
      </c>
      <c r="BF8" s="19">
        <v>300</v>
      </c>
      <c r="BG8" s="19">
        <v>600</v>
      </c>
      <c r="BI8" s="389" t="s">
        <v>130</v>
      </c>
      <c r="BJ8" s="376" t="s">
        <v>123</v>
      </c>
      <c r="BK8" s="13">
        <v>46118</v>
      </c>
      <c r="BL8" s="13">
        <v>46125</v>
      </c>
      <c r="BM8" s="13">
        <v>46132</v>
      </c>
      <c r="BN8" s="13">
        <v>46139</v>
      </c>
      <c r="BO8" s="13">
        <v>46146</v>
      </c>
      <c r="BP8" s="13">
        <v>46154</v>
      </c>
      <c r="BQ8" s="13">
        <v>46160</v>
      </c>
      <c r="BR8" s="13">
        <v>46161.480127939823</v>
      </c>
      <c r="BS8" s="13">
        <v>46161.480801562502</v>
      </c>
      <c r="BT8" s="13">
        <v>46161.482959050933</v>
      </c>
      <c r="BU8" s="13">
        <v>46161.483287616982</v>
      </c>
      <c r="BV8" s="35" t="s">
        <v>129</v>
      </c>
    </row>
    <row r="9" spans="1:74" s="3" customFormat="1" ht="19.5" customHeight="1" x14ac:dyDescent="0.3">
      <c r="A9" s="21" t="s">
        <v>134</v>
      </c>
      <c r="B9" s="6">
        <v>200</v>
      </c>
      <c r="C9" s="82">
        <v>193.08</v>
      </c>
      <c r="D9" s="234">
        <v>1200</v>
      </c>
      <c r="E9" s="11"/>
      <c r="F9" s="39">
        <v>1947</v>
      </c>
      <c r="G9" s="39">
        <v>1070</v>
      </c>
      <c r="H9" s="39">
        <v>783</v>
      </c>
      <c r="I9" s="39">
        <v>1037</v>
      </c>
      <c r="J9" s="39">
        <f>1582+AU9</f>
        <v>1582</v>
      </c>
      <c r="K9" s="39">
        <v>1425</v>
      </c>
      <c r="L9" s="39">
        <f>1200+AT9</f>
        <v>2400</v>
      </c>
      <c r="M9" s="39">
        <f>1310+AS9</f>
        <v>1310</v>
      </c>
      <c r="N9" s="39">
        <v>1400</v>
      </c>
      <c r="O9" s="39">
        <v>1105</v>
      </c>
      <c r="P9" s="39">
        <v>1213</v>
      </c>
      <c r="Q9" s="39">
        <v>643</v>
      </c>
      <c r="R9" s="39">
        <f>200+AP9</f>
        <v>600</v>
      </c>
      <c r="S9" s="39">
        <v>1054</v>
      </c>
      <c r="T9" s="39">
        <v>764</v>
      </c>
      <c r="U9" s="39">
        <v>472</v>
      </c>
      <c r="V9" s="39">
        <f>80+AM9</f>
        <v>80</v>
      </c>
      <c r="W9" s="39">
        <v>480</v>
      </c>
      <c r="X9" s="206">
        <v>557</v>
      </c>
      <c r="Y9" s="39">
        <f>557+AL9</f>
        <v>557</v>
      </c>
      <c r="Z9" s="39">
        <v>557</v>
      </c>
      <c r="AA9" s="39"/>
      <c r="AB9" s="6"/>
      <c r="AC9" s="6"/>
      <c r="AD9" s="6"/>
      <c r="AE9" s="6"/>
      <c r="AF9" s="372">
        <f ca="1">AD9+IF(NOT(ISBLANK(OFFSET(AF9,0,6))),N(OFFSET(AF9,0,6)),N(OFFSET(AF9,0,7)))-AE9</f>
        <v>0</v>
      </c>
      <c r="AG9" s="11"/>
      <c r="AH9" s="78"/>
      <c r="AI9" s="78"/>
      <c r="AJ9" s="11"/>
      <c r="AK9" s="32"/>
      <c r="AL9" s="446">
        <v>0</v>
      </c>
      <c r="AM9" s="296">
        <v>0</v>
      </c>
      <c r="AN9" s="296"/>
      <c r="AO9" s="296"/>
      <c r="AP9" s="296">
        <v>400</v>
      </c>
      <c r="AQ9" s="19">
        <v>400</v>
      </c>
      <c r="AR9" s="117">
        <v>3000</v>
      </c>
      <c r="AS9" s="19"/>
      <c r="AT9" s="19">
        <v>1200</v>
      </c>
      <c r="AU9" s="19"/>
      <c r="AV9" s="19">
        <v>400</v>
      </c>
      <c r="AW9" s="19">
        <v>400</v>
      </c>
      <c r="AX9" s="19">
        <v>600</v>
      </c>
      <c r="AY9" s="19">
        <v>400</v>
      </c>
      <c r="AZ9" s="19"/>
      <c r="BA9" s="19">
        <v>600</v>
      </c>
      <c r="BB9" s="19">
        <v>800</v>
      </c>
      <c r="BC9" s="19"/>
      <c r="BD9" s="19">
        <v>1400</v>
      </c>
      <c r="BE9" s="19">
        <v>800</v>
      </c>
      <c r="BF9" s="19"/>
      <c r="BG9" s="19"/>
      <c r="BI9" s="364" t="s">
        <v>136</v>
      </c>
      <c r="BJ9" s="135">
        <v>200</v>
      </c>
      <c r="BK9" s="39">
        <f>AN9</f>
        <v>0</v>
      </c>
      <c r="BL9" s="39">
        <v>3000</v>
      </c>
      <c r="BM9" s="39">
        <v>3000</v>
      </c>
      <c r="BN9" s="39">
        <v>2356</v>
      </c>
      <c r="BO9" s="39">
        <v>2178</v>
      </c>
      <c r="BP9" s="39">
        <v>1200</v>
      </c>
      <c r="BQ9" s="39"/>
      <c r="BR9" s="6"/>
      <c r="BS9" s="6"/>
      <c r="BT9" s="6"/>
      <c r="BU9" s="6"/>
      <c r="BV9" s="26">
        <f ca="1">BT9+IF(NOT(ISBLANK(OFFSET(BV9,0,6))),N(OFFSET(BV9,0,6)),N(OFFSET(BV9,0,7)))-BU9</f>
        <v>0</v>
      </c>
    </row>
    <row r="10" spans="1:74" s="3" customFormat="1" ht="19.5" customHeight="1" x14ac:dyDescent="0.3">
      <c r="A10" s="21" t="s">
        <v>137</v>
      </c>
      <c r="B10" s="6">
        <v>200</v>
      </c>
      <c r="C10" s="82">
        <v>253.83</v>
      </c>
      <c r="D10" s="234">
        <v>800</v>
      </c>
      <c r="E10" s="11"/>
      <c r="F10" s="39">
        <v>973</v>
      </c>
      <c r="G10" s="39">
        <v>262</v>
      </c>
      <c r="H10" s="39">
        <f>0+200</f>
        <v>200</v>
      </c>
      <c r="I10" s="39">
        <v>501</v>
      </c>
      <c r="J10" s="39">
        <f>1208+AU10</f>
        <v>1208</v>
      </c>
      <c r="K10" s="39">
        <v>1277</v>
      </c>
      <c r="L10" s="39">
        <v>1000</v>
      </c>
      <c r="M10" s="39">
        <f>1000+AS10</f>
        <v>1000</v>
      </c>
      <c r="N10" s="39">
        <v>1211</v>
      </c>
      <c r="O10" s="39">
        <v>1128</v>
      </c>
      <c r="P10" s="39">
        <v>1023</v>
      </c>
      <c r="Q10" s="39">
        <v>634</v>
      </c>
      <c r="R10" s="39">
        <f>437+AP10</f>
        <v>837</v>
      </c>
      <c r="S10" s="39">
        <v>600</v>
      </c>
      <c r="T10" s="39">
        <v>422</v>
      </c>
      <c r="U10" s="39">
        <v>245</v>
      </c>
      <c r="V10" s="39">
        <f>45+AM10</f>
        <v>45</v>
      </c>
      <c r="W10" s="39">
        <v>245</v>
      </c>
      <c r="X10" s="206">
        <v>349</v>
      </c>
      <c r="Y10" s="39">
        <f>349+AL10</f>
        <v>349</v>
      </c>
      <c r="Z10" s="39">
        <v>600</v>
      </c>
      <c r="AA10" s="39"/>
      <c r="AB10" s="6"/>
      <c r="AC10" s="6"/>
      <c r="AD10" s="6"/>
      <c r="AE10" s="6"/>
      <c r="AF10" s="372">
        <f ca="1">AD10+IF(NOT(ISBLANK(OFFSET(AF10,0,6))),N(OFFSET(AF10,0,6)),N(OFFSET(AF10,0,7)))-AE10</f>
        <v>0</v>
      </c>
      <c r="AG10" s="11"/>
      <c r="AH10" s="78"/>
      <c r="AI10" s="78"/>
      <c r="AJ10" s="11"/>
      <c r="AK10" s="32"/>
      <c r="AL10" s="446">
        <v>0</v>
      </c>
      <c r="AM10" s="296">
        <v>0</v>
      </c>
      <c r="AN10" s="296"/>
      <c r="AO10" s="296"/>
      <c r="AP10" s="296">
        <v>400</v>
      </c>
      <c r="AQ10" s="19">
        <v>200</v>
      </c>
      <c r="AR10" s="117">
        <v>1800</v>
      </c>
      <c r="AS10" s="19"/>
      <c r="AT10" s="19">
        <v>400</v>
      </c>
      <c r="AU10" s="19"/>
      <c r="AV10" s="19"/>
      <c r="AW10" s="19">
        <v>400</v>
      </c>
      <c r="AX10" s="19"/>
      <c r="AY10" s="19">
        <v>200</v>
      </c>
      <c r="AZ10" s="19"/>
      <c r="BA10" s="19">
        <v>800</v>
      </c>
      <c r="BB10" s="19">
        <v>400</v>
      </c>
      <c r="BC10" s="253" t="s">
        <v>236</v>
      </c>
      <c r="BD10" s="19">
        <v>800</v>
      </c>
      <c r="BE10" s="19"/>
      <c r="BF10" s="19"/>
      <c r="BG10" s="19"/>
      <c r="BI10" s="21" t="s">
        <v>138</v>
      </c>
      <c r="BJ10" s="6">
        <v>200</v>
      </c>
      <c r="BK10" s="39">
        <f>AN10</f>
        <v>0</v>
      </c>
      <c r="BL10" s="39">
        <v>1800</v>
      </c>
      <c r="BM10" s="39">
        <v>1800</v>
      </c>
      <c r="BN10" s="39">
        <v>1392</v>
      </c>
      <c r="BO10" s="39">
        <v>1184</v>
      </c>
      <c r="BP10" s="39">
        <v>0</v>
      </c>
      <c r="BQ10" s="39"/>
      <c r="BR10" s="6"/>
      <c r="BS10" s="6"/>
      <c r="BT10" s="6"/>
      <c r="BU10" s="6"/>
      <c r="BV10" s="26">
        <f ca="1">BT10+IF(NOT(ISBLANK(OFFSET(BV10,0,6))),N(OFFSET(BV10,0,6)),N(OFFSET(BV10,0,7)))-BU10</f>
        <v>0</v>
      </c>
    </row>
    <row r="11" spans="1:74" s="3" customFormat="1" ht="19.5" customHeight="1" x14ac:dyDescent="0.3">
      <c r="A11" s="22" t="s">
        <v>139</v>
      </c>
      <c r="B11" s="6">
        <v>100</v>
      </c>
      <c r="C11" s="82">
        <v>184.57</v>
      </c>
      <c r="D11" s="234">
        <v>150</v>
      </c>
      <c r="E11" s="11"/>
      <c r="F11" s="39">
        <v>116</v>
      </c>
      <c r="G11" s="39">
        <v>100</v>
      </c>
      <c r="H11" s="39">
        <v>100</v>
      </c>
      <c r="I11" s="39">
        <v>100</v>
      </c>
      <c r="J11" s="39">
        <f>100+AU11</f>
        <v>100</v>
      </c>
      <c r="K11" s="39">
        <v>350</v>
      </c>
      <c r="L11" s="39">
        <v>336</v>
      </c>
      <c r="M11" s="39">
        <v>336</v>
      </c>
      <c r="N11" s="39">
        <v>334</v>
      </c>
      <c r="O11" s="39">
        <v>312</v>
      </c>
      <c r="P11" s="39">
        <v>309</v>
      </c>
      <c r="Q11" s="39">
        <v>300</v>
      </c>
      <c r="R11" s="39">
        <v>300</v>
      </c>
      <c r="S11" s="39">
        <v>300</v>
      </c>
      <c r="T11" s="39">
        <v>300</v>
      </c>
      <c r="U11" s="39">
        <v>285</v>
      </c>
      <c r="V11" s="39">
        <v>274</v>
      </c>
      <c r="W11" s="39">
        <v>274</v>
      </c>
      <c r="X11" s="39">
        <v>269</v>
      </c>
      <c r="Y11" s="39">
        <v>235</v>
      </c>
      <c r="Z11" s="39">
        <v>200</v>
      </c>
      <c r="AA11" s="39"/>
      <c r="AB11" s="6"/>
      <c r="AC11" s="6"/>
      <c r="AD11" s="6"/>
      <c r="AE11" s="6"/>
      <c r="AF11" s="372">
        <f ca="1">AD11+IF(NOT(ISBLANK(OFFSET(AF11,0,6))),N(OFFSET(AF11,0,6)),N(OFFSET(AF11,0,7)))-AE11</f>
        <v>0</v>
      </c>
      <c r="AG11" s="11"/>
      <c r="AH11" s="78" t="s">
        <v>237</v>
      </c>
      <c r="AI11" s="78"/>
      <c r="AJ11" s="11"/>
      <c r="AK11" s="32"/>
      <c r="AL11" s="446">
        <v>0</v>
      </c>
      <c r="AM11" s="296">
        <v>0</v>
      </c>
      <c r="AN11" s="296"/>
      <c r="AO11" s="296"/>
      <c r="AP11" s="296">
        <v>0</v>
      </c>
      <c r="AQ11" s="19"/>
      <c r="AR11" s="117">
        <v>300</v>
      </c>
      <c r="AS11" s="19"/>
      <c r="AT11" s="19"/>
      <c r="AU11" s="19"/>
      <c r="AV11" s="19"/>
      <c r="AW11" s="19"/>
      <c r="AX11" s="19"/>
      <c r="AY11" s="19">
        <v>200</v>
      </c>
      <c r="AZ11" s="19"/>
      <c r="BA11" s="19"/>
      <c r="BB11" s="19">
        <v>100</v>
      </c>
      <c r="BC11" s="19"/>
      <c r="BD11" s="19"/>
      <c r="BE11" s="19"/>
      <c r="BF11" s="19"/>
      <c r="BG11" s="19"/>
      <c r="BI11" s="22" t="s">
        <v>140</v>
      </c>
      <c r="BJ11" s="6">
        <v>100</v>
      </c>
      <c r="BK11" s="39">
        <f>AN11</f>
        <v>0</v>
      </c>
      <c r="BL11" s="39">
        <v>300</v>
      </c>
      <c r="BM11" s="39">
        <v>300</v>
      </c>
      <c r="BN11" s="39">
        <v>225</v>
      </c>
      <c r="BO11" s="39">
        <v>200</v>
      </c>
      <c r="BP11" s="39">
        <v>136</v>
      </c>
      <c r="BQ11" s="39"/>
      <c r="BR11" s="6"/>
      <c r="BS11" s="6"/>
      <c r="BT11" s="6"/>
      <c r="BU11" s="6"/>
      <c r="BV11" s="26">
        <f ca="1">BT11+IF(NOT(ISBLANK(OFFSET(BV11,0,6))),N(OFFSET(BV11,0,6)),N(OFFSET(BV11,0,7)))-BU11</f>
        <v>0</v>
      </c>
    </row>
    <row r="12" spans="1:74" s="3" customFormat="1" ht="16.5" customHeight="1" x14ac:dyDescent="0.3">
      <c r="A12" s="23"/>
      <c r="B12" s="1"/>
      <c r="C12" s="64"/>
      <c r="D12" s="235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1"/>
      <c r="AC12" s="1"/>
      <c r="AD12" s="1"/>
      <c r="AE12" s="1"/>
      <c r="AF12" s="2"/>
      <c r="AG12" s="11"/>
      <c r="AH12" s="342"/>
      <c r="AI12" s="342"/>
      <c r="AJ12" s="11"/>
      <c r="AK12" s="33"/>
      <c r="AL12" s="388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A12" s="75"/>
      <c r="BB12" s="75"/>
      <c r="BC12" s="75"/>
      <c r="BD12" s="75"/>
      <c r="BE12" s="75"/>
      <c r="BF12" s="75"/>
      <c r="BG12" s="75"/>
      <c r="BI12" s="23"/>
      <c r="BJ12" s="1"/>
      <c r="BK12" s="2"/>
      <c r="BL12" s="2"/>
      <c r="BM12" s="2"/>
      <c r="BN12" s="2"/>
      <c r="BO12" s="2"/>
      <c r="BP12" s="2"/>
      <c r="BQ12" s="2"/>
      <c r="BR12" s="1"/>
      <c r="BS12" s="1"/>
      <c r="BT12" s="1"/>
      <c r="BU12" s="1"/>
    </row>
    <row r="13" spans="1:74" s="3" customFormat="1" ht="18.75" x14ac:dyDescent="0.3">
      <c r="A13" s="24" t="s">
        <v>141</v>
      </c>
      <c r="B13" s="12"/>
      <c r="C13" s="65"/>
      <c r="D13" s="395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13">
        <v>46160</v>
      </c>
      <c r="AB13" s="13">
        <v>46161.480128368057</v>
      </c>
      <c r="AC13" s="13">
        <v>46161.480801979167</v>
      </c>
      <c r="AD13" s="13">
        <v>46161.482959444453</v>
      </c>
      <c r="AE13" s="13">
        <v>46161.483287970048</v>
      </c>
      <c r="AF13" s="35" t="s">
        <v>129</v>
      </c>
      <c r="AG13" s="7"/>
      <c r="AH13" s="29" t="s">
        <v>126</v>
      </c>
      <c r="AI13" s="29" t="s">
        <v>126</v>
      </c>
      <c r="AJ13" s="11"/>
      <c r="AK13" s="9" t="s">
        <v>127</v>
      </c>
      <c r="AL13" s="449">
        <v>46161.483287228693</v>
      </c>
      <c r="AM13" s="363">
        <v>46156</v>
      </c>
      <c r="AN13" s="339">
        <v>46148</v>
      </c>
      <c r="AO13" s="339">
        <v>46148</v>
      </c>
      <c r="AP13" s="363">
        <v>46142</v>
      </c>
      <c r="AQ13" s="363">
        <v>46114</v>
      </c>
      <c r="AR13" s="409">
        <v>46065</v>
      </c>
      <c r="AS13" s="363">
        <v>46099</v>
      </c>
      <c r="AT13" s="363">
        <v>46092</v>
      </c>
      <c r="AU13" s="363">
        <v>46084</v>
      </c>
      <c r="AV13" s="363">
        <v>46071</v>
      </c>
      <c r="AW13" s="363">
        <v>46056</v>
      </c>
      <c r="AX13" s="363">
        <v>46048</v>
      </c>
      <c r="AY13" s="363">
        <v>46035</v>
      </c>
      <c r="AZ13" s="371">
        <v>46037</v>
      </c>
      <c r="BA13" s="363">
        <v>46024</v>
      </c>
      <c r="BB13" s="363">
        <v>46017</v>
      </c>
      <c r="BC13" s="371">
        <v>46027</v>
      </c>
      <c r="BD13" s="363">
        <v>46007</v>
      </c>
      <c r="BE13" s="363">
        <v>46001</v>
      </c>
      <c r="BF13" s="363">
        <v>45994</v>
      </c>
      <c r="BG13" s="363">
        <v>45986</v>
      </c>
      <c r="BI13" s="389" t="s">
        <v>141</v>
      </c>
      <c r="BJ13" s="376" t="s">
        <v>123</v>
      </c>
      <c r="BK13" s="13">
        <v>46118</v>
      </c>
      <c r="BL13" s="13">
        <v>46125</v>
      </c>
      <c r="BM13" s="13">
        <v>46132</v>
      </c>
      <c r="BN13" s="13">
        <v>46139</v>
      </c>
      <c r="BO13" s="13">
        <v>46146</v>
      </c>
      <c r="BP13" s="13">
        <v>46154</v>
      </c>
      <c r="BQ13" s="13">
        <v>46160</v>
      </c>
      <c r="BR13" s="13">
        <v>46161.480127939823</v>
      </c>
      <c r="BS13" s="13">
        <v>46161.480801562502</v>
      </c>
      <c r="BT13" s="13">
        <v>46161.482959050933</v>
      </c>
      <c r="BU13" s="13">
        <v>46161.483287617259</v>
      </c>
      <c r="BV13" s="35" t="s">
        <v>129</v>
      </c>
    </row>
    <row r="14" spans="1:74" s="3" customFormat="1" ht="18.75" x14ac:dyDescent="0.3">
      <c r="A14" s="25" t="s">
        <v>224</v>
      </c>
      <c r="B14" s="6">
        <v>500</v>
      </c>
      <c r="C14" s="66">
        <v>99.26</v>
      </c>
      <c r="D14" s="234">
        <v>7</v>
      </c>
      <c r="E14" s="7"/>
      <c r="F14" s="122">
        <v>5</v>
      </c>
      <c r="G14" s="122">
        <v>4</v>
      </c>
      <c r="H14" s="122">
        <v>3</v>
      </c>
      <c r="I14" s="122">
        <v>7</v>
      </c>
      <c r="J14" s="122">
        <v>16</v>
      </c>
      <c r="K14" s="122">
        <v>15</v>
      </c>
      <c r="L14" s="122">
        <v>14</v>
      </c>
      <c r="M14" s="122">
        <v>11</v>
      </c>
      <c r="N14" s="122">
        <v>10</v>
      </c>
      <c r="O14" s="122">
        <v>8</v>
      </c>
      <c r="P14" s="122">
        <v>8</v>
      </c>
      <c r="Q14" s="122">
        <v>3</v>
      </c>
      <c r="R14" s="122">
        <f>1+AP14</f>
        <v>6</v>
      </c>
      <c r="S14" s="122">
        <v>8</v>
      </c>
      <c r="T14" s="122">
        <v>7</v>
      </c>
      <c r="U14" s="122">
        <v>5</v>
      </c>
      <c r="V14" s="122">
        <f>4+AM14</f>
        <v>4</v>
      </c>
      <c r="W14" s="122">
        <v>9</v>
      </c>
      <c r="X14" s="122">
        <v>9</v>
      </c>
      <c r="Y14" s="122">
        <f>7+AL14-3</f>
        <v>4</v>
      </c>
      <c r="Z14" s="122">
        <v>9</v>
      </c>
      <c r="AA14" s="122"/>
      <c r="AB14" s="83"/>
      <c r="AC14" s="83"/>
      <c r="AD14" s="83"/>
      <c r="AE14" s="83"/>
      <c r="AF14" s="372">
        <f ca="1">AD14+IF(NOT(ISBLANK(OFFSET(AF14,0,6))),N(OFFSET(AF14,0,6)),N(OFFSET(AF14,0,7)))-AE14</f>
        <v>0</v>
      </c>
      <c r="AG14" s="7"/>
      <c r="AH14" s="78"/>
      <c r="AI14" s="78"/>
      <c r="AJ14" s="7"/>
      <c r="AK14" s="393"/>
      <c r="AL14" s="450">
        <v>0</v>
      </c>
      <c r="AM14" s="296">
        <v>0</v>
      </c>
      <c r="AN14" s="253" t="s">
        <v>238</v>
      </c>
      <c r="AO14" s="296"/>
      <c r="AP14" s="296">
        <v>5</v>
      </c>
      <c r="AQ14" s="19">
        <v>5</v>
      </c>
      <c r="AR14" s="117">
        <v>15</v>
      </c>
      <c r="AS14" s="19"/>
      <c r="AT14" s="19">
        <v>10</v>
      </c>
      <c r="AU14" s="19"/>
      <c r="AV14" s="19"/>
      <c r="AW14" s="19"/>
      <c r="AX14" s="19"/>
      <c r="AY14" s="19"/>
      <c r="AZ14" s="19"/>
      <c r="BA14" s="19">
        <v>10</v>
      </c>
      <c r="BB14" s="19">
        <v>4</v>
      </c>
      <c r="BC14" s="19"/>
      <c r="BD14" s="19">
        <v>3</v>
      </c>
      <c r="BE14" s="19"/>
      <c r="BF14" s="19"/>
      <c r="BG14" s="19"/>
      <c r="BI14" s="364" t="s">
        <v>143</v>
      </c>
      <c r="BJ14" s="135">
        <v>200</v>
      </c>
      <c r="BK14" s="39" t="str">
        <f>AN14</f>
        <v>03 P/ ERJ</v>
      </c>
      <c r="BL14" s="39">
        <v>15</v>
      </c>
      <c r="BM14" s="39">
        <v>15</v>
      </c>
      <c r="BN14" s="39">
        <v>10</v>
      </c>
      <c r="BO14" s="39">
        <v>8</v>
      </c>
      <c r="BP14" s="39">
        <v>0</v>
      </c>
      <c r="BQ14" s="39"/>
      <c r="BR14" s="6"/>
      <c r="BS14" s="6"/>
      <c r="BT14" s="6"/>
      <c r="BU14" s="6"/>
      <c r="BV14" s="26">
        <f ca="1">BT14+IF(NOT(ISBLANK(OFFSET(BV14,0,6))),N(OFFSET(BV14,0,6)),N(OFFSET(BV14,0,7)))-BU14</f>
        <v>0</v>
      </c>
    </row>
    <row r="15" spans="1:74" s="3" customFormat="1" ht="18.75" x14ac:dyDescent="0.3">
      <c r="A15" s="25" t="s">
        <v>225</v>
      </c>
      <c r="B15" s="6">
        <v>2000</v>
      </c>
      <c r="C15" s="66">
        <v>55.36</v>
      </c>
      <c r="D15" s="234">
        <v>2</v>
      </c>
      <c r="E15" s="7"/>
      <c r="F15" s="122">
        <v>8</v>
      </c>
      <c r="G15" s="122">
        <v>11</v>
      </c>
      <c r="H15" s="122">
        <v>11</v>
      </c>
      <c r="I15" s="122">
        <v>9</v>
      </c>
      <c r="J15" s="122">
        <v>11</v>
      </c>
      <c r="K15" s="122">
        <v>11</v>
      </c>
      <c r="L15" s="122">
        <v>11</v>
      </c>
      <c r="M15" s="122">
        <v>11</v>
      </c>
      <c r="N15" s="122">
        <v>7</v>
      </c>
      <c r="O15" s="122">
        <v>10</v>
      </c>
      <c r="P15" s="122">
        <v>10</v>
      </c>
      <c r="Q15" s="122">
        <v>9</v>
      </c>
      <c r="R15" s="122">
        <v>9</v>
      </c>
      <c r="S15" s="122">
        <v>9</v>
      </c>
      <c r="T15" s="122">
        <v>9</v>
      </c>
      <c r="U15" s="122">
        <v>8</v>
      </c>
      <c r="V15" s="122">
        <v>7</v>
      </c>
      <c r="W15" s="122">
        <v>7</v>
      </c>
      <c r="X15" s="122">
        <v>7</v>
      </c>
      <c r="Y15" s="122">
        <v>6</v>
      </c>
      <c r="Z15" s="122">
        <v>5</v>
      </c>
      <c r="AA15" s="122"/>
      <c r="AB15" s="83"/>
      <c r="AC15" s="83"/>
      <c r="AD15" s="83"/>
      <c r="AE15" s="83"/>
      <c r="AF15" s="372">
        <f ca="1">AD15+IF(NOT(ISBLANK(OFFSET(AF15,0,6))),N(OFFSET(AF15,0,6)),N(OFFSET(AF15,0,7)))-AE15</f>
        <v>0</v>
      </c>
      <c r="AG15" s="7"/>
      <c r="AH15" s="78"/>
      <c r="AI15" s="78"/>
      <c r="AJ15" s="7"/>
      <c r="AK15" s="32"/>
      <c r="AL15" s="450">
        <v>0</v>
      </c>
      <c r="AM15" s="296">
        <v>0</v>
      </c>
      <c r="AN15" s="296"/>
      <c r="AO15" s="296"/>
      <c r="AP15" s="296">
        <v>0</v>
      </c>
      <c r="AQ15" s="19"/>
      <c r="AR15" s="117">
        <v>6</v>
      </c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>
        <v>8</v>
      </c>
      <c r="BE15" s="19">
        <v>3</v>
      </c>
      <c r="BF15" s="19">
        <v>2</v>
      </c>
      <c r="BG15" s="19"/>
      <c r="BI15" s="21" t="s">
        <v>146</v>
      </c>
      <c r="BJ15" s="6">
        <v>200</v>
      </c>
      <c r="BK15" s="39">
        <f>AN15</f>
        <v>0</v>
      </c>
      <c r="BL15" s="39">
        <v>6</v>
      </c>
      <c r="BM15" s="39">
        <v>6</v>
      </c>
      <c r="BN15" s="39">
        <v>4</v>
      </c>
      <c r="BO15" s="39">
        <v>4</v>
      </c>
      <c r="BP15" s="39">
        <v>0</v>
      </c>
      <c r="BQ15" s="39"/>
      <c r="BR15" s="6"/>
      <c r="BS15" s="6"/>
      <c r="BT15" s="6"/>
      <c r="BU15" s="6"/>
      <c r="BV15" s="26">
        <f ca="1">BT15+IF(NOT(ISBLANK(OFFSET(BV15,0,6))),N(OFFSET(BV15,0,6)),N(OFFSET(BV15,0,7)))-BU15</f>
        <v>0</v>
      </c>
    </row>
    <row r="16" spans="1:74" s="3" customFormat="1" ht="18.75" x14ac:dyDescent="0.25">
      <c r="A16" s="25" t="s">
        <v>147</v>
      </c>
      <c r="B16" s="6">
        <v>200</v>
      </c>
      <c r="C16" s="66">
        <v>10.28</v>
      </c>
      <c r="D16" s="234">
        <v>6</v>
      </c>
      <c r="E16" s="1"/>
      <c r="F16" s="122">
        <v>11</v>
      </c>
      <c r="G16" s="122">
        <v>8</v>
      </c>
      <c r="H16" s="122">
        <v>7</v>
      </c>
      <c r="I16" s="122">
        <v>6</v>
      </c>
      <c r="J16" s="122">
        <v>11</v>
      </c>
      <c r="K16" s="122">
        <v>11</v>
      </c>
      <c r="L16" s="122">
        <v>9</v>
      </c>
      <c r="M16" s="122">
        <v>8</v>
      </c>
      <c r="N16" s="122">
        <v>7</v>
      </c>
      <c r="O16" s="122">
        <v>7</v>
      </c>
      <c r="P16" s="122">
        <v>6</v>
      </c>
      <c r="Q16" s="122">
        <v>5</v>
      </c>
      <c r="R16" s="122">
        <v>4</v>
      </c>
      <c r="S16" s="122">
        <v>4</v>
      </c>
      <c r="T16" s="122">
        <v>3</v>
      </c>
      <c r="U16" s="122">
        <v>2</v>
      </c>
      <c r="V16" s="122">
        <v>2</v>
      </c>
      <c r="W16" s="122">
        <v>2</v>
      </c>
      <c r="X16" s="122">
        <v>0</v>
      </c>
      <c r="Y16" s="122">
        <f>0+AL16+5+4-3</f>
        <v>6</v>
      </c>
      <c r="Z16" s="122">
        <v>12</v>
      </c>
      <c r="AA16" s="122"/>
      <c r="AB16" s="83"/>
      <c r="AC16" s="83"/>
      <c r="AD16" s="83"/>
      <c r="AE16" s="83"/>
      <c r="AF16" s="372">
        <f ca="1">AD16+IF(NOT(ISBLANK(OFFSET(AF16,0,6))),N(OFFSET(AF16,0,6)),N(OFFSET(AF16,0,7)))-AE16</f>
        <v>0</v>
      </c>
      <c r="AG16" s="1"/>
      <c r="AH16" s="78" t="s">
        <v>239</v>
      </c>
      <c r="AI16" s="78"/>
      <c r="AJ16" s="1"/>
      <c r="AK16" s="32"/>
      <c r="AL16" s="445">
        <v>0</v>
      </c>
      <c r="AM16" s="19">
        <v>0</v>
      </c>
      <c r="AN16" s="253" t="s">
        <v>238</v>
      </c>
      <c r="AO16" s="253" t="s">
        <v>240</v>
      </c>
      <c r="AP16" s="19">
        <v>6</v>
      </c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>
        <v>4</v>
      </c>
      <c r="BB16" s="19"/>
      <c r="BC16" s="19"/>
      <c r="BD16" s="19">
        <v>6</v>
      </c>
      <c r="BE16" s="19"/>
      <c r="BF16" s="19"/>
      <c r="BG16" s="19">
        <v>6</v>
      </c>
    </row>
    <row r="17" spans="1:74" s="3" customFormat="1" ht="18.75" x14ac:dyDescent="0.25">
      <c r="A17" s="25" t="s">
        <v>148</v>
      </c>
      <c r="B17" s="6">
        <v>3000</v>
      </c>
      <c r="C17" s="66">
        <v>71.8</v>
      </c>
      <c r="D17" s="234">
        <v>4</v>
      </c>
      <c r="E17" s="1"/>
      <c r="F17" s="122">
        <v>5</v>
      </c>
      <c r="G17" s="122">
        <v>8</v>
      </c>
      <c r="H17" s="122">
        <v>7</v>
      </c>
      <c r="I17" s="122">
        <v>11</v>
      </c>
      <c r="J17" s="122">
        <v>11</v>
      </c>
      <c r="K17" s="122">
        <v>11</v>
      </c>
      <c r="L17" s="122">
        <v>10</v>
      </c>
      <c r="M17" s="122">
        <v>8</v>
      </c>
      <c r="N17" s="122">
        <v>8</v>
      </c>
      <c r="O17" s="122">
        <v>8</v>
      </c>
      <c r="P17" s="122">
        <v>7</v>
      </c>
      <c r="Q17" s="122">
        <v>6</v>
      </c>
      <c r="R17" s="122">
        <v>6</v>
      </c>
      <c r="S17" s="122">
        <v>5</v>
      </c>
      <c r="T17" s="122">
        <v>4</v>
      </c>
      <c r="U17" s="122">
        <v>3</v>
      </c>
      <c r="V17" s="122">
        <f>2+AM17</f>
        <v>2</v>
      </c>
      <c r="W17" s="122">
        <v>4</v>
      </c>
      <c r="X17" s="122">
        <v>4</v>
      </c>
      <c r="Y17" s="122">
        <v>3</v>
      </c>
      <c r="Z17" s="122">
        <v>2</v>
      </c>
      <c r="AA17" s="122"/>
      <c r="AB17" s="83"/>
      <c r="AC17" s="83"/>
      <c r="AD17" s="83"/>
      <c r="AE17" s="83"/>
      <c r="AF17" s="372">
        <f ca="1">AD17+IF(NOT(ISBLANK(OFFSET(AF17,0,6))),N(OFFSET(AF17,0,6)),N(OFFSET(AF17,0,7)))-AE17</f>
        <v>0</v>
      </c>
      <c r="AG17" s="1"/>
      <c r="AH17" s="78"/>
      <c r="AI17" s="78">
        <v>2</v>
      </c>
      <c r="AJ17" s="1"/>
      <c r="AK17" s="32"/>
      <c r="AL17" s="445">
        <v>0</v>
      </c>
      <c r="AM17" s="19">
        <v>0</v>
      </c>
      <c r="AN17" s="19"/>
      <c r="AO17" s="19"/>
      <c r="AP17" s="19">
        <v>0</v>
      </c>
      <c r="AQ17" s="19">
        <v>2</v>
      </c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>
        <v>5</v>
      </c>
      <c r="BC17" s="19"/>
      <c r="BD17" s="19"/>
      <c r="BE17" s="19">
        <v>6</v>
      </c>
      <c r="BF17" s="19">
        <v>4</v>
      </c>
      <c r="BG17" s="19">
        <v>2</v>
      </c>
    </row>
    <row r="18" spans="1:74" s="3" customFormat="1" ht="14.25" customHeight="1" x14ac:dyDescent="0.25">
      <c r="A18" s="23"/>
      <c r="D18" s="235"/>
      <c r="AH18" s="390"/>
      <c r="AI18" s="390"/>
      <c r="AK18" s="344"/>
      <c r="AL18" s="388"/>
      <c r="AM18" s="388"/>
      <c r="AN18" s="388"/>
      <c r="AO18" s="388"/>
      <c r="AP18" s="388"/>
      <c r="AQ18" s="388"/>
      <c r="AR18" s="388"/>
      <c r="AS18" s="388"/>
      <c r="AT18" s="388"/>
      <c r="AU18" s="388"/>
      <c r="AV18" s="388"/>
      <c r="AW18" s="388"/>
      <c r="AX18" s="388"/>
      <c r="AY18" s="388"/>
      <c r="AZ18" s="388"/>
      <c r="BA18" s="388"/>
      <c r="BB18" s="388"/>
      <c r="BC18" s="388"/>
      <c r="BD18" s="388"/>
      <c r="BE18" s="388"/>
      <c r="BF18" s="388"/>
      <c r="BG18" s="388"/>
    </row>
    <row r="19" spans="1:74" s="3" customFormat="1" ht="18.75" x14ac:dyDescent="0.3">
      <c r="A19" s="24" t="s">
        <v>150</v>
      </c>
      <c r="B19" s="12"/>
      <c r="C19" s="61"/>
      <c r="D19" s="395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13">
        <v>46160</v>
      </c>
      <c r="AB19" s="13">
        <v>46161.480128368057</v>
      </c>
      <c r="AC19" s="13">
        <v>46161.480801979167</v>
      </c>
      <c r="AD19" s="13">
        <v>46161.482959444453</v>
      </c>
      <c r="AE19" s="13">
        <v>46161.483287970193</v>
      </c>
      <c r="AF19" s="35" t="s">
        <v>129</v>
      </c>
      <c r="AG19" s="1"/>
      <c r="AH19" s="29" t="s">
        <v>126</v>
      </c>
      <c r="AI19" s="29" t="s">
        <v>126</v>
      </c>
      <c r="AJ19" s="11"/>
      <c r="AK19" s="9" t="s">
        <v>127</v>
      </c>
      <c r="AL19" s="363">
        <v>46161.483287229014</v>
      </c>
      <c r="AM19" s="363">
        <v>46156</v>
      </c>
      <c r="AN19" s="339">
        <v>46148</v>
      </c>
      <c r="AO19" s="339">
        <v>46148</v>
      </c>
      <c r="AP19" s="363">
        <v>46142</v>
      </c>
      <c r="AQ19" s="363">
        <v>46114</v>
      </c>
      <c r="AR19" s="409">
        <v>46065</v>
      </c>
      <c r="AS19" s="363">
        <v>46099</v>
      </c>
      <c r="AT19" s="363">
        <v>46092</v>
      </c>
      <c r="AU19" s="363">
        <v>46084</v>
      </c>
      <c r="AV19" s="363">
        <v>46071</v>
      </c>
      <c r="AW19" s="363">
        <v>46056</v>
      </c>
      <c r="AX19" s="363">
        <v>46048</v>
      </c>
      <c r="AY19" s="363">
        <v>46035</v>
      </c>
      <c r="AZ19" s="371">
        <v>46037</v>
      </c>
      <c r="BA19" s="363">
        <v>46024</v>
      </c>
      <c r="BB19" s="363">
        <v>46017</v>
      </c>
      <c r="BC19" s="371">
        <v>46027</v>
      </c>
      <c r="BD19" s="363">
        <v>46007</v>
      </c>
      <c r="BE19" s="363">
        <v>46001</v>
      </c>
      <c r="BF19" s="363">
        <v>45994</v>
      </c>
      <c r="BG19" s="363">
        <v>45986</v>
      </c>
      <c r="BI19" s="389" t="s">
        <v>150</v>
      </c>
      <c r="BJ19" s="376" t="s">
        <v>123</v>
      </c>
      <c r="BK19" s="13">
        <v>46118</v>
      </c>
      <c r="BL19" s="13">
        <v>46125</v>
      </c>
      <c r="BM19" s="13">
        <v>46132</v>
      </c>
      <c r="BN19" s="13">
        <v>46139</v>
      </c>
      <c r="BO19" s="13">
        <v>46146</v>
      </c>
      <c r="BP19" s="13">
        <v>46154</v>
      </c>
      <c r="BQ19" s="13">
        <v>46160</v>
      </c>
      <c r="BR19" s="13">
        <v>46161.480127939823</v>
      </c>
      <c r="BS19" s="13">
        <v>46161.480801562502</v>
      </c>
      <c r="BT19" s="13">
        <v>46161.482959050933</v>
      </c>
      <c r="BU19" s="13">
        <v>46161.483287617397</v>
      </c>
      <c r="BV19" s="35" t="s">
        <v>129</v>
      </c>
    </row>
    <row r="20" spans="1:74" s="3" customFormat="1" ht="18" customHeight="1" x14ac:dyDescent="0.25">
      <c r="A20" s="25" t="s">
        <v>153</v>
      </c>
      <c r="B20" s="6">
        <v>150</v>
      </c>
      <c r="C20" s="82">
        <v>334.31</v>
      </c>
      <c r="D20" s="234">
        <v>200</v>
      </c>
      <c r="E20" s="1"/>
      <c r="F20" s="27">
        <v>458</v>
      </c>
      <c r="G20" s="27">
        <v>455</v>
      </c>
      <c r="H20" s="27">
        <v>455</v>
      </c>
      <c r="I20" s="27">
        <v>455</v>
      </c>
      <c r="J20" s="27">
        <v>283</v>
      </c>
      <c r="K20" s="27">
        <v>290</v>
      </c>
      <c r="L20" s="27">
        <v>204</v>
      </c>
      <c r="M20" s="27">
        <v>312</v>
      </c>
      <c r="N20" s="27">
        <v>299</v>
      </c>
      <c r="O20" s="27">
        <v>288</v>
      </c>
      <c r="P20" s="27">
        <v>264</v>
      </c>
      <c r="Q20" s="27">
        <v>221</v>
      </c>
      <c r="R20" s="27">
        <v>174</v>
      </c>
      <c r="S20" s="27">
        <f>172+AO20</f>
        <v>172</v>
      </c>
      <c r="T20" s="27">
        <v>283</v>
      </c>
      <c r="U20" s="27"/>
      <c r="V20" s="27"/>
      <c r="W20" s="27"/>
      <c r="X20" s="27">
        <v>243</v>
      </c>
      <c r="Y20" s="27">
        <v>243</v>
      </c>
      <c r="Z20" s="27">
        <v>243</v>
      </c>
      <c r="AA20" s="27">
        <v>217</v>
      </c>
      <c r="AB20" s="451">
        <v>217</v>
      </c>
      <c r="AC20" s="451">
        <v>217</v>
      </c>
      <c r="AD20" s="451">
        <v>217</v>
      </c>
      <c r="AE20" s="451">
        <v>217</v>
      </c>
      <c r="AF20" s="372">
        <f ca="1">AD20+IF(NOT(ISBLANK(OFFSET(AF20,0,6))),N(OFFSET(AF20,0,6)),N(OFFSET(AF20,0,7)))-AE20</f>
        <v>0</v>
      </c>
      <c r="AG20" s="1"/>
      <c r="AH20" s="78"/>
      <c r="AI20" s="78"/>
      <c r="AJ20" s="1"/>
      <c r="AK20" s="32"/>
      <c r="AL20" s="445">
        <v>0</v>
      </c>
      <c r="AM20" s="19">
        <v>0</v>
      </c>
      <c r="AN20" s="19"/>
      <c r="AO20" s="19"/>
      <c r="AP20" s="19">
        <v>0</v>
      </c>
      <c r="AQ20" s="19"/>
      <c r="AR20" s="117">
        <v>150</v>
      </c>
      <c r="AS20" s="19">
        <v>150</v>
      </c>
      <c r="AT20" s="19"/>
      <c r="AU20" s="19"/>
      <c r="AV20" s="19"/>
      <c r="AW20" s="19">
        <v>150</v>
      </c>
      <c r="AX20" s="19"/>
      <c r="AY20" s="19"/>
      <c r="AZ20" s="19"/>
      <c r="BA20" s="19"/>
      <c r="BB20" s="19"/>
      <c r="BC20" s="19"/>
      <c r="BD20" s="19">
        <v>300</v>
      </c>
      <c r="BE20" s="19"/>
      <c r="BF20" s="19"/>
      <c r="BG20" s="19"/>
      <c r="BI20" s="364" t="s">
        <v>154</v>
      </c>
      <c r="BJ20" s="135">
        <v>150</v>
      </c>
      <c r="BK20" s="39">
        <f>AN20</f>
        <v>0</v>
      </c>
      <c r="BL20" s="39"/>
      <c r="BM20" s="39"/>
      <c r="BN20" s="39">
        <v>117</v>
      </c>
      <c r="BO20" s="39">
        <v>97</v>
      </c>
      <c r="BP20" s="39">
        <v>10</v>
      </c>
      <c r="BQ20" s="39">
        <v>3</v>
      </c>
      <c r="BR20" s="6"/>
      <c r="BS20" s="6"/>
      <c r="BT20" s="6"/>
      <c r="BU20" s="6"/>
      <c r="BV20" s="26">
        <f ca="1">BT20+IF(NOT(ISBLANK(OFFSET(BV20,0,6))),N(OFFSET(BV20,0,6)),N(OFFSET(BV20,0,7)))-BU20</f>
        <v>0</v>
      </c>
    </row>
    <row r="21" spans="1:74" s="3" customFormat="1" ht="18.75" customHeight="1" x14ac:dyDescent="0.25">
      <c r="A21" s="25" t="s">
        <v>155</v>
      </c>
      <c r="B21" s="6">
        <v>100</v>
      </c>
      <c r="C21" s="81">
        <v>292.25</v>
      </c>
      <c r="D21" s="236">
        <v>200</v>
      </c>
      <c r="E21" s="1"/>
      <c r="F21" s="27">
        <v>349</v>
      </c>
      <c r="G21" s="27">
        <v>347</v>
      </c>
      <c r="H21" s="27">
        <v>347</v>
      </c>
      <c r="I21" s="27">
        <v>347</v>
      </c>
      <c r="J21" s="27">
        <v>241</v>
      </c>
      <c r="K21" s="27">
        <v>202</v>
      </c>
      <c r="L21" s="27">
        <v>98</v>
      </c>
      <c r="M21" s="27">
        <v>287</v>
      </c>
      <c r="N21" s="27">
        <v>271</v>
      </c>
      <c r="O21" s="27">
        <v>239</v>
      </c>
      <c r="P21" s="27">
        <v>206</v>
      </c>
      <c r="Q21" s="27">
        <v>146</v>
      </c>
      <c r="R21" s="27">
        <f>94+AP21</f>
        <v>94</v>
      </c>
      <c r="S21" s="27">
        <v>268</v>
      </c>
      <c r="T21" s="27">
        <v>249</v>
      </c>
      <c r="U21" s="27"/>
      <c r="V21" s="27"/>
      <c r="W21" s="27"/>
      <c r="X21" s="27">
        <v>300</v>
      </c>
      <c r="Y21" s="27">
        <v>300</v>
      </c>
      <c r="Z21" s="27">
        <v>170</v>
      </c>
      <c r="AA21" s="27">
        <v>130</v>
      </c>
      <c r="AB21" s="451">
        <v>130</v>
      </c>
      <c r="AC21" s="451">
        <v>130</v>
      </c>
      <c r="AD21" s="451">
        <v>130</v>
      </c>
      <c r="AE21" s="451">
        <v>130</v>
      </c>
      <c r="AF21" s="372">
        <f ca="1">AD21+IF(NOT(ISBLANK(OFFSET(AF21,0,6))),N(OFFSET(AF21,0,6)),N(OFFSET(AF21,0,7)))-AE21</f>
        <v>0</v>
      </c>
      <c r="AG21" s="1"/>
      <c r="AH21" s="78"/>
      <c r="AI21" s="78">
        <v>100</v>
      </c>
      <c r="AJ21" s="1"/>
      <c r="AK21" s="32"/>
      <c r="AL21" s="445">
        <v>0</v>
      </c>
      <c r="AM21" s="19">
        <v>0</v>
      </c>
      <c r="AN21" s="19"/>
      <c r="AO21" s="19"/>
      <c r="AP21" s="19">
        <v>0</v>
      </c>
      <c r="AQ21" s="19">
        <v>100</v>
      </c>
      <c r="AR21" s="117">
        <v>200</v>
      </c>
      <c r="AS21" s="19"/>
      <c r="AT21" s="19">
        <v>200</v>
      </c>
      <c r="AU21" s="19"/>
      <c r="AV21" s="19"/>
      <c r="AW21" s="19">
        <v>200</v>
      </c>
      <c r="AX21" s="19"/>
      <c r="AY21" s="19"/>
      <c r="AZ21" s="19"/>
      <c r="BA21" s="19"/>
      <c r="BB21" s="19"/>
      <c r="BC21" s="19"/>
      <c r="BD21" s="19">
        <v>100</v>
      </c>
      <c r="BE21" s="19"/>
      <c r="BF21" s="19"/>
      <c r="BG21" s="19"/>
      <c r="BI21" s="21" t="s">
        <v>156</v>
      </c>
      <c r="BJ21" s="6">
        <v>100</v>
      </c>
      <c r="BK21" s="39">
        <f>AN21</f>
        <v>0</v>
      </c>
      <c r="BL21" s="39"/>
      <c r="BM21" s="39"/>
      <c r="BN21" s="39">
        <v>140</v>
      </c>
      <c r="BO21" s="39">
        <v>113</v>
      </c>
      <c r="BP21" s="39">
        <v>0</v>
      </c>
      <c r="BQ21" s="39">
        <v>-1</v>
      </c>
      <c r="BR21" s="6"/>
      <c r="BS21" s="6"/>
      <c r="BT21" s="6"/>
      <c r="BU21" s="6"/>
      <c r="BV21" s="26">
        <f ca="1">BT21+IF(NOT(ISBLANK(OFFSET(BV21,0,6))),N(OFFSET(BV21,0,6)),N(OFFSET(BV21,0,7)))-BU21</f>
        <v>0</v>
      </c>
    </row>
    <row r="22" spans="1:74" s="3" customFormat="1" ht="18.75" x14ac:dyDescent="0.3">
      <c r="A22" s="25" t="s">
        <v>157</v>
      </c>
      <c r="B22" s="6">
        <v>75</v>
      </c>
      <c r="C22" s="66">
        <v>425.38</v>
      </c>
      <c r="D22" s="234">
        <v>30</v>
      </c>
      <c r="E22" s="7"/>
      <c r="F22" s="39">
        <v>61</v>
      </c>
      <c r="G22" s="39">
        <v>59</v>
      </c>
      <c r="H22" s="39">
        <v>59</v>
      </c>
      <c r="I22" s="39">
        <v>58</v>
      </c>
      <c r="J22" s="39">
        <v>58</v>
      </c>
      <c r="K22" s="39">
        <v>60</v>
      </c>
      <c r="L22" s="39">
        <v>60</v>
      </c>
      <c r="M22" s="39">
        <v>60</v>
      </c>
      <c r="N22" s="39">
        <v>58</v>
      </c>
      <c r="O22" s="39">
        <v>58</v>
      </c>
      <c r="P22" s="39">
        <v>58</v>
      </c>
      <c r="Q22" s="39">
        <v>58</v>
      </c>
      <c r="R22" s="39">
        <v>58</v>
      </c>
      <c r="S22" s="39">
        <v>58</v>
      </c>
      <c r="T22" s="39">
        <v>58</v>
      </c>
      <c r="U22" s="39">
        <v>58</v>
      </c>
      <c r="V22" s="39">
        <v>58</v>
      </c>
      <c r="W22" s="39">
        <v>58</v>
      </c>
      <c r="X22" s="39">
        <v>58</v>
      </c>
      <c r="Y22" s="39">
        <v>58</v>
      </c>
      <c r="Z22" s="39">
        <v>58</v>
      </c>
      <c r="AA22" s="39">
        <v>57</v>
      </c>
      <c r="AB22" s="6">
        <v>57</v>
      </c>
      <c r="AC22" s="6">
        <v>57</v>
      </c>
      <c r="AD22" s="6">
        <v>57</v>
      </c>
      <c r="AE22" s="6">
        <v>57</v>
      </c>
      <c r="AF22" s="372">
        <f ca="1">AD22+IF(NOT(ISBLANK(OFFSET(AF22,0,6))),N(OFFSET(AF22,0,6)),N(OFFSET(AF22,0,7)))-AE22</f>
        <v>0</v>
      </c>
      <c r="AG22" s="7"/>
      <c r="AH22" s="279"/>
      <c r="AI22" s="279"/>
      <c r="AJ22" s="7"/>
      <c r="AK22" s="32"/>
      <c r="AL22" s="112">
        <v>0</v>
      </c>
      <c r="AM22" s="19">
        <v>0</v>
      </c>
      <c r="AN22" s="19"/>
      <c r="AO22" s="19"/>
      <c r="AP22" s="19">
        <v>0</v>
      </c>
      <c r="AQ22" s="19"/>
      <c r="AR22" s="117">
        <v>400</v>
      </c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I22" s="22" t="s">
        <v>158</v>
      </c>
      <c r="BJ22" s="6">
        <v>200</v>
      </c>
      <c r="BK22" s="39">
        <f>AN22</f>
        <v>0</v>
      </c>
      <c r="BL22" s="39"/>
      <c r="BM22" s="39"/>
      <c r="BN22" s="39">
        <v>237</v>
      </c>
      <c r="BO22" s="39">
        <v>123</v>
      </c>
      <c r="BP22" s="39">
        <v>-4</v>
      </c>
      <c r="BQ22" s="39">
        <v>-5</v>
      </c>
      <c r="BR22" s="6"/>
      <c r="BS22" s="6"/>
      <c r="BT22" s="6"/>
      <c r="BU22" s="6"/>
      <c r="BV22" s="26">
        <f ca="1">BT22+IF(NOT(ISBLANK(OFFSET(BV22,0,6))),N(OFFSET(BV22,0,6)),N(OFFSET(BV22,0,7)))-BU22</f>
        <v>0</v>
      </c>
    </row>
    <row r="23" spans="1:74" ht="18.75" x14ac:dyDescent="0.3">
      <c r="A23" s="25" t="s">
        <v>159</v>
      </c>
      <c r="B23" s="6">
        <v>150</v>
      </c>
      <c r="C23" s="66">
        <v>427.5</v>
      </c>
      <c r="D23" s="234">
        <v>300</v>
      </c>
      <c r="E23" s="7"/>
      <c r="F23" s="39">
        <v>150</v>
      </c>
      <c r="G23" s="39">
        <v>150</v>
      </c>
      <c r="H23" s="39">
        <v>150</v>
      </c>
      <c r="I23" s="39">
        <v>150</v>
      </c>
      <c r="J23" s="39">
        <v>150</v>
      </c>
      <c r="K23" s="39">
        <v>150</v>
      </c>
      <c r="L23" s="39">
        <v>150</v>
      </c>
      <c r="M23" s="39">
        <v>84</v>
      </c>
      <c r="N23" s="39">
        <v>29</v>
      </c>
      <c r="O23" s="39">
        <v>1</v>
      </c>
      <c r="P23" s="39">
        <v>237</v>
      </c>
      <c r="Q23" s="39">
        <v>0</v>
      </c>
      <c r="R23" s="39">
        <f>145+AP23</f>
        <v>145</v>
      </c>
      <c r="S23" s="39">
        <f>180+AO23</f>
        <v>180</v>
      </c>
      <c r="T23" s="39">
        <v>268</v>
      </c>
      <c r="U23" s="39"/>
      <c r="V23" s="39"/>
      <c r="W23" s="39"/>
      <c r="X23" s="39">
        <v>228</v>
      </c>
      <c r="Y23" s="39">
        <v>207</v>
      </c>
      <c r="Z23" s="39">
        <v>0</v>
      </c>
      <c r="AA23" s="39">
        <v>0</v>
      </c>
      <c r="AB23" s="6">
        <v>0</v>
      </c>
      <c r="AC23" s="6">
        <v>0</v>
      </c>
      <c r="AD23" s="6">
        <v>0</v>
      </c>
      <c r="AE23" s="6">
        <v>0</v>
      </c>
      <c r="AF23" s="372">
        <f ca="1">AD23+IF(NOT(ISBLANK(OFFSET(AF23,0,6))),N(OFFSET(AF23,0,6)),N(OFFSET(AF23,0,7)))-AE23</f>
        <v>0</v>
      </c>
      <c r="AG23" s="7"/>
      <c r="AH23" s="78"/>
      <c r="AI23" s="78">
        <v>150</v>
      </c>
      <c r="AK23" s="32"/>
      <c r="AL23" s="445">
        <v>0</v>
      </c>
      <c r="AM23" s="19">
        <v>0</v>
      </c>
      <c r="AN23" s="19"/>
      <c r="AO23" s="19"/>
      <c r="AP23" s="19">
        <v>0</v>
      </c>
      <c r="AQ23" s="19">
        <v>150</v>
      </c>
      <c r="AR23" s="117">
        <v>300</v>
      </c>
      <c r="AS23" s="19">
        <v>150</v>
      </c>
      <c r="AT23" s="19">
        <v>150</v>
      </c>
      <c r="AU23" s="19">
        <v>150</v>
      </c>
      <c r="AV23" s="19">
        <v>300</v>
      </c>
      <c r="AW23" s="19"/>
      <c r="AX23" s="19"/>
      <c r="AY23" s="19"/>
      <c r="AZ23" s="19"/>
      <c r="BA23" s="19"/>
      <c r="BB23" s="19"/>
      <c r="BC23" s="19"/>
      <c r="BD23" s="19">
        <v>150</v>
      </c>
      <c r="BE23" s="153"/>
      <c r="BF23" s="153"/>
      <c r="BG23" s="153"/>
      <c r="BI23" s="22" t="s">
        <v>160</v>
      </c>
      <c r="BJ23" s="6">
        <v>150</v>
      </c>
      <c r="BK23" s="39">
        <f>AN23</f>
        <v>0</v>
      </c>
      <c r="BL23" s="39"/>
      <c r="BM23" s="39"/>
      <c r="BN23" s="39">
        <v>184</v>
      </c>
      <c r="BO23" s="39">
        <v>154</v>
      </c>
      <c r="BP23" s="39">
        <v>-3</v>
      </c>
      <c r="BQ23" s="39">
        <v>-4</v>
      </c>
      <c r="BR23" s="6"/>
      <c r="BS23" s="6"/>
      <c r="BT23" s="6"/>
      <c r="BU23" s="6"/>
      <c r="BV23" s="26">
        <f ca="1">BT23+IF(NOT(ISBLANK(OFFSET(BV23,0,6))),N(OFFSET(BV23,0,6)),N(OFFSET(BV23,0,7)))-BU23</f>
        <v>0</v>
      </c>
    </row>
    <row r="24" spans="1:74" ht="18.75" x14ac:dyDescent="0.3">
      <c r="AH24" s="347"/>
      <c r="AI24" s="347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</row>
    <row r="25" spans="1:74" ht="18.75" customHeight="1" x14ac:dyDescent="0.3">
      <c r="A25" s="378" t="s">
        <v>161</v>
      </c>
      <c r="B25" s="379" t="s">
        <v>123</v>
      </c>
      <c r="C25" s="379" t="s">
        <v>124</v>
      </c>
      <c r="D25" s="379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13">
        <v>46160</v>
      </c>
      <c r="AB25" s="13">
        <v>46161.480128368057</v>
      </c>
      <c r="AC25" s="13">
        <v>46161.480801979167</v>
      </c>
      <c r="AD25" s="13">
        <v>46161.482959444453</v>
      </c>
      <c r="AE25" s="13">
        <v>46161.483287970419</v>
      </c>
      <c r="AF25" s="35" t="s">
        <v>129</v>
      </c>
      <c r="AH25" s="347"/>
      <c r="AI25" s="347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</row>
    <row r="26" spans="1:74" ht="18" customHeight="1" x14ac:dyDescent="0.3">
      <c r="A26" s="384" t="s">
        <v>162</v>
      </c>
      <c r="B26" s="385">
        <v>100</v>
      </c>
      <c r="C26" s="199">
        <v>790</v>
      </c>
      <c r="D26" s="396"/>
      <c r="F26" s="39">
        <v>350</v>
      </c>
      <c r="G26" s="39">
        <v>400</v>
      </c>
      <c r="H26" s="39">
        <v>301</v>
      </c>
      <c r="I26" s="39">
        <v>363</v>
      </c>
      <c r="J26" s="39">
        <v>363</v>
      </c>
      <c r="K26" s="39">
        <v>399</v>
      </c>
      <c r="L26" s="39">
        <v>349</v>
      </c>
      <c r="M26" s="39">
        <v>349</v>
      </c>
      <c r="N26" s="39">
        <v>349</v>
      </c>
      <c r="O26" s="39">
        <v>349</v>
      </c>
      <c r="P26" s="39">
        <v>349</v>
      </c>
      <c r="Q26" s="39">
        <v>349</v>
      </c>
      <c r="R26" s="206">
        <v>245</v>
      </c>
      <c r="S26" s="6">
        <v>245</v>
      </c>
      <c r="T26" s="6">
        <v>245</v>
      </c>
      <c r="U26" s="6">
        <v>245</v>
      </c>
      <c r="V26" s="6">
        <v>245</v>
      </c>
      <c r="W26" s="6">
        <v>245</v>
      </c>
      <c r="X26" s="373">
        <v>295</v>
      </c>
      <c r="Y26" s="6">
        <v>295</v>
      </c>
      <c r="Z26" s="6">
        <v>347</v>
      </c>
      <c r="AA26" s="6">
        <v>347</v>
      </c>
      <c r="AB26" s="6">
        <v>347</v>
      </c>
      <c r="AC26" s="6">
        <v>347</v>
      </c>
      <c r="AD26" s="6">
        <v>347</v>
      </c>
      <c r="AE26" s="6">
        <v>347</v>
      </c>
      <c r="AF26" s="372">
        <f t="shared" ref="AF26:AF33" ca="1" si="0">AD26+IF(NOT(ISBLANK(OFFSET(AF26,0,6))),N(OFFSET(AF26,0,6)),N(OFFSET(AF26,0,7)))-AE26</f>
        <v>0</v>
      </c>
      <c r="AH26" s="347"/>
      <c r="AI26" s="347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</row>
    <row r="27" spans="1:74" ht="18.75" x14ac:dyDescent="0.3">
      <c r="A27" s="404" t="s">
        <v>226</v>
      </c>
      <c r="B27" s="405">
        <v>100</v>
      </c>
      <c r="C27" s="252">
        <v>841.1</v>
      </c>
      <c r="D27" s="396"/>
      <c r="F27" s="6">
        <v>12</v>
      </c>
      <c r="G27" s="6">
        <v>11</v>
      </c>
      <c r="H27" s="6">
        <v>10</v>
      </c>
      <c r="I27" s="6">
        <v>9</v>
      </c>
      <c r="J27" s="6">
        <v>9</v>
      </c>
      <c r="K27" s="6">
        <v>9</v>
      </c>
      <c r="L27" s="6">
        <v>9</v>
      </c>
      <c r="M27" s="6">
        <v>9</v>
      </c>
      <c r="N27" s="6">
        <v>8</v>
      </c>
      <c r="O27" s="6">
        <v>8</v>
      </c>
      <c r="P27" s="6">
        <v>8</v>
      </c>
      <c r="Q27" s="6">
        <v>8</v>
      </c>
      <c r="R27" s="6">
        <v>8</v>
      </c>
      <c r="S27" s="6">
        <v>8</v>
      </c>
      <c r="T27" s="6">
        <v>8</v>
      </c>
      <c r="U27" s="6">
        <v>8</v>
      </c>
      <c r="V27" s="6">
        <v>8</v>
      </c>
      <c r="W27" s="6">
        <v>8</v>
      </c>
      <c r="X27" s="6">
        <v>8</v>
      </c>
      <c r="Y27" s="6">
        <v>8</v>
      </c>
      <c r="Z27" s="6">
        <v>8</v>
      </c>
      <c r="AA27" s="6">
        <v>8</v>
      </c>
      <c r="AB27" s="6">
        <v>8</v>
      </c>
      <c r="AC27" s="6">
        <v>8</v>
      </c>
      <c r="AD27" s="6">
        <v>8</v>
      </c>
      <c r="AE27" s="6">
        <v>8</v>
      </c>
      <c r="AF27" s="372">
        <f t="shared" ca="1" si="0"/>
        <v>0</v>
      </c>
      <c r="AH27" s="41"/>
      <c r="AI27" s="4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41"/>
      <c r="BA27" s="11"/>
      <c r="BB27" s="11"/>
      <c r="BC27" s="41"/>
      <c r="BD27" s="41"/>
      <c r="BE27" s="41"/>
      <c r="BF27" s="41"/>
      <c r="BG27" s="41"/>
    </row>
    <row r="28" spans="1:74" ht="18.75" x14ac:dyDescent="0.3">
      <c r="A28" s="25" t="s">
        <v>169</v>
      </c>
      <c r="B28" s="6">
        <v>150</v>
      </c>
      <c r="C28" s="77">
        <v>805.35</v>
      </c>
      <c r="D28" s="396"/>
      <c r="F28" s="6">
        <v>156</v>
      </c>
      <c r="G28" s="6">
        <v>63</v>
      </c>
      <c r="H28" s="6">
        <v>42</v>
      </c>
      <c r="I28" s="6">
        <v>6</v>
      </c>
      <c r="J28" s="6">
        <v>0</v>
      </c>
      <c r="K28" s="373">
        <v>24</v>
      </c>
      <c r="L28" s="6">
        <v>24</v>
      </c>
      <c r="M28" s="6">
        <v>21</v>
      </c>
      <c r="N28" s="6">
        <v>21</v>
      </c>
      <c r="O28" s="6">
        <v>18</v>
      </c>
      <c r="P28" s="6">
        <v>17</v>
      </c>
      <c r="Q28" s="6">
        <v>6</v>
      </c>
      <c r="R28" s="6">
        <v>6</v>
      </c>
      <c r="S28" s="6">
        <v>8</v>
      </c>
      <c r="T28" s="6">
        <v>7</v>
      </c>
      <c r="U28" s="6"/>
      <c r="V28" s="6"/>
      <c r="W28" s="6"/>
      <c r="X28" s="6">
        <v>4</v>
      </c>
      <c r="Y28" s="6">
        <v>4</v>
      </c>
      <c r="Z28" s="6">
        <v>4</v>
      </c>
      <c r="AA28" s="6">
        <v>3</v>
      </c>
      <c r="AB28" s="6">
        <v>3</v>
      </c>
      <c r="AC28" s="6">
        <v>3</v>
      </c>
      <c r="AD28" s="6">
        <v>3</v>
      </c>
      <c r="AE28" s="6">
        <v>3</v>
      </c>
      <c r="AF28" s="372">
        <f t="shared" ca="1" si="0"/>
        <v>0</v>
      </c>
      <c r="AH28" s="41"/>
      <c r="AI28" s="4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41"/>
      <c r="BA28" s="11"/>
      <c r="BB28" s="11"/>
      <c r="BC28" s="41"/>
      <c r="BD28" s="41"/>
      <c r="BE28" s="41"/>
      <c r="BF28" s="41"/>
      <c r="BG28" s="41"/>
    </row>
    <row r="29" spans="1:74" ht="18.75" x14ac:dyDescent="0.3">
      <c r="A29" s="25" t="s">
        <v>170</v>
      </c>
      <c r="B29" s="6">
        <v>100</v>
      </c>
      <c r="C29" s="77">
        <v>792.2</v>
      </c>
      <c r="D29" s="396"/>
      <c r="F29" s="6">
        <v>296</v>
      </c>
      <c r="G29" s="6">
        <v>228</v>
      </c>
      <c r="H29" s="6">
        <v>197</v>
      </c>
      <c r="I29" s="6">
        <v>144</v>
      </c>
      <c r="J29" s="6">
        <v>125</v>
      </c>
      <c r="K29" s="6">
        <v>90</v>
      </c>
      <c r="L29" s="6">
        <v>83</v>
      </c>
      <c r="M29" s="6">
        <v>76</v>
      </c>
      <c r="N29" s="6">
        <v>74</v>
      </c>
      <c r="O29" s="6">
        <v>79</v>
      </c>
      <c r="P29" s="6">
        <v>79</v>
      </c>
      <c r="Q29" s="6">
        <v>76</v>
      </c>
      <c r="R29" s="6">
        <v>76</v>
      </c>
      <c r="S29" s="6">
        <v>76</v>
      </c>
      <c r="T29" s="6">
        <v>76</v>
      </c>
      <c r="U29" s="6"/>
      <c r="V29" s="6"/>
      <c r="W29" s="6"/>
      <c r="X29" s="6">
        <v>73</v>
      </c>
      <c r="Y29" s="6">
        <v>73</v>
      </c>
      <c r="Z29" s="6">
        <v>32</v>
      </c>
      <c r="AA29" s="6">
        <v>31</v>
      </c>
      <c r="AB29" s="6">
        <v>31</v>
      </c>
      <c r="AC29" s="6">
        <v>31</v>
      </c>
      <c r="AD29" s="6">
        <v>31</v>
      </c>
      <c r="AE29" s="6">
        <v>31</v>
      </c>
      <c r="AF29" s="372">
        <f t="shared" ca="1" si="0"/>
        <v>0</v>
      </c>
      <c r="AH29" s="41"/>
      <c r="AI29" s="4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41"/>
      <c r="BA29" s="11"/>
      <c r="BB29" s="11"/>
      <c r="BC29" s="41"/>
      <c r="BD29" s="41"/>
      <c r="BE29" s="41"/>
      <c r="BF29" s="41"/>
      <c r="BG29" s="41"/>
    </row>
    <row r="30" spans="1:74" ht="18.75" hidden="1" x14ac:dyDescent="0.3">
      <c r="A30" s="25" t="s">
        <v>171</v>
      </c>
      <c r="B30" s="6">
        <v>200</v>
      </c>
      <c r="C30" s="77">
        <v>487.2</v>
      </c>
      <c r="D30" s="396"/>
      <c r="F30" s="6">
        <v>103</v>
      </c>
      <c r="G30" s="6">
        <v>84</v>
      </c>
      <c r="H30" s="6">
        <v>84</v>
      </c>
      <c r="I30" s="6">
        <v>0</v>
      </c>
      <c r="J30" s="6">
        <v>0</v>
      </c>
      <c r="K30" s="6">
        <v>0</v>
      </c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372">
        <f t="shared" ca="1" si="0"/>
        <v>0</v>
      </c>
      <c r="AH30" s="41"/>
      <c r="AI30" s="4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41"/>
      <c r="BA30" s="11"/>
      <c r="BB30" s="11"/>
      <c r="BC30" s="41"/>
      <c r="BD30" s="41"/>
      <c r="BE30" s="41"/>
      <c r="BF30" s="41"/>
      <c r="BG30" s="41"/>
    </row>
    <row r="31" spans="1:74" ht="18.75" hidden="1" x14ac:dyDescent="0.3">
      <c r="A31" s="25" t="s">
        <v>172</v>
      </c>
      <c r="B31" s="6">
        <v>150</v>
      </c>
      <c r="C31" s="77">
        <v>460.35</v>
      </c>
      <c r="D31" s="396"/>
      <c r="F31" s="6">
        <v>51</v>
      </c>
      <c r="G31" s="6">
        <v>-88</v>
      </c>
      <c r="H31" s="6">
        <v>0</v>
      </c>
      <c r="I31" s="6">
        <v>0</v>
      </c>
      <c r="J31" s="6">
        <v>0</v>
      </c>
      <c r="K31" s="6">
        <v>0</v>
      </c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372">
        <f t="shared" ca="1" si="0"/>
        <v>0</v>
      </c>
      <c r="AH31" s="41"/>
      <c r="AI31" s="4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41"/>
      <c r="BA31" s="11"/>
      <c r="BB31" s="11"/>
      <c r="BC31" s="41"/>
      <c r="BD31" s="41"/>
      <c r="BE31" s="41"/>
      <c r="BF31" s="41"/>
      <c r="BG31" s="41"/>
    </row>
    <row r="32" spans="1:74" ht="18.75" x14ac:dyDescent="0.3">
      <c r="A32" s="25" t="s">
        <v>173</v>
      </c>
      <c r="B32" s="6">
        <v>10</v>
      </c>
      <c r="C32" s="77">
        <v>120</v>
      </c>
      <c r="D32" s="396"/>
      <c r="F32" s="6">
        <v>3</v>
      </c>
      <c r="G32" s="6">
        <v>1</v>
      </c>
      <c r="H32" s="6">
        <v>1</v>
      </c>
      <c r="I32" s="6">
        <v>0</v>
      </c>
      <c r="J32" s="6">
        <v>0</v>
      </c>
      <c r="K32" s="6">
        <v>0</v>
      </c>
      <c r="L32" s="6"/>
      <c r="M32" s="6"/>
      <c r="N32" s="6">
        <v>5</v>
      </c>
      <c r="O32" s="6">
        <v>5</v>
      </c>
      <c r="P32" s="6">
        <v>5</v>
      </c>
      <c r="Q32" s="6">
        <v>5</v>
      </c>
      <c r="R32" s="6">
        <v>5</v>
      </c>
      <c r="S32" s="6">
        <v>5</v>
      </c>
      <c r="T32" s="6">
        <v>5</v>
      </c>
      <c r="U32" s="6">
        <v>5</v>
      </c>
      <c r="V32" s="6">
        <v>5</v>
      </c>
      <c r="W32" s="6">
        <v>5</v>
      </c>
      <c r="X32" s="6">
        <v>5</v>
      </c>
      <c r="Y32" s="6">
        <v>5</v>
      </c>
      <c r="Z32" s="6">
        <v>5</v>
      </c>
      <c r="AA32" s="6">
        <v>5</v>
      </c>
      <c r="AB32" s="6">
        <v>5</v>
      </c>
      <c r="AC32" s="6">
        <v>5</v>
      </c>
      <c r="AD32" s="6">
        <v>5</v>
      </c>
      <c r="AE32" s="6">
        <v>5</v>
      </c>
      <c r="AF32" s="372">
        <f t="shared" ca="1" si="0"/>
        <v>0</v>
      </c>
      <c r="AH32" s="41"/>
      <c r="AI32" s="4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41"/>
      <c r="BA32" s="11"/>
      <c r="BB32" s="11"/>
      <c r="BC32" s="41"/>
      <c r="BD32" s="41"/>
      <c r="BE32" s="41"/>
      <c r="BF32" s="41"/>
      <c r="BG32" s="41"/>
    </row>
    <row r="33" spans="1:243" ht="18.75" x14ac:dyDescent="0.3">
      <c r="A33" s="283" t="s">
        <v>168</v>
      </c>
      <c r="B33" s="284">
        <v>100</v>
      </c>
      <c r="C33" s="285">
        <v>1490</v>
      </c>
      <c r="D33" s="396"/>
      <c r="R33" s="6">
        <v>11</v>
      </c>
      <c r="S33" s="6">
        <v>11</v>
      </c>
      <c r="T33" s="6">
        <v>11</v>
      </c>
      <c r="U33" s="6">
        <v>11</v>
      </c>
      <c r="V33" s="6">
        <v>11</v>
      </c>
      <c r="W33" s="6">
        <v>11</v>
      </c>
      <c r="X33" s="6">
        <v>11</v>
      </c>
      <c r="Y33" s="6">
        <v>11</v>
      </c>
      <c r="Z33" s="6">
        <v>11</v>
      </c>
      <c r="AA33" s="6">
        <v>11</v>
      </c>
      <c r="AB33" s="6">
        <v>11</v>
      </c>
      <c r="AC33" s="6">
        <v>11</v>
      </c>
      <c r="AD33" s="6">
        <v>11</v>
      </c>
      <c r="AE33" s="6">
        <v>11</v>
      </c>
      <c r="AF33" s="372">
        <f t="shared" ca="1" si="0"/>
        <v>0</v>
      </c>
      <c r="AH33" s="41"/>
      <c r="AI33" s="4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41"/>
      <c r="BA33" s="11"/>
      <c r="BB33" s="11"/>
      <c r="BC33" s="41"/>
      <c r="BD33" s="41"/>
      <c r="BE33" s="41"/>
      <c r="BF33" s="41"/>
      <c r="BG33" s="41"/>
    </row>
    <row r="34" spans="1:243" ht="18.75" x14ac:dyDescent="0.3">
      <c r="Z34" s="1"/>
      <c r="AA34" s="1"/>
      <c r="AB34" s="1"/>
      <c r="AC34" s="1"/>
      <c r="AD34" s="1"/>
      <c r="AE34" s="1"/>
      <c r="AH34" s="41"/>
      <c r="AI34" s="4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41"/>
      <c r="BA34" s="11"/>
      <c r="BB34" s="11"/>
      <c r="BC34" s="41"/>
      <c r="BD34" s="41"/>
      <c r="BE34" s="41"/>
      <c r="BF34" s="41"/>
      <c r="BG34" s="41"/>
    </row>
    <row r="35" spans="1:243" ht="21" customHeight="1" x14ac:dyDescent="0.3">
      <c r="A35" s="394" t="s">
        <v>174</v>
      </c>
      <c r="B35" s="394"/>
      <c r="C35" s="394"/>
      <c r="AH35" s="41"/>
      <c r="AI35" s="41"/>
      <c r="AJ35" s="4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41"/>
      <c r="BA35" s="11"/>
      <c r="BB35" s="11"/>
      <c r="BC35" s="41"/>
      <c r="BD35" s="41"/>
      <c r="BE35" s="41"/>
      <c r="BF35" s="41"/>
      <c r="BG35" s="41"/>
    </row>
    <row r="36" spans="1:243" ht="18.75" x14ac:dyDescent="0.3">
      <c r="A36" s="361" t="s">
        <v>175</v>
      </c>
      <c r="B36" s="361"/>
      <c r="C36" s="361" t="s">
        <v>176</v>
      </c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AF36" s="41"/>
      <c r="AG36" s="41"/>
      <c r="AH36" s="41"/>
      <c r="AI36" s="41"/>
      <c r="AJ36" s="41"/>
      <c r="AK36" s="4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41"/>
      <c r="BA36" s="11"/>
      <c r="BB36" s="11"/>
      <c r="BC36" s="41"/>
      <c r="BD36" s="41"/>
      <c r="BE36" s="41"/>
      <c r="BF36" s="41"/>
      <c r="BG36" s="41"/>
      <c r="BH36" s="362"/>
      <c r="BW36" s="362"/>
      <c r="BX36" s="362"/>
      <c r="BY36" s="362"/>
      <c r="BZ36" s="362"/>
      <c r="CA36" s="362"/>
      <c r="CB36" s="362"/>
      <c r="CC36" s="362"/>
      <c r="CD36" s="362"/>
      <c r="CE36" s="362"/>
      <c r="CF36" s="362"/>
      <c r="CG36" s="362"/>
      <c r="CH36" s="362"/>
      <c r="CI36" s="362"/>
      <c r="CJ36" s="362"/>
      <c r="CK36" s="362"/>
      <c r="CL36" s="362"/>
      <c r="CM36" s="362"/>
      <c r="CN36" s="362"/>
      <c r="CO36" s="362"/>
      <c r="CP36" s="362"/>
      <c r="CQ36" s="362"/>
      <c r="CR36" s="362"/>
      <c r="CS36" s="362"/>
      <c r="CT36" s="362"/>
      <c r="CU36" s="362"/>
      <c r="CV36" s="362"/>
      <c r="CW36" s="362"/>
      <c r="CX36" s="362"/>
      <c r="CY36" s="362"/>
      <c r="CZ36" s="362"/>
      <c r="DA36" s="362"/>
      <c r="DB36" s="362"/>
      <c r="DC36" s="362"/>
      <c r="DD36" s="362"/>
      <c r="DE36" s="362"/>
      <c r="DF36" s="41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34"/>
      <c r="DV36" s="41"/>
      <c r="DW36" s="41"/>
      <c r="DX36" s="34"/>
      <c r="DY36" s="41"/>
      <c r="DZ36" s="34"/>
      <c r="EA36" s="41"/>
      <c r="EB36" s="401"/>
      <c r="EC36" s="401"/>
      <c r="ED36" s="401"/>
      <c r="EE36" s="401"/>
      <c r="EF36" s="366"/>
      <c r="EG36" s="366"/>
      <c r="EH36" s="366"/>
      <c r="EI36" s="401"/>
      <c r="EJ36" s="401"/>
      <c r="EK36" s="366"/>
      <c r="EL36" s="401"/>
      <c r="EM36" s="366"/>
      <c r="EN36" s="366"/>
      <c r="EO36" s="401"/>
      <c r="EP36" s="34"/>
      <c r="EQ36" s="401"/>
      <c r="ER36" s="401"/>
      <c r="ES36" s="366"/>
      <c r="ET36" s="401"/>
      <c r="EU36" s="348"/>
      <c r="EV36" s="401"/>
      <c r="EW36" s="401"/>
      <c r="EX36" s="366"/>
      <c r="EY36" s="366"/>
      <c r="EZ36" s="401"/>
      <c r="FA36" s="401"/>
      <c r="FB36" s="34"/>
      <c r="FC36" s="401"/>
      <c r="FD36" s="366"/>
      <c r="FE36" s="401"/>
      <c r="FF36" s="401"/>
      <c r="FG36" s="401"/>
      <c r="FH36" s="401"/>
      <c r="FI36" s="401"/>
      <c r="FJ36" s="401"/>
      <c r="FK36" s="348"/>
      <c r="FL36" s="401"/>
      <c r="FM36" s="401"/>
      <c r="FN36" s="401"/>
      <c r="FO36" s="401"/>
      <c r="FP36" s="401"/>
      <c r="FQ36" s="401"/>
      <c r="FR36" s="401"/>
      <c r="FS36" s="401"/>
      <c r="FT36" s="401"/>
      <c r="FU36" s="401"/>
      <c r="FV36" s="401"/>
      <c r="FW36" s="401"/>
      <c r="FX36" s="155"/>
      <c r="FY36" s="401"/>
      <c r="FZ36" s="401"/>
      <c r="GA36" s="401"/>
      <c r="GB36" s="401"/>
      <c r="GC36" s="401"/>
      <c r="GD36" s="401"/>
      <c r="GE36" s="401"/>
      <c r="GF36" s="401"/>
      <c r="GG36" s="401"/>
      <c r="GH36" s="401"/>
      <c r="GI36" s="401"/>
      <c r="GJ36" s="401"/>
      <c r="GK36" s="401"/>
      <c r="GL36" s="401"/>
      <c r="GM36" s="401"/>
      <c r="GN36" s="401"/>
      <c r="GO36" s="401"/>
      <c r="GP36" s="401"/>
      <c r="GQ36" s="401"/>
      <c r="GR36" s="401"/>
      <c r="GS36" s="401"/>
      <c r="GT36" s="401"/>
      <c r="GU36" s="401"/>
      <c r="GV36" s="401"/>
      <c r="GW36" s="401"/>
      <c r="GX36" s="401"/>
      <c r="GY36" s="401"/>
      <c r="GZ36" s="401"/>
      <c r="HA36" s="401"/>
      <c r="HB36" s="401"/>
      <c r="HC36" s="401"/>
      <c r="HD36" s="401"/>
      <c r="HE36" s="401"/>
      <c r="HF36" s="401"/>
      <c r="HG36" s="401"/>
      <c r="HH36" s="401"/>
      <c r="HI36" s="401"/>
      <c r="HJ36" s="401"/>
      <c r="HK36" s="401"/>
      <c r="HL36" s="401"/>
      <c r="HM36" s="401"/>
      <c r="HN36" s="401"/>
      <c r="HO36" s="401"/>
      <c r="HP36" s="401"/>
      <c r="HQ36" s="401"/>
      <c r="HR36" s="401"/>
      <c r="HS36" s="401"/>
      <c r="HT36" s="401"/>
      <c r="HU36" s="401"/>
      <c r="HV36" s="401"/>
      <c r="HW36" s="401"/>
      <c r="HX36" s="401"/>
      <c r="HY36" s="401"/>
      <c r="HZ36" s="401"/>
      <c r="IA36" s="401"/>
      <c r="IB36" s="401"/>
      <c r="IC36" s="401"/>
      <c r="ID36" s="401"/>
      <c r="IE36" s="401"/>
      <c r="IF36" s="401"/>
      <c r="IG36" s="401"/>
      <c r="IH36" s="401"/>
      <c r="II36" s="401"/>
    </row>
    <row r="37" spans="1:243" s="34" customFormat="1" ht="18.75" x14ac:dyDescent="0.3">
      <c r="A37" s="182"/>
      <c r="B37" s="183"/>
      <c r="C37" s="184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347"/>
      <c r="AI37" s="347"/>
      <c r="AJ37" s="41"/>
      <c r="AK37" s="41"/>
      <c r="AL37" s="11"/>
      <c r="AM37" s="11"/>
      <c r="AN37" s="11"/>
      <c r="AO37" s="11"/>
      <c r="AP37" s="11"/>
      <c r="AQ37" s="11"/>
      <c r="AR37" s="11"/>
      <c r="AS37" s="41"/>
      <c r="AT37" s="41"/>
      <c r="AU37" s="41"/>
      <c r="AV37" s="41"/>
      <c r="AW37" s="41"/>
      <c r="AX37" s="41"/>
      <c r="AY37" s="401"/>
      <c r="BA37" s="401"/>
      <c r="BB37" s="40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DF37" s="41"/>
      <c r="DV37" s="41"/>
      <c r="DW37" s="41"/>
      <c r="DY37" s="41"/>
      <c r="EA37" s="41"/>
      <c r="EF37" s="366"/>
      <c r="EG37" s="366"/>
      <c r="EH37" s="366"/>
      <c r="EK37" s="366"/>
      <c r="EM37" s="366"/>
      <c r="EN37" s="366"/>
      <c r="ES37" s="366"/>
      <c r="EX37" s="366"/>
      <c r="EY37" s="366"/>
      <c r="FD37" s="366"/>
      <c r="FJ37" s="150"/>
      <c r="FK37" s="369"/>
      <c r="FR37" s="150"/>
      <c r="FX37" s="366"/>
    </row>
    <row r="38" spans="1:243" s="34" customFormat="1" ht="18.75" x14ac:dyDescent="0.3">
      <c r="A38" s="384" t="s">
        <v>241</v>
      </c>
      <c r="B38" s="400"/>
      <c r="C38" s="357">
        <v>200</v>
      </c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347"/>
      <c r="AI38" s="347"/>
      <c r="AJ38" s="41"/>
      <c r="AK38" s="41"/>
      <c r="AL38" s="11"/>
      <c r="AM38" s="11"/>
      <c r="AN38" s="11"/>
      <c r="AO38" s="11"/>
      <c r="AP38" s="11"/>
      <c r="AQ38" s="11"/>
      <c r="AR38" s="11"/>
      <c r="AS38" s="41"/>
      <c r="AT38" s="41"/>
      <c r="AU38" s="41"/>
      <c r="AV38" s="41"/>
      <c r="AW38" s="41"/>
      <c r="AX38" s="41"/>
      <c r="AY38" s="401"/>
      <c r="BA38" s="401"/>
      <c r="BB38" s="40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CI38" s="362"/>
      <c r="CJ38" s="362"/>
      <c r="CK38" s="362"/>
      <c r="CL38" s="362"/>
      <c r="CM38" s="362"/>
      <c r="CN38" s="362"/>
      <c r="CO38" s="362"/>
      <c r="CP38" s="362"/>
      <c r="CQ38" s="362"/>
      <c r="DF38" s="41"/>
      <c r="DG38" s="362"/>
      <c r="DH38" s="362"/>
      <c r="DI38" s="362"/>
      <c r="DJ38" s="362"/>
      <c r="DK38" s="362"/>
      <c r="DL38" s="362"/>
      <c r="DM38" s="362"/>
      <c r="DN38" s="362"/>
      <c r="DO38" s="362"/>
      <c r="DP38" s="362"/>
      <c r="DQ38" s="362"/>
      <c r="DR38" s="362"/>
      <c r="DS38" s="362"/>
      <c r="DT38" s="362"/>
      <c r="DU38" s="362"/>
      <c r="DV38" s="41"/>
      <c r="DW38" s="41"/>
      <c r="DY38" s="41"/>
      <c r="EA38" s="41"/>
      <c r="EF38" s="366"/>
      <c r="EG38" s="366"/>
      <c r="EH38" s="366"/>
      <c r="EK38" s="366"/>
      <c r="EM38" s="366"/>
      <c r="EN38" s="366"/>
      <c r="EP38" s="11"/>
      <c r="ES38" s="366"/>
      <c r="EX38" s="366"/>
      <c r="EY38" s="366"/>
      <c r="FB38" s="11"/>
      <c r="FD38" s="366"/>
      <c r="FJ38" s="150"/>
      <c r="FK38" s="348"/>
      <c r="FR38" s="150"/>
      <c r="FX38" s="366"/>
    </row>
    <row r="39" spans="1:243" s="34" customFormat="1" ht="18.75" x14ac:dyDescent="0.3">
      <c r="A39" s="182"/>
      <c r="B39" s="183"/>
      <c r="C39" s="184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41"/>
      <c r="AA39" s="41"/>
      <c r="AB39" s="41"/>
      <c r="AC39" s="41"/>
      <c r="AD39" s="41"/>
      <c r="AE39" s="41"/>
      <c r="AF39" s="11"/>
      <c r="AG39" s="11"/>
      <c r="AJ39" s="11"/>
      <c r="AK39" s="11"/>
      <c r="AL39" s="11"/>
      <c r="AM39" s="11"/>
      <c r="AN39" s="401"/>
      <c r="AO39" s="401"/>
      <c r="AP39" s="11"/>
      <c r="AQ39" s="11"/>
      <c r="AR39" s="11"/>
      <c r="AS39" s="71"/>
      <c r="AT39" s="71"/>
      <c r="AU39" s="71"/>
      <c r="AV39" s="71"/>
      <c r="AW39" s="71"/>
      <c r="AX39" s="71"/>
      <c r="AY39" s="11"/>
      <c r="AZ39" s="71"/>
      <c r="BA39" s="11"/>
      <c r="BB39" s="11"/>
      <c r="BC39" s="71"/>
      <c r="BD39" s="71"/>
      <c r="BE39" s="71"/>
      <c r="BF39" s="71"/>
      <c r="BG39" s="7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DF39" s="11"/>
      <c r="DV39" s="11"/>
      <c r="DW39" s="11"/>
      <c r="DY39" s="11"/>
      <c r="EA39" s="11"/>
      <c r="EF39" s="366"/>
      <c r="EG39" s="366"/>
      <c r="EH39" s="366"/>
      <c r="EK39" s="366"/>
      <c r="EM39" s="366"/>
      <c r="EN39" s="366"/>
      <c r="ES39" s="366"/>
      <c r="EX39" s="366"/>
      <c r="EY39" s="366"/>
      <c r="FD39" s="366"/>
      <c r="FJ39" s="71"/>
      <c r="FR39" s="71"/>
      <c r="FX39" s="366"/>
    </row>
    <row r="40" spans="1:243" s="34" customFormat="1" ht="18.75" x14ac:dyDescent="0.3">
      <c r="A40" s="181" t="s">
        <v>242</v>
      </c>
      <c r="B40" s="400"/>
      <c r="C40" s="357">
        <v>180</v>
      </c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J40" s="11"/>
      <c r="AK40" s="11"/>
      <c r="AL40" s="401"/>
      <c r="AM40" s="401"/>
      <c r="AN40" s="401"/>
      <c r="AO40" s="401"/>
      <c r="AP40" s="401"/>
      <c r="AQ40" s="401"/>
      <c r="AR40" s="401"/>
      <c r="AS40" s="71"/>
      <c r="AT40" s="71"/>
      <c r="AU40" s="71"/>
      <c r="AV40" s="71"/>
      <c r="AW40" s="71"/>
      <c r="AX40" s="71"/>
      <c r="AY40" s="349"/>
      <c r="AZ40" s="71"/>
      <c r="BA40" s="349"/>
      <c r="BB40" s="349"/>
      <c r="BC40" s="71"/>
      <c r="BD40" s="71"/>
      <c r="BE40" s="71"/>
      <c r="BF40" s="71"/>
      <c r="BG40" s="7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DF40" s="11"/>
      <c r="DV40" s="11"/>
      <c r="DW40" s="11"/>
      <c r="DY40" s="11"/>
      <c r="EA40" s="11"/>
      <c r="EF40" s="366"/>
      <c r="EG40" s="366"/>
      <c r="EH40" s="366"/>
      <c r="EK40" s="366"/>
      <c r="EM40" s="366"/>
      <c r="EN40" s="366"/>
      <c r="ES40" s="366"/>
      <c r="EX40" s="366"/>
      <c r="EY40" s="366"/>
      <c r="FD40" s="366"/>
      <c r="FJ40" s="71"/>
      <c r="FR40" s="71"/>
      <c r="FX40" s="366"/>
    </row>
    <row r="41" spans="1:243" s="34" customFormat="1" ht="18.75" x14ac:dyDescent="0.3">
      <c r="A41" s="182"/>
      <c r="B41" s="183"/>
      <c r="C41" s="184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J41" s="11"/>
      <c r="AK41" s="11"/>
      <c r="AL41" s="401"/>
      <c r="AM41" s="401"/>
      <c r="AN41" s="41"/>
      <c r="AO41" s="41"/>
      <c r="AP41" s="401"/>
      <c r="AQ41" s="401"/>
      <c r="AR41" s="401"/>
      <c r="AS41" s="71"/>
      <c r="AT41" s="71"/>
      <c r="AU41" s="71"/>
      <c r="AV41" s="71"/>
      <c r="AW41" s="71"/>
      <c r="AX41" s="71"/>
      <c r="AY41" s="349"/>
      <c r="AZ41" s="71"/>
      <c r="BA41" s="349"/>
      <c r="BB41" s="349"/>
      <c r="BC41" s="71"/>
      <c r="BD41" s="71"/>
      <c r="BE41" s="71"/>
      <c r="BF41" s="71"/>
      <c r="BG41" s="71"/>
      <c r="BI41" s="11"/>
      <c r="BJ41" s="11"/>
      <c r="BK41" s="11"/>
      <c r="BL41" s="11"/>
      <c r="BM41" s="11"/>
      <c r="BN41" s="11"/>
      <c r="BO41" s="11"/>
      <c r="BP41" s="41"/>
      <c r="BQ41" s="41"/>
      <c r="BR41" s="41"/>
      <c r="BS41" s="41"/>
      <c r="BT41" s="41"/>
      <c r="BU41" s="41"/>
      <c r="BV41" s="11"/>
      <c r="DF41" s="11"/>
      <c r="DV41" s="11"/>
      <c r="DW41" s="11"/>
      <c r="DY41" s="11"/>
      <c r="EA41" s="11"/>
      <c r="EF41" s="366"/>
      <c r="EG41" s="366"/>
      <c r="EH41" s="366"/>
      <c r="EK41" s="366"/>
      <c r="EM41" s="366"/>
      <c r="EN41" s="366"/>
      <c r="ES41" s="366"/>
      <c r="EX41" s="366"/>
      <c r="EY41" s="366"/>
      <c r="FD41" s="366"/>
      <c r="FJ41" s="71"/>
      <c r="FR41" s="71"/>
      <c r="FX41" s="366"/>
    </row>
    <row r="42" spans="1:243" s="34" customFormat="1" ht="18.75" x14ac:dyDescent="0.3">
      <c r="A42" s="399" t="s">
        <v>243</v>
      </c>
      <c r="B42" s="400"/>
      <c r="C42" s="357">
        <v>200</v>
      </c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J42" s="11"/>
      <c r="AK42" s="11"/>
      <c r="AL42" s="41"/>
      <c r="AM42" s="41"/>
      <c r="AN42" s="41"/>
      <c r="AO42" s="41"/>
      <c r="AP42" s="41"/>
      <c r="AQ42" s="41"/>
      <c r="AR42" s="41"/>
      <c r="AS42" s="71"/>
      <c r="AT42" s="71"/>
      <c r="AU42" s="71"/>
      <c r="AV42" s="71"/>
      <c r="AW42" s="71"/>
      <c r="AX42" s="71"/>
      <c r="AZ42" s="71"/>
      <c r="BC42" s="71"/>
      <c r="BD42" s="71"/>
      <c r="BE42" s="71"/>
      <c r="BF42" s="71"/>
      <c r="BG42" s="7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DF42" s="11"/>
      <c r="DV42" s="11"/>
      <c r="DW42" s="11"/>
      <c r="DY42" s="11"/>
      <c r="EA42" s="11"/>
      <c r="EF42" s="366"/>
      <c r="EG42" s="366"/>
      <c r="EH42" s="366"/>
      <c r="EK42" s="366"/>
      <c r="EM42" s="366"/>
      <c r="EN42" s="366"/>
      <c r="ES42" s="366"/>
      <c r="EX42" s="366"/>
      <c r="EY42" s="366"/>
      <c r="FD42" s="366"/>
      <c r="FJ42" s="71"/>
      <c r="FR42" s="71"/>
      <c r="FX42" s="366"/>
    </row>
    <row r="43" spans="1:243" ht="18.75" x14ac:dyDescent="0.3">
      <c r="C43" s="374"/>
      <c r="D43" s="374"/>
      <c r="AL43" s="41"/>
      <c r="AM43" s="41"/>
      <c r="AN43" s="41"/>
      <c r="AO43" s="41"/>
      <c r="AP43" s="41"/>
      <c r="AQ43" s="41"/>
      <c r="AR43" s="41"/>
      <c r="BI43" s="41"/>
      <c r="BJ43" s="41"/>
      <c r="BK43" s="41"/>
      <c r="BL43" s="41"/>
      <c r="BM43" s="41"/>
      <c r="BN43" s="41"/>
      <c r="BO43" s="41"/>
      <c r="BP43" s="41"/>
      <c r="BQ43" s="41"/>
      <c r="BR43" s="41"/>
      <c r="BS43" s="41"/>
      <c r="BT43" s="41"/>
      <c r="BU43" s="41"/>
      <c r="BV43" s="41"/>
    </row>
    <row r="44" spans="1:243" ht="18.75" customHeight="1" x14ac:dyDescent="0.3">
      <c r="A44" s="472" t="s">
        <v>177</v>
      </c>
      <c r="B44" s="467"/>
      <c r="C44" s="467"/>
      <c r="D44" s="469"/>
      <c r="F44" s="356">
        <v>46013</v>
      </c>
      <c r="G44" s="356">
        <v>46020</v>
      </c>
      <c r="H44" s="356">
        <v>46027</v>
      </c>
      <c r="I44" s="356">
        <v>46034</v>
      </c>
      <c r="J44" s="356">
        <v>46041</v>
      </c>
      <c r="K44" s="356">
        <v>46048</v>
      </c>
      <c r="L44" s="356">
        <v>46055</v>
      </c>
      <c r="M44" s="356">
        <v>46062</v>
      </c>
      <c r="N44" s="356">
        <v>46069</v>
      </c>
      <c r="O44" s="356">
        <v>46076</v>
      </c>
      <c r="P44" s="356">
        <v>46083</v>
      </c>
      <c r="Q44" s="356">
        <v>46090</v>
      </c>
      <c r="R44" s="356">
        <v>46097</v>
      </c>
      <c r="S44" s="356">
        <v>46104</v>
      </c>
      <c r="T44" s="356">
        <v>46111</v>
      </c>
      <c r="U44" s="356">
        <v>46118</v>
      </c>
      <c r="V44" s="356">
        <v>46125</v>
      </c>
      <c r="W44" s="356">
        <v>46132</v>
      </c>
      <c r="X44" s="356">
        <v>46139</v>
      </c>
      <c r="Y44" s="356">
        <v>46146</v>
      </c>
      <c r="Z44" s="356">
        <v>46154</v>
      </c>
      <c r="AA44" s="356">
        <v>46160</v>
      </c>
      <c r="AB44" s="356">
        <v>46161.480128368057</v>
      </c>
      <c r="AC44" s="356">
        <v>46161.480801979167</v>
      </c>
      <c r="AD44" s="356">
        <v>46161.482959444453</v>
      </c>
      <c r="AE44" s="356">
        <v>46161.483287970746</v>
      </c>
      <c r="AL44" s="41"/>
      <c r="AM44" s="41"/>
      <c r="AN44" s="41"/>
      <c r="AO44" s="41"/>
      <c r="AP44" s="41"/>
      <c r="AQ44" s="41"/>
      <c r="AR44" s="41"/>
      <c r="BI44" s="41"/>
      <c r="BJ44" s="41"/>
      <c r="BK44" s="41"/>
      <c r="BL44" s="41"/>
      <c r="BM44" s="41"/>
      <c r="BN44" s="41"/>
      <c r="BO44" s="41"/>
      <c r="BP44" s="41"/>
      <c r="BQ44" s="41"/>
      <c r="BR44" s="41"/>
      <c r="BS44" s="41"/>
      <c r="BT44" s="41"/>
      <c r="BU44" s="41"/>
      <c r="BV44" s="41"/>
    </row>
    <row r="45" spans="1:243" ht="18.75" x14ac:dyDescent="0.3">
      <c r="A45" s="470" t="s">
        <v>178</v>
      </c>
      <c r="B45" s="467"/>
      <c r="C45" s="467"/>
      <c r="D45" s="469"/>
      <c r="F45" s="358">
        <v>122</v>
      </c>
      <c r="G45" s="358">
        <v>122</v>
      </c>
      <c r="H45" s="358">
        <v>193</v>
      </c>
      <c r="I45" s="358">
        <v>186</v>
      </c>
      <c r="J45" s="358">
        <v>142</v>
      </c>
      <c r="K45" s="358">
        <v>140</v>
      </c>
      <c r="L45" s="358">
        <v>119</v>
      </c>
      <c r="M45" s="358">
        <v>119</v>
      </c>
      <c r="N45" s="358">
        <v>113</v>
      </c>
      <c r="O45" s="358">
        <v>113</v>
      </c>
      <c r="P45" s="358">
        <v>113</v>
      </c>
      <c r="Q45" s="358">
        <v>0</v>
      </c>
      <c r="R45" s="358">
        <v>0</v>
      </c>
      <c r="S45" s="358">
        <v>0</v>
      </c>
      <c r="T45" s="358">
        <v>0</v>
      </c>
      <c r="U45" s="358">
        <v>0</v>
      </c>
      <c r="V45" s="358">
        <v>0</v>
      </c>
      <c r="W45" s="358">
        <v>0</v>
      </c>
      <c r="X45" s="358">
        <v>0</v>
      </c>
      <c r="Y45" s="358">
        <v>0</v>
      </c>
      <c r="Z45" s="358">
        <v>0</v>
      </c>
      <c r="AA45" s="358"/>
      <c r="AB45" s="448"/>
      <c r="AC45" s="448"/>
      <c r="AD45" s="448"/>
      <c r="AE45" s="448"/>
      <c r="AL45" s="41"/>
      <c r="AM45" s="41"/>
      <c r="AP45" s="41"/>
      <c r="AQ45" s="41"/>
      <c r="AR45" s="41"/>
      <c r="BI45" s="41"/>
      <c r="BJ45" s="41"/>
      <c r="BK45" s="41"/>
      <c r="BL45" s="41"/>
      <c r="BM45" s="41"/>
      <c r="BN45" s="41"/>
      <c r="BO45" s="41"/>
      <c r="BV45" s="41"/>
    </row>
    <row r="46" spans="1:243" ht="18.75" x14ac:dyDescent="0.25">
      <c r="A46" s="470" t="s">
        <v>179</v>
      </c>
      <c r="B46" s="467"/>
      <c r="C46" s="467"/>
      <c r="D46" s="469"/>
      <c r="F46" s="358">
        <v>82</v>
      </c>
      <c r="G46" s="358">
        <v>82</v>
      </c>
      <c r="H46" s="358">
        <v>76</v>
      </c>
      <c r="I46" s="358">
        <v>70</v>
      </c>
      <c r="J46" s="358">
        <v>64</v>
      </c>
      <c r="K46" s="358">
        <v>65</v>
      </c>
      <c r="L46" s="358">
        <v>46</v>
      </c>
      <c r="M46" s="358">
        <v>46</v>
      </c>
      <c r="N46" s="358">
        <v>21</v>
      </c>
      <c r="O46" s="358">
        <v>21</v>
      </c>
      <c r="P46" s="358">
        <v>21</v>
      </c>
      <c r="Q46" s="358">
        <v>0</v>
      </c>
      <c r="R46" s="358">
        <v>0</v>
      </c>
      <c r="S46" s="358">
        <v>0</v>
      </c>
      <c r="T46" s="358">
        <v>0</v>
      </c>
      <c r="U46" s="358">
        <v>0</v>
      </c>
      <c r="V46" s="358">
        <v>0</v>
      </c>
      <c r="W46" s="358">
        <v>0</v>
      </c>
      <c r="X46" s="358">
        <v>0</v>
      </c>
      <c r="Y46" s="358">
        <v>0</v>
      </c>
      <c r="Z46" s="358">
        <v>0</v>
      </c>
      <c r="AA46" s="358"/>
      <c r="AB46" s="448"/>
      <c r="AC46" s="448"/>
      <c r="AD46" s="448"/>
      <c r="AE46" s="448"/>
    </row>
    <row r="47" spans="1:243" ht="18.75" x14ac:dyDescent="0.3">
      <c r="A47" s="470" t="s">
        <v>205</v>
      </c>
      <c r="B47" s="467"/>
      <c r="C47" s="467"/>
      <c r="D47" s="469"/>
      <c r="F47" s="358"/>
      <c r="G47" s="358"/>
      <c r="H47" s="358"/>
      <c r="I47" s="358"/>
      <c r="J47" s="358"/>
      <c r="K47" s="358"/>
      <c r="L47" s="358"/>
      <c r="M47" s="358"/>
      <c r="N47" s="358">
        <v>0</v>
      </c>
      <c r="O47" s="358">
        <v>0</v>
      </c>
      <c r="P47" s="358">
        <v>0</v>
      </c>
      <c r="Q47" s="358">
        <v>0</v>
      </c>
      <c r="R47" s="358">
        <v>0</v>
      </c>
      <c r="S47" s="358">
        <v>82</v>
      </c>
      <c r="T47" s="358">
        <v>67</v>
      </c>
      <c r="U47" s="358">
        <v>50</v>
      </c>
      <c r="V47" s="358">
        <v>50</v>
      </c>
      <c r="W47" s="358">
        <v>50</v>
      </c>
      <c r="X47" s="358">
        <v>0</v>
      </c>
      <c r="Y47" s="358">
        <v>0</v>
      </c>
      <c r="Z47" s="358">
        <v>0</v>
      </c>
      <c r="AA47" s="358"/>
      <c r="AB47" s="448"/>
      <c r="AC47" s="448"/>
      <c r="AD47" s="448"/>
      <c r="AE47" s="448"/>
      <c r="AN47" s="11"/>
      <c r="AO47" s="11"/>
    </row>
    <row r="48" spans="1:243" ht="18.75" x14ac:dyDescent="0.3">
      <c r="A48" s="470"/>
      <c r="B48" s="467"/>
      <c r="C48" s="467"/>
      <c r="D48" s="469"/>
      <c r="N48" s="358"/>
      <c r="O48" s="358"/>
      <c r="P48" s="358"/>
      <c r="Q48" s="358"/>
      <c r="R48" s="358"/>
      <c r="S48" s="358"/>
      <c r="T48" s="358"/>
      <c r="U48" s="358"/>
      <c r="V48" s="358"/>
      <c r="W48" s="358"/>
      <c r="X48" s="358"/>
      <c r="Y48" s="358"/>
      <c r="Z48" s="358"/>
      <c r="AA48" s="358"/>
      <c r="AB48" s="448"/>
      <c r="AC48" s="448"/>
      <c r="AD48" s="448"/>
      <c r="AE48" s="448"/>
      <c r="AL48" s="11"/>
      <c r="AM48" s="11"/>
      <c r="AP48" s="11"/>
      <c r="AQ48" s="11"/>
      <c r="AR48" s="11"/>
    </row>
    <row r="49" spans="1:31" ht="18.75" x14ac:dyDescent="0.25">
      <c r="A49" s="470"/>
      <c r="B49" s="467"/>
      <c r="C49" s="467"/>
      <c r="D49" s="469"/>
      <c r="N49" s="358"/>
      <c r="O49" s="358"/>
      <c r="P49" s="358"/>
      <c r="Q49" s="358"/>
      <c r="R49" s="358"/>
      <c r="S49" s="358"/>
      <c r="T49" s="358"/>
      <c r="U49" s="358"/>
      <c r="V49" s="358"/>
      <c r="W49" s="358"/>
      <c r="X49" s="358"/>
      <c r="Y49" s="358"/>
      <c r="Z49" s="358"/>
      <c r="AA49" s="358"/>
      <c r="AB49" s="448"/>
      <c r="AC49" s="448"/>
      <c r="AD49" s="448"/>
      <c r="AE49" s="448"/>
    </row>
    <row r="50" spans="1:31" ht="18.75" x14ac:dyDescent="0.25">
      <c r="A50" s="470"/>
      <c r="B50" s="467"/>
      <c r="C50" s="467"/>
      <c r="D50" s="469"/>
      <c r="N50" s="358"/>
      <c r="O50" s="358"/>
      <c r="P50" s="358"/>
      <c r="Q50" s="358"/>
      <c r="R50" s="358"/>
      <c r="S50" s="358"/>
      <c r="T50" s="358"/>
      <c r="U50" s="358"/>
      <c r="V50" s="358"/>
      <c r="W50" s="358"/>
      <c r="X50" s="358"/>
      <c r="Y50" s="358"/>
      <c r="Z50" s="358"/>
      <c r="AA50" s="358"/>
      <c r="AB50" s="448"/>
      <c r="AC50" s="448"/>
      <c r="AD50" s="448"/>
      <c r="AE50" s="448"/>
    </row>
  </sheetData>
  <mergeCells count="15">
    <mergeCell ref="A50:D50"/>
    <mergeCell ref="A48:D48"/>
    <mergeCell ref="A1:AB1"/>
    <mergeCell ref="A49:D49"/>
    <mergeCell ref="A47:D47"/>
    <mergeCell ref="D5:D6"/>
    <mergeCell ref="A46:D46"/>
    <mergeCell ref="B5:B6"/>
    <mergeCell ref="B2:D2"/>
    <mergeCell ref="C5:C6"/>
    <mergeCell ref="A5:A6"/>
    <mergeCell ref="A45:D45"/>
    <mergeCell ref="B3:D3"/>
    <mergeCell ref="BE7:BM7"/>
    <mergeCell ref="A44:D44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59" fitToHeight="0" orientation="landscape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59">
    <tabColor theme="9"/>
  </sheetPr>
  <dimension ref="A1:HY50"/>
  <sheetViews>
    <sheetView showGridLines="0" topLeftCell="B4" zoomScale="80" zoomScaleNormal="80" workbookViewId="0">
      <selection activeCell="AJ35" sqref="AJ35"/>
    </sheetView>
  </sheetViews>
  <sheetFormatPr defaultColWidth="9.140625" defaultRowHeight="18.75" x14ac:dyDescent="0.3"/>
  <cols>
    <col min="1" max="1" width="27.42578125" style="62" customWidth="1"/>
    <col min="2" max="2" width="9.5703125" style="11" customWidth="1"/>
    <col min="3" max="4" width="14.85546875" style="11" customWidth="1"/>
    <col min="5" max="5" width="1.5703125" style="11" customWidth="1"/>
    <col min="6" max="24" width="9.42578125" style="11" hidden="1" customWidth="1"/>
    <col min="25" max="27" width="9.42578125" style="11" customWidth="1"/>
    <col min="28" max="28" width="1.5703125" style="11" customWidth="1"/>
    <col min="29" max="29" width="52.85546875" style="34" customWidth="1"/>
    <col min="30" max="30" width="14.28515625" style="34" bestFit="1" customWidth="1"/>
    <col min="31" max="31" width="1.140625" style="11" customWidth="1"/>
    <col min="32" max="32" width="15.85546875" style="34" bestFit="1" customWidth="1"/>
    <col min="33" max="33" width="1.28515625" style="11" customWidth="1"/>
    <col min="34" max="34" width="8.7109375" style="71" customWidth="1"/>
    <col min="35" max="35" width="11.5703125" style="71" bestFit="1" customWidth="1"/>
    <col min="36" max="36" width="24.85546875" style="71" customWidth="1"/>
    <col min="37" max="40" width="8.7109375" style="71" customWidth="1"/>
    <col min="41" max="46" width="8.7109375" style="71" hidden="1" customWidth="1"/>
    <col min="47" max="47" width="13.85546875" style="71" hidden="1" customWidth="1"/>
    <col min="48" max="49" width="8.7109375" style="71" hidden="1" customWidth="1"/>
    <col min="50" max="50" width="13.85546875" style="71" hidden="1" customWidth="1"/>
    <col min="51" max="54" width="8.7109375" style="71" hidden="1" customWidth="1"/>
    <col min="55" max="55" width="9.140625" style="11" customWidth="1"/>
    <col min="56" max="56" width="21.85546875" style="11" bestFit="1" customWidth="1"/>
    <col min="57" max="57" width="9.140625" style="11" customWidth="1"/>
    <col min="58" max="61" width="13" style="11" hidden="1" customWidth="1"/>
    <col min="62" max="62" width="9.140625" style="11" customWidth="1"/>
    <col min="63" max="16384" width="9.140625" style="11"/>
  </cols>
  <sheetData>
    <row r="1" spans="1:64" ht="23.25" customHeight="1" x14ac:dyDescent="0.3">
      <c r="A1" s="477" t="s">
        <v>117</v>
      </c>
      <c r="B1" s="479"/>
      <c r="C1" s="479"/>
      <c r="D1" s="479"/>
      <c r="E1" s="479"/>
      <c r="F1" s="479"/>
      <c r="G1" s="479"/>
      <c r="H1" s="479"/>
      <c r="I1" s="479"/>
      <c r="J1" s="479"/>
      <c r="K1" s="479"/>
      <c r="L1" s="479"/>
      <c r="M1" s="479"/>
      <c r="N1" s="479"/>
      <c r="O1" s="479"/>
      <c r="P1" s="479"/>
      <c r="Q1" s="479"/>
      <c r="R1" s="479"/>
      <c r="S1" s="479"/>
      <c r="T1" s="479"/>
      <c r="U1" s="479"/>
      <c r="V1" s="479"/>
      <c r="W1" s="479"/>
      <c r="X1" s="479"/>
      <c r="Y1" s="479"/>
      <c r="Z1" s="479"/>
      <c r="AA1" s="479"/>
      <c r="AB1" s="479"/>
      <c r="AC1" s="353"/>
      <c r="AD1" s="353"/>
      <c r="AE1" s="353"/>
      <c r="AF1" s="353"/>
      <c r="AG1" s="353"/>
      <c r="AH1" s="353"/>
      <c r="AI1" s="353"/>
      <c r="AJ1" s="353"/>
      <c r="AK1" s="353"/>
      <c r="AL1" s="353"/>
      <c r="AM1" s="353"/>
      <c r="AN1" s="353"/>
      <c r="AO1" s="353"/>
      <c r="AP1" s="353"/>
      <c r="AQ1" s="353"/>
      <c r="AR1" s="353"/>
      <c r="AS1" s="353"/>
      <c r="AT1" s="353"/>
      <c r="AU1" s="353"/>
      <c r="AV1" s="353"/>
      <c r="AW1" s="353"/>
      <c r="AX1" s="353"/>
      <c r="AY1" s="353"/>
      <c r="AZ1" s="353"/>
      <c r="BA1" s="353"/>
      <c r="BB1" s="353"/>
    </row>
    <row r="2" spans="1:64" x14ac:dyDescent="0.3">
      <c r="A2" s="63" t="s">
        <v>118</v>
      </c>
      <c r="B2" s="473" t="s">
        <v>233</v>
      </c>
      <c r="C2" s="463"/>
      <c r="D2" s="464"/>
      <c r="AC2" s="11"/>
      <c r="AD2" s="11"/>
      <c r="AF2" s="11"/>
    </row>
    <row r="3" spans="1:64" x14ac:dyDescent="0.3">
      <c r="A3" s="63" t="s">
        <v>120</v>
      </c>
      <c r="B3" s="465" t="s">
        <v>234</v>
      </c>
      <c r="C3" s="463"/>
      <c r="D3" s="464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11"/>
      <c r="AD3" s="11"/>
      <c r="AE3" s="7"/>
    </row>
    <row r="4" spans="1:64" x14ac:dyDescent="0.3">
      <c r="AH4" s="387"/>
      <c r="AI4" s="387"/>
      <c r="AJ4" s="387"/>
      <c r="AK4" s="387"/>
      <c r="AL4" s="387"/>
      <c r="AM4" s="387"/>
      <c r="AN4" s="387"/>
      <c r="AO4" s="387"/>
      <c r="AP4" s="387"/>
      <c r="AQ4" s="387"/>
      <c r="AR4" s="387"/>
      <c r="AS4" s="387"/>
      <c r="AT4" s="387"/>
      <c r="AU4" s="387"/>
      <c r="AV4" s="387"/>
      <c r="AW4" s="387"/>
      <c r="AX4" s="387"/>
      <c r="AY4" s="387"/>
      <c r="AZ4" s="387"/>
      <c r="BA4" s="387"/>
      <c r="BB4" s="387"/>
    </row>
    <row r="5" spans="1:64" ht="18.75" customHeight="1" x14ac:dyDescent="0.3">
      <c r="A5" s="476" t="s">
        <v>122</v>
      </c>
      <c r="B5" s="471" t="s">
        <v>123</v>
      </c>
      <c r="C5" s="471" t="s">
        <v>124</v>
      </c>
      <c r="D5" s="474" t="s">
        <v>125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C5" s="29" t="s">
        <v>126</v>
      </c>
      <c r="AD5" s="29" t="s">
        <v>126</v>
      </c>
      <c r="AF5" s="9" t="s">
        <v>127</v>
      </c>
      <c r="AH5" s="363"/>
      <c r="AI5" s="339" t="s">
        <v>128</v>
      </c>
      <c r="AJ5" s="339" t="s">
        <v>128</v>
      </c>
      <c r="AK5" s="363">
        <v>46142</v>
      </c>
      <c r="AL5" s="363">
        <v>46114</v>
      </c>
      <c r="AM5" s="409">
        <v>46065</v>
      </c>
      <c r="AN5" s="363">
        <v>46099</v>
      </c>
      <c r="AO5" s="363">
        <v>46092</v>
      </c>
      <c r="AP5" s="363">
        <v>46084</v>
      </c>
      <c r="AQ5" s="363">
        <v>46071</v>
      </c>
      <c r="AR5" s="363">
        <v>46056</v>
      </c>
      <c r="AS5" s="363">
        <v>46048</v>
      </c>
      <c r="AT5" s="363">
        <v>46035</v>
      </c>
      <c r="AU5" s="371" t="s">
        <v>128</v>
      </c>
      <c r="AV5" s="363">
        <v>46024</v>
      </c>
      <c r="AW5" s="363">
        <v>46017</v>
      </c>
      <c r="AX5" s="371" t="s">
        <v>128</v>
      </c>
      <c r="AY5" s="363">
        <v>46007</v>
      </c>
      <c r="AZ5" s="363">
        <v>46001</v>
      </c>
      <c r="BA5" s="363">
        <v>45994</v>
      </c>
      <c r="BB5" s="363">
        <v>45986</v>
      </c>
    </row>
    <row r="6" spans="1:64" s="3" customFormat="1" ht="19.5" customHeight="1" x14ac:dyDescent="0.3">
      <c r="A6" s="461"/>
      <c r="B6" s="461"/>
      <c r="C6" s="461"/>
      <c r="D6" s="461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35" t="s">
        <v>129</v>
      </c>
      <c r="AB6" s="30"/>
      <c r="AC6" s="281" t="s">
        <v>128</v>
      </c>
      <c r="AD6" s="180"/>
      <c r="AE6" s="31"/>
      <c r="AF6" s="179">
        <v>46155</v>
      </c>
      <c r="AG6" s="31"/>
      <c r="AH6" s="363"/>
      <c r="AI6" s="339">
        <v>46150</v>
      </c>
      <c r="AJ6" s="339">
        <v>46148</v>
      </c>
      <c r="AK6" s="363">
        <v>46150</v>
      </c>
      <c r="AL6" s="363">
        <v>46125</v>
      </c>
      <c r="AM6" s="409">
        <v>46112</v>
      </c>
      <c r="AN6" s="363">
        <v>46106</v>
      </c>
      <c r="AO6" s="363">
        <v>46099</v>
      </c>
      <c r="AP6" s="363">
        <v>46097</v>
      </c>
      <c r="AQ6" s="363">
        <v>46078</v>
      </c>
      <c r="AR6" s="363">
        <v>46063</v>
      </c>
      <c r="AS6" s="363">
        <v>46056</v>
      </c>
      <c r="AT6" s="363">
        <v>46041</v>
      </c>
      <c r="AU6" s="371">
        <v>46037</v>
      </c>
      <c r="AV6" s="363">
        <v>46034</v>
      </c>
      <c r="AW6" s="363">
        <v>46029</v>
      </c>
      <c r="AX6" s="371">
        <v>46027</v>
      </c>
      <c r="AY6" s="363">
        <v>46010</v>
      </c>
      <c r="AZ6" s="363">
        <v>46010</v>
      </c>
      <c r="BA6" s="363">
        <v>46003</v>
      </c>
      <c r="BB6" s="363">
        <v>45994</v>
      </c>
      <c r="BD6" s="11"/>
      <c r="BE6" s="11"/>
      <c r="BF6" s="11"/>
      <c r="BG6" s="11"/>
      <c r="BH6" s="11"/>
      <c r="BI6" s="11"/>
      <c r="BJ6" s="11"/>
      <c r="BK6" s="11"/>
      <c r="BL6" s="11"/>
    </row>
    <row r="7" spans="1:64" s="3" customFormat="1" ht="21.75" customHeight="1" x14ac:dyDescent="0.3">
      <c r="A7" s="20" t="s">
        <v>130</v>
      </c>
      <c r="B7" s="4"/>
      <c r="C7" s="5"/>
      <c r="D7" s="233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1"/>
      <c r="AC7" s="84"/>
      <c r="AD7" s="84"/>
      <c r="AE7" s="11"/>
      <c r="AF7" s="111"/>
      <c r="AG7" s="11"/>
      <c r="AH7" s="12"/>
      <c r="AI7" s="12"/>
      <c r="AJ7" s="12"/>
      <c r="AK7" s="12"/>
      <c r="AL7" s="12"/>
      <c r="AM7" s="12" t="s">
        <v>131</v>
      </c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D7" s="475" t="s">
        <v>180</v>
      </c>
      <c r="BE7" s="467"/>
      <c r="BF7" s="467"/>
      <c r="BG7" s="467"/>
      <c r="BH7" s="467"/>
      <c r="BI7" s="467"/>
      <c r="BJ7" s="467"/>
      <c r="BK7" s="467"/>
      <c r="BL7" s="469"/>
    </row>
    <row r="8" spans="1:64" s="3" customFormat="1" ht="19.5" customHeight="1" x14ac:dyDescent="0.3">
      <c r="A8" s="21" t="s">
        <v>132</v>
      </c>
      <c r="B8" s="6">
        <v>300</v>
      </c>
      <c r="C8" s="82">
        <v>187.12</v>
      </c>
      <c r="D8" s="234">
        <v>600</v>
      </c>
      <c r="E8" s="11"/>
      <c r="F8" s="39">
        <v>1500</v>
      </c>
      <c r="G8" s="39">
        <v>1000</v>
      </c>
      <c r="H8" s="39">
        <v>940</v>
      </c>
      <c r="I8" s="39">
        <f>1200+600</f>
        <v>1800</v>
      </c>
      <c r="J8" s="39">
        <v>1800</v>
      </c>
      <c r="K8" s="39">
        <v>1700</v>
      </c>
      <c r="L8" s="39">
        <v>1672</v>
      </c>
      <c r="M8" s="39">
        <v>1849</v>
      </c>
      <c r="N8" s="39">
        <v>1483</v>
      </c>
      <c r="O8" s="39">
        <v>1806</v>
      </c>
      <c r="P8" s="39">
        <v>1800</v>
      </c>
      <c r="Q8" s="39">
        <v>1021</v>
      </c>
      <c r="R8" s="39">
        <v>900</v>
      </c>
      <c r="S8" s="39">
        <v>678</v>
      </c>
      <c r="T8" s="39">
        <v>642</v>
      </c>
      <c r="U8" s="39">
        <v>385</v>
      </c>
      <c r="V8" s="39">
        <f>335+AL8</f>
        <v>635</v>
      </c>
      <c r="W8" s="39">
        <v>600</v>
      </c>
      <c r="X8" s="39">
        <v>556</v>
      </c>
      <c r="Y8" s="39">
        <f>421+AK8</f>
        <v>721</v>
      </c>
      <c r="Z8" s="39">
        <v>385</v>
      </c>
      <c r="AA8" s="372">
        <f ca="1">Y8+IF(NOT(ISBLANK(OFFSET(AA8,0,6))),N(OFFSET(AA8,0,6)),N(OFFSET(AA8,0,7)))-Z8</f>
        <v>336</v>
      </c>
      <c r="AB8" s="11"/>
      <c r="AC8" s="78"/>
      <c r="AD8" s="78"/>
      <c r="AE8" s="11"/>
      <c r="AF8" s="32">
        <v>300</v>
      </c>
      <c r="AG8" s="11"/>
      <c r="AH8" s="19">
        <v>0</v>
      </c>
      <c r="AI8" s="296"/>
      <c r="AJ8" s="296"/>
      <c r="AK8" s="19">
        <v>300</v>
      </c>
      <c r="AL8" s="19">
        <v>300</v>
      </c>
      <c r="AM8" s="19"/>
      <c r="AN8" s="19"/>
      <c r="AO8" s="19"/>
      <c r="AP8" s="19"/>
      <c r="AQ8" s="19"/>
      <c r="AR8" s="19"/>
      <c r="AS8" s="19"/>
      <c r="AT8" s="19"/>
      <c r="AU8" s="253" t="s">
        <v>235</v>
      </c>
      <c r="AV8" s="19"/>
      <c r="AW8" s="19">
        <v>300</v>
      </c>
      <c r="AX8" s="19"/>
      <c r="AY8" s="19">
        <v>600</v>
      </c>
      <c r="AZ8" s="19">
        <v>300</v>
      </c>
      <c r="BA8" s="19">
        <v>300</v>
      </c>
      <c r="BB8" s="19">
        <v>600</v>
      </c>
      <c r="BD8" s="389" t="s">
        <v>130</v>
      </c>
      <c r="BE8" s="376" t="s">
        <v>123</v>
      </c>
      <c r="BF8" s="13">
        <v>46118</v>
      </c>
      <c r="BG8" s="13">
        <v>46125</v>
      </c>
      <c r="BH8" s="13">
        <v>46132</v>
      </c>
      <c r="BI8" s="13">
        <v>46139</v>
      </c>
      <c r="BJ8" s="13">
        <v>46146</v>
      </c>
      <c r="BK8" s="13">
        <v>46154</v>
      </c>
      <c r="BL8" s="35" t="s">
        <v>129</v>
      </c>
    </row>
    <row r="9" spans="1:64" s="3" customFormat="1" ht="19.5" customHeight="1" x14ac:dyDescent="0.3">
      <c r="A9" s="21" t="s">
        <v>134</v>
      </c>
      <c r="B9" s="6">
        <v>200</v>
      </c>
      <c r="C9" s="82">
        <v>193.08</v>
      </c>
      <c r="D9" s="234">
        <v>1200</v>
      </c>
      <c r="E9" s="11"/>
      <c r="F9" s="39">
        <v>1947</v>
      </c>
      <c r="G9" s="39">
        <v>1070</v>
      </c>
      <c r="H9" s="39">
        <v>783</v>
      </c>
      <c r="I9" s="39">
        <v>1037</v>
      </c>
      <c r="J9" s="39">
        <f>1582+AT9</f>
        <v>1982</v>
      </c>
      <c r="K9" s="39">
        <v>1425</v>
      </c>
      <c r="L9" s="39">
        <f>1200+AS9</f>
        <v>1800</v>
      </c>
      <c r="M9" s="39">
        <f>1310+AR9</f>
        <v>1710</v>
      </c>
      <c r="N9" s="39">
        <v>1400</v>
      </c>
      <c r="O9" s="39">
        <v>1105</v>
      </c>
      <c r="P9" s="39">
        <v>1213</v>
      </c>
      <c r="Q9" s="39">
        <v>643</v>
      </c>
      <c r="R9" s="39">
        <f>200+AO9</f>
        <v>1400</v>
      </c>
      <c r="S9" s="39">
        <v>1054</v>
      </c>
      <c r="T9" s="39">
        <v>764</v>
      </c>
      <c r="U9" s="39">
        <v>472</v>
      </c>
      <c r="V9" s="39">
        <f>80+AL9</f>
        <v>480</v>
      </c>
      <c r="W9" s="39">
        <v>480</v>
      </c>
      <c r="X9" s="206">
        <v>557</v>
      </c>
      <c r="Y9" s="39">
        <f>557+AK9</f>
        <v>957</v>
      </c>
      <c r="Z9" s="39">
        <v>557</v>
      </c>
      <c r="AA9" s="372">
        <f ca="1">Y9+IF(NOT(ISBLANK(OFFSET(AA9,0,6))),N(OFFSET(AA9,0,6)),N(OFFSET(AA9,0,7)))-Z9</f>
        <v>400</v>
      </c>
      <c r="AB9" s="11"/>
      <c r="AC9" s="78"/>
      <c r="AD9" s="78"/>
      <c r="AE9" s="11"/>
      <c r="AF9" s="32"/>
      <c r="AG9" s="11"/>
      <c r="AH9" s="296">
        <v>0</v>
      </c>
      <c r="AI9" s="296"/>
      <c r="AJ9" s="296"/>
      <c r="AK9" s="296">
        <v>400</v>
      </c>
      <c r="AL9" s="19">
        <v>400</v>
      </c>
      <c r="AM9" s="117">
        <v>3000</v>
      </c>
      <c r="AN9" s="19"/>
      <c r="AO9" s="19">
        <v>1200</v>
      </c>
      <c r="AP9" s="19"/>
      <c r="AQ9" s="19">
        <v>400</v>
      </c>
      <c r="AR9" s="19">
        <v>400</v>
      </c>
      <c r="AS9" s="19">
        <v>600</v>
      </c>
      <c r="AT9" s="19">
        <v>400</v>
      </c>
      <c r="AU9" s="19"/>
      <c r="AV9" s="19">
        <v>600</v>
      </c>
      <c r="AW9" s="19">
        <v>800</v>
      </c>
      <c r="AX9" s="19"/>
      <c r="AY9" s="19">
        <v>1400</v>
      </c>
      <c r="AZ9" s="19">
        <v>800</v>
      </c>
      <c r="BA9" s="19"/>
      <c r="BB9" s="19"/>
      <c r="BD9" s="364" t="s">
        <v>136</v>
      </c>
      <c r="BE9" s="135">
        <v>200</v>
      </c>
      <c r="BF9" s="39">
        <f>AM9</f>
        <v>3000</v>
      </c>
      <c r="BG9" s="39">
        <v>3000</v>
      </c>
      <c r="BH9" s="39">
        <v>3000</v>
      </c>
      <c r="BI9" s="39">
        <v>2356</v>
      </c>
      <c r="BJ9" s="39">
        <v>2178</v>
      </c>
      <c r="BK9" s="39">
        <v>1200</v>
      </c>
      <c r="BL9" s="26">
        <f ca="1">BJ9+IF(NOT(ISBLANK(OFFSET(BL9,0,6))),N(OFFSET(BL9,0,6)),N(OFFSET(BL9,0,7)))-BK9</f>
        <v>978</v>
      </c>
    </row>
    <row r="10" spans="1:64" s="3" customFormat="1" ht="19.5" customHeight="1" x14ac:dyDescent="0.3">
      <c r="A10" s="21" t="s">
        <v>137</v>
      </c>
      <c r="B10" s="6">
        <v>200</v>
      </c>
      <c r="C10" s="82">
        <v>253.83</v>
      </c>
      <c r="D10" s="234">
        <v>800</v>
      </c>
      <c r="E10" s="11"/>
      <c r="F10" s="39">
        <v>973</v>
      </c>
      <c r="G10" s="39">
        <v>262</v>
      </c>
      <c r="H10" s="39">
        <f>0+200</f>
        <v>200</v>
      </c>
      <c r="I10" s="39">
        <v>501</v>
      </c>
      <c r="J10" s="39">
        <f>1208+AT10</f>
        <v>1408</v>
      </c>
      <c r="K10" s="39">
        <v>1277</v>
      </c>
      <c r="L10" s="39">
        <v>1000</v>
      </c>
      <c r="M10" s="39">
        <f>1000+AR10</f>
        <v>1400</v>
      </c>
      <c r="N10" s="39">
        <v>1211</v>
      </c>
      <c r="O10" s="39">
        <v>1128</v>
      </c>
      <c r="P10" s="39">
        <v>1023</v>
      </c>
      <c r="Q10" s="39">
        <v>634</v>
      </c>
      <c r="R10" s="39">
        <f>437+AO10</f>
        <v>837</v>
      </c>
      <c r="S10" s="39">
        <v>600</v>
      </c>
      <c r="T10" s="39">
        <v>422</v>
      </c>
      <c r="U10" s="39">
        <v>245</v>
      </c>
      <c r="V10" s="39">
        <f>45+AL10</f>
        <v>245</v>
      </c>
      <c r="W10" s="39">
        <v>245</v>
      </c>
      <c r="X10" s="206">
        <v>349</v>
      </c>
      <c r="Y10" s="39">
        <f>349+AK10</f>
        <v>749</v>
      </c>
      <c r="Z10" s="39">
        <v>600</v>
      </c>
      <c r="AA10" s="372">
        <f ca="1">Y10+IF(NOT(ISBLANK(OFFSET(AA10,0,6))),N(OFFSET(AA10,0,6)),N(OFFSET(AA10,0,7)))-Z10</f>
        <v>149</v>
      </c>
      <c r="AB10" s="11"/>
      <c r="AC10" s="78"/>
      <c r="AD10" s="78"/>
      <c r="AE10" s="11"/>
      <c r="AF10" s="32"/>
      <c r="AG10" s="11"/>
      <c r="AH10" s="296">
        <v>0</v>
      </c>
      <c r="AI10" s="296"/>
      <c r="AJ10" s="296"/>
      <c r="AK10" s="296">
        <v>400</v>
      </c>
      <c r="AL10" s="19">
        <v>200</v>
      </c>
      <c r="AM10" s="117">
        <v>1800</v>
      </c>
      <c r="AN10" s="19"/>
      <c r="AO10" s="19">
        <v>400</v>
      </c>
      <c r="AP10" s="19"/>
      <c r="AQ10" s="19"/>
      <c r="AR10" s="19">
        <v>400</v>
      </c>
      <c r="AS10" s="19"/>
      <c r="AT10" s="19">
        <v>200</v>
      </c>
      <c r="AU10" s="19"/>
      <c r="AV10" s="19">
        <v>800</v>
      </c>
      <c r="AW10" s="19">
        <v>400</v>
      </c>
      <c r="AX10" s="253" t="s">
        <v>236</v>
      </c>
      <c r="AY10" s="19">
        <v>800</v>
      </c>
      <c r="AZ10" s="19"/>
      <c r="BA10" s="19"/>
      <c r="BB10" s="19"/>
      <c r="BD10" s="21" t="s">
        <v>138</v>
      </c>
      <c r="BE10" s="6">
        <v>200</v>
      </c>
      <c r="BF10" s="39">
        <f>AM10</f>
        <v>1800</v>
      </c>
      <c r="BG10" s="39">
        <v>1800</v>
      </c>
      <c r="BH10" s="39">
        <v>1800</v>
      </c>
      <c r="BI10" s="39">
        <v>1392</v>
      </c>
      <c r="BJ10" s="39">
        <v>1184</v>
      </c>
      <c r="BK10" s="39">
        <v>0</v>
      </c>
      <c r="BL10" s="26">
        <f ca="1">BJ10+IF(NOT(ISBLANK(OFFSET(BL10,0,6))),N(OFFSET(BL10,0,6)),N(OFFSET(BL10,0,7)))-BK10</f>
        <v>1184</v>
      </c>
    </row>
    <row r="11" spans="1:64" s="3" customFormat="1" ht="19.5" customHeight="1" x14ac:dyDescent="0.3">
      <c r="A11" s="22" t="s">
        <v>139</v>
      </c>
      <c r="B11" s="6">
        <v>100</v>
      </c>
      <c r="C11" s="82">
        <v>184.57</v>
      </c>
      <c r="D11" s="234">
        <v>150</v>
      </c>
      <c r="E11" s="11"/>
      <c r="F11" s="39">
        <v>116</v>
      </c>
      <c r="G11" s="39">
        <v>100</v>
      </c>
      <c r="H11" s="39">
        <v>100</v>
      </c>
      <c r="I11" s="39">
        <v>100</v>
      </c>
      <c r="J11" s="39">
        <f>100+AT11</f>
        <v>300</v>
      </c>
      <c r="K11" s="39">
        <v>350</v>
      </c>
      <c r="L11" s="39">
        <v>336</v>
      </c>
      <c r="M11" s="39">
        <v>336</v>
      </c>
      <c r="N11" s="39">
        <v>334</v>
      </c>
      <c r="O11" s="39">
        <v>312</v>
      </c>
      <c r="P11" s="39">
        <v>309</v>
      </c>
      <c r="Q11" s="39">
        <v>300</v>
      </c>
      <c r="R11" s="39">
        <v>300</v>
      </c>
      <c r="S11" s="39">
        <v>300</v>
      </c>
      <c r="T11" s="39">
        <v>300</v>
      </c>
      <c r="U11" s="39">
        <v>285</v>
      </c>
      <c r="V11" s="39">
        <v>274</v>
      </c>
      <c r="W11" s="39">
        <v>274</v>
      </c>
      <c r="X11" s="39">
        <v>269</v>
      </c>
      <c r="Y11" s="39">
        <v>235</v>
      </c>
      <c r="Z11" s="39">
        <v>200</v>
      </c>
      <c r="AA11" s="372">
        <f ca="1">Y11+IF(NOT(ISBLANK(OFFSET(AA11,0,6))),N(OFFSET(AA11,0,6)),N(OFFSET(AA11,0,7)))-Z11</f>
        <v>35</v>
      </c>
      <c r="AB11" s="11"/>
      <c r="AC11" s="78" t="s">
        <v>237</v>
      </c>
      <c r="AD11" s="78"/>
      <c r="AE11" s="11"/>
      <c r="AF11" s="32"/>
      <c r="AG11" s="11"/>
      <c r="AH11" s="296">
        <v>0</v>
      </c>
      <c r="AI11" s="296"/>
      <c r="AJ11" s="296"/>
      <c r="AK11" s="296">
        <v>0</v>
      </c>
      <c r="AL11" s="19"/>
      <c r="AM11" s="117">
        <v>300</v>
      </c>
      <c r="AN11" s="19"/>
      <c r="AO11" s="19"/>
      <c r="AP11" s="19"/>
      <c r="AQ11" s="19"/>
      <c r="AR11" s="19"/>
      <c r="AS11" s="19"/>
      <c r="AT11" s="19">
        <v>200</v>
      </c>
      <c r="AU11" s="19"/>
      <c r="AV11" s="19"/>
      <c r="AW11" s="19">
        <v>100</v>
      </c>
      <c r="AX11" s="19"/>
      <c r="AY11" s="19"/>
      <c r="AZ11" s="19"/>
      <c r="BA11" s="19"/>
      <c r="BB11" s="19"/>
      <c r="BD11" s="22" t="s">
        <v>140</v>
      </c>
      <c r="BE11" s="6">
        <v>100</v>
      </c>
      <c r="BF11" s="39">
        <f>AM11</f>
        <v>300</v>
      </c>
      <c r="BG11" s="39">
        <v>300</v>
      </c>
      <c r="BH11" s="39">
        <v>300</v>
      </c>
      <c r="BI11" s="39">
        <v>225</v>
      </c>
      <c r="BJ11" s="39">
        <v>200</v>
      </c>
      <c r="BK11" s="39">
        <v>136</v>
      </c>
      <c r="BL11" s="26">
        <f ca="1">BJ11+IF(NOT(ISBLANK(OFFSET(BL11,0,6))),N(OFFSET(BL11,0,6)),N(OFFSET(BL11,0,7)))-BK11</f>
        <v>64</v>
      </c>
    </row>
    <row r="12" spans="1:64" s="3" customFormat="1" ht="16.5" customHeight="1" x14ac:dyDescent="0.3">
      <c r="A12" s="23"/>
      <c r="B12" s="1"/>
      <c r="C12" s="64"/>
      <c r="D12" s="235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11"/>
      <c r="AC12" s="342"/>
      <c r="AD12" s="342"/>
      <c r="AE12" s="11"/>
      <c r="AF12" s="33"/>
      <c r="AG12" s="11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A12" s="75"/>
      <c r="BB12" s="75"/>
      <c r="BD12" s="23"/>
      <c r="BE12" s="1"/>
      <c r="BF12" s="2"/>
      <c r="BG12" s="2"/>
      <c r="BH12" s="2"/>
      <c r="BI12" s="2"/>
      <c r="BJ12" s="2"/>
      <c r="BK12" s="2"/>
    </row>
    <row r="13" spans="1:64" s="3" customFormat="1" x14ac:dyDescent="0.3">
      <c r="A13" s="24" t="s">
        <v>141</v>
      </c>
      <c r="B13" s="12"/>
      <c r="C13" s="65"/>
      <c r="D13" s="395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35" t="s">
        <v>129</v>
      </c>
      <c r="AB13" s="7"/>
      <c r="AC13" s="29" t="s">
        <v>126</v>
      </c>
      <c r="AD13" s="29" t="s">
        <v>126</v>
      </c>
      <c r="AE13" s="11"/>
      <c r="AF13" s="9" t="s">
        <v>127</v>
      </c>
      <c r="AG13" s="7"/>
      <c r="AH13" s="363"/>
      <c r="AI13" s="339">
        <v>46148</v>
      </c>
      <c r="AJ13" s="339">
        <v>46148</v>
      </c>
      <c r="AK13" s="363">
        <v>46142</v>
      </c>
      <c r="AL13" s="363">
        <v>46114</v>
      </c>
      <c r="AM13" s="409">
        <v>46065</v>
      </c>
      <c r="AN13" s="363">
        <v>46099</v>
      </c>
      <c r="AO13" s="363">
        <v>46092</v>
      </c>
      <c r="AP13" s="363">
        <v>46084</v>
      </c>
      <c r="AQ13" s="363">
        <v>46071</v>
      </c>
      <c r="AR13" s="363">
        <v>46056</v>
      </c>
      <c r="AS13" s="363">
        <v>46048</v>
      </c>
      <c r="AT13" s="363">
        <v>46035</v>
      </c>
      <c r="AU13" s="371">
        <v>46037</v>
      </c>
      <c r="AV13" s="363">
        <v>46024</v>
      </c>
      <c r="AW13" s="363">
        <v>46017</v>
      </c>
      <c r="AX13" s="371">
        <v>46027</v>
      </c>
      <c r="AY13" s="363">
        <v>46007</v>
      </c>
      <c r="AZ13" s="363">
        <v>46001</v>
      </c>
      <c r="BA13" s="363">
        <v>45994</v>
      </c>
      <c r="BB13" s="363">
        <v>45986</v>
      </c>
      <c r="BD13" s="389" t="s">
        <v>141</v>
      </c>
      <c r="BE13" s="376" t="s">
        <v>123</v>
      </c>
      <c r="BF13" s="13">
        <v>46118</v>
      </c>
      <c r="BG13" s="13">
        <v>46125</v>
      </c>
      <c r="BH13" s="13">
        <v>46132</v>
      </c>
      <c r="BI13" s="13">
        <v>46139</v>
      </c>
      <c r="BJ13" s="13">
        <v>46146</v>
      </c>
      <c r="BK13" s="13">
        <v>46154</v>
      </c>
      <c r="BL13" s="35" t="s">
        <v>129</v>
      </c>
    </row>
    <row r="14" spans="1:64" s="3" customFormat="1" x14ac:dyDescent="0.3">
      <c r="A14" s="25" t="s">
        <v>224</v>
      </c>
      <c r="B14" s="6">
        <v>500</v>
      </c>
      <c r="C14" s="66">
        <v>99.26</v>
      </c>
      <c r="D14" s="234">
        <v>7</v>
      </c>
      <c r="E14" s="7"/>
      <c r="F14" s="122">
        <v>5</v>
      </c>
      <c r="G14" s="122">
        <v>4</v>
      </c>
      <c r="H14" s="122">
        <v>3</v>
      </c>
      <c r="I14" s="122">
        <v>7</v>
      </c>
      <c r="J14" s="122">
        <v>16</v>
      </c>
      <c r="K14" s="122">
        <v>15</v>
      </c>
      <c r="L14" s="122">
        <v>14</v>
      </c>
      <c r="M14" s="122">
        <v>11</v>
      </c>
      <c r="N14" s="122">
        <v>10</v>
      </c>
      <c r="O14" s="122">
        <v>8</v>
      </c>
      <c r="P14" s="122">
        <v>8</v>
      </c>
      <c r="Q14" s="122">
        <v>3</v>
      </c>
      <c r="R14" s="122">
        <f>1+AO14</f>
        <v>11</v>
      </c>
      <c r="S14" s="122">
        <v>8</v>
      </c>
      <c r="T14" s="122">
        <v>7</v>
      </c>
      <c r="U14" s="122">
        <v>5</v>
      </c>
      <c r="V14" s="122">
        <f>4+AL14</f>
        <v>9</v>
      </c>
      <c r="W14" s="122">
        <v>9</v>
      </c>
      <c r="X14" s="122">
        <v>9</v>
      </c>
      <c r="Y14" s="122">
        <f>7+AK14-3</f>
        <v>9</v>
      </c>
      <c r="Z14" s="122">
        <v>9</v>
      </c>
      <c r="AA14" s="372">
        <f ca="1">Y14+IF(NOT(ISBLANK(OFFSET(AA14,0,6))),N(OFFSET(AA14,0,6)),N(OFFSET(AA14,0,7)))-Z14</f>
        <v>0</v>
      </c>
      <c r="AB14" s="7"/>
      <c r="AC14" s="78"/>
      <c r="AD14" s="78"/>
      <c r="AE14" s="7"/>
      <c r="AF14" s="393"/>
      <c r="AG14" s="7"/>
      <c r="AH14" s="296">
        <v>0</v>
      </c>
      <c r="AI14" s="253" t="s">
        <v>238</v>
      </c>
      <c r="AJ14" s="296"/>
      <c r="AK14" s="296">
        <v>5</v>
      </c>
      <c r="AL14" s="19">
        <v>5</v>
      </c>
      <c r="AM14" s="117">
        <v>15</v>
      </c>
      <c r="AN14" s="19"/>
      <c r="AO14" s="19">
        <v>10</v>
      </c>
      <c r="AP14" s="19"/>
      <c r="AQ14" s="19"/>
      <c r="AR14" s="19"/>
      <c r="AS14" s="19"/>
      <c r="AT14" s="19"/>
      <c r="AU14" s="19"/>
      <c r="AV14" s="19">
        <v>10</v>
      </c>
      <c r="AW14" s="19">
        <v>4</v>
      </c>
      <c r="AX14" s="19"/>
      <c r="AY14" s="19">
        <v>3</v>
      </c>
      <c r="AZ14" s="19"/>
      <c r="BA14" s="19"/>
      <c r="BB14" s="19"/>
      <c r="BD14" s="364" t="s">
        <v>143</v>
      </c>
      <c r="BE14" s="135">
        <v>200</v>
      </c>
      <c r="BF14" s="39">
        <f>AM14</f>
        <v>15</v>
      </c>
      <c r="BG14" s="39">
        <v>15</v>
      </c>
      <c r="BH14" s="39">
        <v>15</v>
      </c>
      <c r="BI14" s="39">
        <v>10</v>
      </c>
      <c r="BJ14" s="39">
        <v>8</v>
      </c>
      <c r="BK14" s="39">
        <v>0</v>
      </c>
      <c r="BL14" s="26">
        <f ca="1">BJ14+IF(NOT(ISBLANK(OFFSET(BL14,0,6))),N(OFFSET(BL14,0,6)),N(OFFSET(BL14,0,7)))-BK14</f>
        <v>8</v>
      </c>
    </row>
    <row r="15" spans="1:64" s="3" customFormat="1" x14ac:dyDescent="0.3">
      <c r="A15" s="25" t="s">
        <v>225</v>
      </c>
      <c r="B15" s="6">
        <v>2000</v>
      </c>
      <c r="C15" s="66">
        <v>55.36</v>
      </c>
      <c r="D15" s="234">
        <v>2</v>
      </c>
      <c r="E15" s="7"/>
      <c r="F15" s="122">
        <v>8</v>
      </c>
      <c r="G15" s="122">
        <v>11</v>
      </c>
      <c r="H15" s="122">
        <v>11</v>
      </c>
      <c r="I15" s="122">
        <v>9</v>
      </c>
      <c r="J15" s="122">
        <v>11</v>
      </c>
      <c r="K15" s="122">
        <v>11</v>
      </c>
      <c r="L15" s="122">
        <v>11</v>
      </c>
      <c r="M15" s="122">
        <v>11</v>
      </c>
      <c r="N15" s="122">
        <v>7</v>
      </c>
      <c r="O15" s="122">
        <v>10</v>
      </c>
      <c r="P15" s="122">
        <v>10</v>
      </c>
      <c r="Q15" s="122">
        <v>9</v>
      </c>
      <c r="R15" s="122">
        <v>9</v>
      </c>
      <c r="S15" s="122">
        <v>9</v>
      </c>
      <c r="T15" s="122">
        <v>9</v>
      </c>
      <c r="U15" s="122">
        <v>8</v>
      </c>
      <c r="V15" s="122">
        <v>7</v>
      </c>
      <c r="W15" s="122">
        <v>7</v>
      </c>
      <c r="X15" s="122">
        <v>7</v>
      </c>
      <c r="Y15" s="122">
        <v>6</v>
      </c>
      <c r="Z15" s="122">
        <v>5</v>
      </c>
      <c r="AA15" s="372">
        <f ca="1">Y15+IF(NOT(ISBLANK(OFFSET(AA15,0,6))),N(OFFSET(AA15,0,6)),N(OFFSET(AA15,0,7)))-Z15</f>
        <v>1</v>
      </c>
      <c r="AB15" s="7"/>
      <c r="AC15" s="78"/>
      <c r="AD15" s="78"/>
      <c r="AE15" s="7"/>
      <c r="AF15" s="32"/>
      <c r="AG15" s="7"/>
      <c r="AH15" s="296">
        <v>0</v>
      </c>
      <c r="AI15" s="296"/>
      <c r="AJ15" s="296"/>
      <c r="AK15" s="296">
        <v>0</v>
      </c>
      <c r="AL15" s="19"/>
      <c r="AM15" s="117">
        <v>6</v>
      </c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>
        <v>8</v>
      </c>
      <c r="AZ15" s="19">
        <v>3</v>
      </c>
      <c r="BA15" s="19">
        <v>2</v>
      </c>
      <c r="BB15" s="19"/>
      <c r="BD15" s="21" t="s">
        <v>146</v>
      </c>
      <c r="BE15" s="6">
        <v>200</v>
      </c>
      <c r="BF15" s="39">
        <f>AM15</f>
        <v>6</v>
      </c>
      <c r="BG15" s="39">
        <v>6</v>
      </c>
      <c r="BH15" s="39">
        <v>6</v>
      </c>
      <c r="BI15" s="39">
        <v>4</v>
      </c>
      <c r="BJ15" s="39">
        <v>4</v>
      </c>
      <c r="BK15" s="39">
        <v>0</v>
      </c>
      <c r="BL15" s="26">
        <f ca="1">BJ15+IF(NOT(ISBLANK(OFFSET(BL15,0,6))),N(OFFSET(BL15,0,6)),N(OFFSET(BL15,0,7)))-BK15</f>
        <v>4</v>
      </c>
    </row>
    <row r="16" spans="1:64" s="3" customFormat="1" x14ac:dyDescent="0.25">
      <c r="A16" s="25" t="s">
        <v>147</v>
      </c>
      <c r="B16" s="6">
        <v>200</v>
      </c>
      <c r="C16" s="66">
        <v>10.28</v>
      </c>
      <c r="D16" s="234">
        <v>6</v>
      </c>
      <c r="E16" s="1"/>
      <c r="F16" s="122">
        <v>11</v>
      </c>
      <c r="G16" s="122">
        <v>8</v>
      </c>
      <c r="H16" s="122">
        <v>7</v>
      </c>
      <c r="I16" s="122">
        <v>6</v>
      </c>
      <c r="J16" s="122">
        <v>11</v>
      </c>
      <c r="K16" s="122">
        <v>11</v>
      </c>
      <c r="L16" s="122">
        <v>9</v>
      </c>
      <c r="M16" s="122">
        <v>8</v>
      </c>
      <c r="N16" s="122">
        <v>7</v>
      </c>
      <c r="O16" s="122">
        <v>7</v>
      </c>
      <c r="P16" s="122">
        <v>6</v>
      </c>
      <c r="Q16" s="122">
        <v>5</v>
      </c>
      <c r="R16" s="122">
        <v>4</v>
      </c>
      <c r="S16" s="122">
        <v>4</v>
      </c>
      <c r="T16" s="122">
        <v>3</v>
      </c>
      <c r="U16" s="122">
        <v>2</v>
      </c>
      <c r="V16" s="122">
        <v>2</v>
      </c>
      <c r="W16" s="122">
        <v>2</v>
      </c>
      <c r="X16" s="122">
        <v>0</v>
      </c>
      <c r="Y16" s="122">
        <f>0+AK16+5+4-3</f>
        <v>12</v>
      </c>
      <c r="Z16" s="122">
        <v>12</v>
      </c>
      <c r="AA16" s="372">
        <f ca="1">Y16+IF(NOT(ISBLANK(OFFSET(AA16,0,6))),N(OFFSET(AA16,0,6)),N(OFFSET(AA16,0,7)))-Z16</f>
        <v>0</v>
      </c>
      <c r="AB16" s="1"/>
      <c r="AC16" s="78" t="s">
        <v>239</v>
      </c>
      <c r="AD16" s="78"/>
      <c r="AE16" s="1"/>
      <c r="AF16" s="32"/>
      <c r="AG16" s="1"/>
      <c r="AH16" s="19">
        <v>0</v>
      </c>
      <c r="AI16" s="253" t="s">
        <v>238</v>
      </c>
      <c r="AJ16" s="253" t="s">
        <v>240</v>
      </c>
      <c r="AK16" s="19">
        <v>6</v>
      </c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>
        <v>4</v>
      </c>
      <c r="AW16" s="19"/>
      <c r="AX16" s="19"/>
      <c r="AY16" s="19">
        <v>6</v>
      </c>
      <c r="AZ16" s="19"/>
      <c r="BA16" s="19"/>
      <c r="BB16" s="19">
        <v>6</v>
      </c>
    </row>
    <row r="17" spans="1:64" s="3" customFormat="1" x14ac:dyDescent="0.25">
      <c r="A17" s="25" t="s">
        <v>148</v>
      </c>
      <c r="B17" s="6">
        <v>3000</v>
      </c>
      <c r="C17" s="66">
        <v>71.8</v>
      </c>
      <c r="D17" s="234">
        <v>4</v>
      </c>
      <c r="E17" s="1"/>
      <c r="F17" s="122">
        <v>5</v>
      </c>
      <c r="G17" s="122">
        <v>8</v>
      </c>
      <c r="H17" s="122">
        <v>7</v>
      </c>
      <c r="I17" s="122">
        <v>11</v>
      </c>
      <c r="J17" s="122">
        <v>11</v>
      </c>
      <c r="K17" s="122">
        <v>11</v>
      </c>
      <c r="L17" s="122">
        <v>10</v>
      </c>
      <c r="M17" s="122">
        <v>8</v>
      </c>
      <c r="N17" s="122">
        <v>8</v>
      </c>
      <c r="O17" s="122">
        <v>8</v>
      </c>
      <c r="P17" s="122">
        <v>7</v>
      </c>
      <c r="Q17" s="122">
        <v>6</v>
      </c>
      <c r="R17" s="122">
        <v>6</v>
      </c>
      <c r="S17" s="122">
        <v>5</v>
      </c>
      <c r="T17" s="122">
        <v>4</v>
      </c>
      <c r="U17" s="122">
        <v>3</v>
      </c>
      <c r="V17" s="122">
        <f>2+AL17</f>
        <v>4</v>
      </c>
      <c r="W17" s="122">
        <v>4</v>
      </c>
      <c r="X17" s="122">
        <v>4</v>
      </c>
      <c r="Y17" s="122">
        <v>3</v>
      </c>
      <c r="Z17" s="122">
        <v>2</v>
      </c>
      <c r="AA17" s="372">
        <f ca="1">Y17+IF(NOT(ISBLANK(OFFSET(AA17,0,6))),N(OFFSET(AA17,0,6)),N(OFFSET(AA17,0,7)))-Z17</f>
        <v>1</v>
      </c>
      <c r="AB17" s="1"/>
      <c r="AC17" s="78"/>
      <c r="AD17" s="78"/>
      <c r="AE17" s="1"/>
      <c r="AF17" s="32">
        <v>2</v>
      </c>
      <c r="AG17" s="1"/>
      <c r="AH17" s="19">
        <v>0</v>
      </c>
      <c r="AI17" s="19"/>
      <c r="AJ17" s="19"/>
      <c r="AK17" s="19">
        <v>0</v>
      </c>
      <c r="AL17" s="19">
        <v>2</v>
      </c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>
        <v>5</v>
      </c>
      <c r="AX17" s="19"/>
      <c r="AY17" s="19"/>
      <c r="AZ17" s="19">
        <v>6</v>
      </c>
      <c r="BA17" s="19">
        <v>4</v>
      </c>
      <c r="BB17" s="19">
        <v>2</v>
      </c>
    </row>
    <row r="18" spans="1:64" s="3" customFormat="1" ht="14.25" customHeight="1" x14ac:dyDescent="0.25">
      <c r="A18" s="23"/>
      <c r="D18" s="235"/>
      <c r="AC18" s="390"/>
      <c r="AD18" s="390"/>
      <c r="AF18" s="344"/>
      <c r="AH18" s="388"/>
      <c r="AI18" s="388"/>
      <c r="AJ18" s="388"/>
      <c r="AK18" s="388"/>
      <c r="AL18" s="388"/>
      <c r="AM18" s="388"/>
      <c r="AN18" s="388"/>
      <c r="AO18" s="388"/>
      <c r="AP18" s="388"/>
      <c r="AQ18" s="388"/>
      <c r="AR18" s="388"/>
      <c r="AS18" s="388"/>
      <c r="AT18" s="388"/>
      <c r="AU18" s="388"/>
      <c r="AV18" s="388"/>
      <c r="AW18" s="388"/>
      <c r="AX18" s="388"/>
      <c r="AY18" s="388"/>
      <c r="AZ18" s="388"/>
      <c r="BA18" s="388"/>
      <c r="BB18" s="388"/>
    </row>
    <row r="19" spans="1:64" s="3" customFormat="1" x14ac:dyDescent="0.3">
      <c r="A19" s="24" t="s">
        <v>150</v>
      </c>
      <c r="B19" s="12"/>
      <c r="C19" s="61"/>
      <c r="D19" s="395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35" t="s">
        <v>129</v>
      </c>
      <c r="AB19" s="1"/>
      <c r="AC19" s="29" t="s">
        <v>126</v>
      </c>
      <c r="AD19" s="29" t="s">
        <v>126</v>
      </c>
      <c r="AE19" s="11"/>
      <c r="AF19" s="9" t="s">
        <v>127</v>
      </c>
      <c r="AG19" s="1"/>
      <c r="AH19" s="363"/>
      <c r="AI19" s="339">
        <v>46148</v>
      </c>
      <c r="AJ19" s="339">
        <v>46148</v>
      </c>
      <c r="AK19" s="363">
        <v>46142</v>
      </c>
      <c r="AL19" s="363">
        <v>46114</v>
      </c>
      <c r="AM19" s="409">
        <v>46065</v>
      </c>
      <c r="AN19" s="363">
        <v>46099</v>
      </c>
      <c r="AO19" s="363">
        <v>46092</v>
      </c>
      <c r="AP19" s="363">
        <v>46084</v>
      </c>
      <c r="AQ19" s="363">
        <v>46071</v>
      </c>
      <c r="AR19" s="363">
        <v>46056</v>
      </c>
      <c r="AS19" s="363">
        <v>46048</v>
      </c>
      <c r="AT19" s="363">
        <v>46035</v>
      </c>
      <c r="AU19" s="371">
        <v>46037</v>
      </c>
      <c r="AV19" s="363">
        <v>46024</v>
      </c>
      <c r="AW19" s="363">
        <v>46017</v>
      </c>
      <c r="AX19" s="371">
        <v>46027</v>
      </c>
      <c r="AY19" s="363">
        <v>46007</v>
      </c>
      <c r="AZ19" s="363">
        <v>46001</v>
      </c>
      <c r="BA19" s="363">
        <v>45994</v>
      </c>
      <c r="BB19" s="363">
        <v>45986</v>
      </c>
      <c r="BD19" s="389" t="s">
        <v>150</v>
      </c>
      <c r="BE19" s="376" t="s">
        <v>123</v>
      </c>
      <c r="BF19" s="13">
        <v>46118</v>
      </c>
      <c r="BG19" s="13">
        <v>46125</v>
      </c>
      <c r="BH19" s="13">
        <v>46132</v>
      </c>
      <c r="BI19" s="13">
        <v>46139</v>
      </c>
      <c r="BJ19" s="13">
        <v>46146</v>
      </c>
      <c r="BK19" s="13">
        <v>46154</v>
      </c>
      <c r="BL19" s="35" t="s">
        <v>129</v>
      </c>
    </row>
    <row r="20" spans="1:64" s="3" customFormat="1" ht="18" customHeight="1" x14ac:dyDescent="0.25">
      <c r="A20" s="25" t="s">
        <v>153</v>
      </c>
      <c r="B20" s="6">
        <v>150</v>
      </c>
      <c r="C20" s="82">
        <v>334.31</v>
      </c>
      <c r="D20" s="234">
        <v>200</v>
      </c>
      <c r="E20" s="1"/>
      <c r="F20" s="27">
        <v>458</v>
      </c>
      <c r="G20" s="27">
        <v>455</v>
      </c>
      <c r="H20" s="27">
        <v>455</v>
      </c>
      <c r="I20" s="27">
        <v>455</v>
      </c>
      <c r="J20" s="27">
        <v>283</v>
      </c>
      <c r="K20" s="27">
        <v>290</v>
      </c>
      <c r="L20" s="27">
        <v>204</v>
      </c>
      <c r="M20" s="27">
        <v>312</v>
      </c>
      <c r="N20" s="27">
        <v>299</v>
      </c>
      <c r="O20" s="27">
        <v>288</v>
      </c>
      <c r="P20" s="27">
        <v>264</v>
      </c>
      <c r="Q20" s="27">
        <v>221</v>
      </c>
      <c r="R20" s="27">
        <v>174</v>
      </c>
      <c r="S20" s="27">
        <f>172+AN20</f>
        <v>322</v>
      </c>
      <c r="T20" s="27">
        <v>283</v>
      </c>
      <c r="U20" s="27"/>
      <c r="V20" s="27"/>
      <c r="W20" s="27"/>
      <c r="X20" s="27">
        <v>243</v>
      </c>
      <c r="Y20" s="27">
        <v>243</v>
      </c>
      <c r="Z20" s="27">
        <v>243</v>
      </c>
      <c r="AA20" s="372">
        <f ca="1">Y20+IF(NOT(ISBLANK(OFFSET(AA20,0,6))),N(OFFSET(AA20,0,6)),N(OFFSET(AA20,0,7)))-Z20</f>
        <v>0</v>
      </c>
      <c r="AB20" s="1"/>
      <c r="AC20" s="78"/>
      <c r="AD20" s="78"/>
      <c r="AE20" s="1"/>
      <c r="AF20" s="32"/>
      <c r="AG20" s="1"/>
      <c r="AH20" s="19">
        <v>0</v>
      </c>
      <c r="AI20" s="19"/>
      <c r="AJ20" s="19"/>
      <c r="AK20" s="19">
        <v>0</v>
      </c>
      <c r="AL20" s="19"/>
      <c r="AM20" s="117">
        <v>150</v>
      </c>
      <c r="AN20" s="19">
        <v>150</v>
      </c>
      <c r="AO20" s="19"/>
      <c r="AP20" s="19"/>
      <c r="AQ20" s="19"/>
      <c r="AR20" s="19">
        <v>150</v>
      </c>
      <c r="AS20" s="19"/>
      <c r="AT20" s="19"/>
      <c r="AU20" s="19"/>
      <c r="AV20" s="19"/>
      <c r="AW20" s="19"/>
      <c r="AX20" s="19"/>
      <c r="AY20" s="19">
        <v>300</v>
      </c>
      <c r="AZ20" s="19"/>
      <c r="BA20" s="19"/>
      <c r="BB20" s="19"/>
      <c r="BD20" s="364" t="s">
        <v>154</v>
      </c>
      <c r="BE20" s="135">
        <v>150</v>
      </c>
      <c r="BF20" s="39">
        <f>AM20</f>
        <v>150</v>
      </c>
      <c r="BG20" s="39"/>
      <c r="BH20" s="39"/>
      <c r="BI20" s="39">
        <v>117</v>
      </c>
      <c r="BJ20" s="39">
        <v>97</v>
      </c>
      <c r="BK20" s="39">
        <v>10</v>
      </c>
      <c r="BL20" s="26">
        <f ca="1">BJ20+IF(NOT(ISBLANK(OFFSET(BL20,0,6))),N(OFFSET(BL20,0,6)),N(OFFSET(BL20,0,7)))-BK20</f>
        <v>87</v>
      </c>
    </row>
    <row r="21" spans="1:64" s="3" customFormat="1" ht="18.75" customHeight="1" x14ac:dyDescent="0.25">
      <c r="A21" s="25" t="s">
        <v>155</v>
      </c>
      <c r="B21" s="6">
        <v>100</v>
      </c>
      <c r="C21" s="81">
        <v>292.25</v>
      </c>
      <c r="D21" s="236">
        <v>200</v>
      </c>
      <c r="E21" s="1"/>
      <c r="F21" s="27">
        <v>349</v>
      </c>
      <c r="G21" s="27">
        <v>347</v>
      </c>
      <c r="H21" s="27">
        <v>347</v>
      </c>
      <c r="I21" s="27">
        <v>347</v>
      </c>
      <c r="J21" s="27">
        <v>241</v>
      </c>
      <c r="K21" s="27">
        <v>202</v>
      </c>
      <c r="L21" s="27">
        <v>98</v>
      </c>
      <c r="M21" s="27">
        <v>287</v>
      </c>
      <c r="N21" s="27">
        <v>271</v>
      </c>
      <c r="O21" s="27">
        <v>239</v>
      </c>
      <c r="P21" s="27">
        <v>206</v>
      </c>
      <c r="Q21" s="27">
        <v>146</v>
      </c>
      <c r="R21" s="27">
        <f>94+AO21</f>
        <v>294</v>
      </c>
      <c r="S21" s="27">
        <v>268</v>
      </c>
      <c r="T21" s="27">
        <v>249</v>
      </c>
      <c r="U21" s="27"/>
      <c r="V21" s="27"/>
      <c r="W21" s="27"/>
      <c r="X21" s="27">
        <v>300</v>
      </c>
      <c r="Y21" s="27">
        <v>300</v>
      </c>
      <c r="Z21" s="27">
        <v>170</v>
      </c>
      <c r="AA21" s="372">
        <f ca="1">Y21+IF(NOT(ISBLANK(OFFSET(AA21,0,6))),N(OFFSET(AA21,0,6)),N(OFFSET(AA21,0,7)))-Z21</f>
        <v>130</v>
      </c>
      <c r="AB21" s="1"/>
      <c r="AC21" s="78"/>
      <c r="AD21" s="78"/>
      <c r="AE21" s="1"/>
      <c r="AF21" s="32">
        <v>100</v>
      </c>
      <c r="AG21" s="1"/>
      <c r="AH21" s="19">
        <v>0</v>
      </c>
      <c r="AI21" s="19"/>
      <c r="AJ21" s="19"/>
      <c r="AK21" s="19">
        <v>0</v>
      </c>
      <c r="AL21" s="19">
        <v>100</v>
      </c>
      <c r="AM21" s="117">
        <v>200</v>
      </c>
      <c r="AN21" s="19"/>
      <c r="AO21" s="19">
        <v>200</v>
      </c>
      <c r="AP21" s="19"/>
      <c r="AQ21" s="19"/>
      <c r="AR21" s="19">
        <v>200</v>
      </c>
      <c r="AS21" s="19"/>
      <c r="AT21" s="19"/>
      <c r="AU21" s="19"/>
      <c r="AV21" s="19"/>
      <c r="AW21" s="19"/>
      <c r="AX21" s="19"/>
      <c r="AY21" s="19">
        <v>100</v>
      </c>
      <c r="AZ21" s="19"/>
      <c r="BA21" s="19"/>
      <c r="BB21" s="19"/>
      <c r="BD21" s="21" t="s">
        <v>156</v>
      </c>
      <c r="BE21" s="6">
        <v>100</v>
      </c>
      <c r="BF21" s="39">
        <f>AM21</f>
        <v>200</v>
      </c>
      <c r="BG21" s="39"/>
      <c r="BH21" s="39"/>
      <c r="BI21" s="39">
        <v>140</v>
      </c>
      <c r="BJ21" s="39">
        <v>113</v>
      </c>
      <c r="BK21" s="39">
        <v>0</v>
      </c>
      <c r="BL21" s="26">
        <f ca="1">BJ21+IF(NOT(ISBLANK(OFFSET(BL21,0,6))),N(OFFSET(BL21,0,6)),N(OFFSET(BL21,0,7)))-BK21</f>
        <v>113</v>
      </c>
    </row>
    <row r="22" spans="1:64" s="3" customFormat="1" x14ac:dyDescent="0.3">
      <c r="A22" s="25" t="s">
        <v>157</v>
      </c>
      <c r="B22" s="6">
        <v>75</v>
      </c>
      <c r="C22" s="66">
        <v>425.38</v>
      </c>
      <c r="D22" s="234">
        <v>30</v>
      </c>
      <c r="E22" s="7"/>
      <c r="F22" s="39">
        <v>61</v>
      </c>
      <c r="G22" s="39">
        <v>59</v>
      </c>
      <c r="H22" s="39">
        <v>59</v>
      </c>
      <c r="I22" s="39">
        <v>58</v>
      </c>
      <c r="J22" s="39">
        <v>58</v>
      </c>
      <c r="K22" s="39">
        <v>60</v>
      </c>
      <c r="L22" s="39">
        <v>60</v>
      </c>
      <c r="M22" s="39">
        <v>60</v>
      </c>
      <c r="N22" s="39">
        <v>58</v>
      </c>
      <c r="O22" s="39">
        <v>58</v>
      </c>
      <c r="P22" s="39">
        <v>58</v>
      </c>
      <c r="Q22" s="39">
        <v>58</v>
      </c>
      <c r="R22" s="39">
        <v>58</v>
      </c>
      <c r="S22" s="39">
        <v>58</v>
      </c>
      <c r="T22" s="39">
        <v>58</v>
      </c>
      <c r="U22" s="39">
        <v>58</v>
      </c>
      <c r="V22" s="39">
        <v>58</v>
      </c>
      <c r="W22" s="39">
        <v>58</v>
      </c>
      <c r="X22" s="39">
        <v>58</v>
      </c>
      <c r="Y22" s="39">
        <v>58</v>
      </c>
      <c r="Z22" s="39">
        <v>58</v>
      </c>
      <c r="AA22" s="372">
        <f ca="1">Y22+IF(NOT(ISBLANK(OFFSET(AA22,0,6))),N(OFFSET(AA22,0,6)),N(OFFSET(AA22,0,7)))-Z22</f>
        <v>0</v>
      </c>
      <c r="AB22" s="7"/>
      <c r="AC22" s="279"/>
      <c r="AD22" s="279"/>
      <c r="AE22" s="7"/>
      <c r="AF22" s="32"/>
      <c r="AG22" s="7"/>
      <c r="AH22" s="19">
        <v>0</v>
      </c>
      <c r="AI22" s="19"/>
      <c r="AJ22" s="19"/>
      <c r="AK22" s="19">
        <v>0</v>
      </c>
      <c r="AL22" s="19"/>
      <c r="AM22" s="117">
        <v>400</v>
      </c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D22" s="22" t="s">
        <v>158</v>
      </c>
      <c r="BE22" s="6">
        <v>200</v>
      </c>
      <c r="BF22" s="39">
        <f>AM22</f>
        <v>400</v>
      </c>
      <c r="BG22" s="39"/>
      <c r="BH22" s="39"/>
      <c r="BI22" s="39">
        <v>237</v>
      </c>
      <c r="BJ22" s="39">
        <v>123</v>
      </c>
      <c r="BK22" s="39">
        <v>-4</v>
      </c>
      <c r="BL22" s="26">
        <f ca="1">BJ22+IF(NOT(ISBLANK(OFFSET(BL22,0,6))),N(OFFSET(BL22,0,6)),N(OFFSET(BL22,0,7)))-BK22</f>
        <v>127</v>
      </c>
    </row>
    <row r="23" spans="1:64" x14ac:dyDescent="0.3">
      <c r="A23" s="25" t="s">
        <v>159</v>
      </c>
      <c r="B23" s="6">
        <v>150</v>
      </c>
      <c r="C23" s="66">
        <v>427.5</v>
      </c>
      <c r="D23" s="234">
        <v>300</v>
      </c>
      <c r="E23" s="7"/>
      <c r="F23" s="39">
        <v>150</v>
      </c>
      <c r="G23" s="39">
        <v>150</v>
      </c>
      <c r="H23" s="39">
        <v>150</v>
      </c>
      <c r="I23" s="39">
        <v>150</v>
      </c>
      <c r="J23" s="39">
        <v>150</v>
      </c>
      <c r="K23" s="39">
        <v>150</v>
      </c>
      <c r="L23" s="39">
        <v>150</v>
      </c>
      <c r="M23" s="39">
        <v>84</v>
      </c>
      <c r="N23" s="39">
        <v>29</v>
      </c>
      <c r="O23" s="39">
        <v>1</v>
      </c>
      <c r="P23" s="39">
        <v>237</v>
      </c>
      <c r="Q23" s="39">
        <v>0</v>
      </c>
      <c r="R23" s="39">
        <f>145+AO23</f>
        <v>295</v>
      </c>
      <c r="S23" s="39">
        <f>180+AN23</f>
        <v>330</v>
      </c>
      <c r="T23" s="39">
        <v>268</v>
      </c>
      <c r="U23" s="39"/>
      <c r="V23" s="39"/>
      <c r="W23" s="39"/>
      <c r="X23" s="39">
        <v>228</v>
      </c>
      <c r="Y23" s="39">
        <v>207</v>
      </c>
      <c r="Z23" s="206">
        <v>-2</v>
      </c>
      <c r="AA23" s="372">
        <f ca="1">Y23+IF(NOT(ISBLANK(OFFSET(AA23,0,6))),N(OFFSET(AA23,0,6)),N(OFFSET(AA23,0,7)))-Z23</f>
        <v>209</v>
      </c>
      <c r="AB23" s="7"/>
      <c r="AC23" s="78"/>
      <c r="AD23" s="78"/>
      <c r="AF23" s="32">
        <v>150</v>
      </c>
      <c r="AH23" s="19">
        <v>0</v>
      </c>
      <c r="AI23" s="19"/>
      <c r="AJ23" s="19"/>
      <c r="AK23" s="19">
        <v>0</v>
      </c>
      <c r="AL23" s="19">
        <v>150</v>
      </c>
      <c r="AM23" s="117">
        <v>300</v>
      </c>
      <c r="AN23" s="19">
        <v>150</v>
      </c>
      <c r="AO23" s="19">
        <v>150</v>
      </c>
      <c r="AP23" s="19">
        <v>150</v>
      </c>
      <c r="AQ23" s="19">
        <v>300</v>
      </c>
      <c r="AR23" s="19"/>
      <c r="AS23" s="19"/>
      <c r="AT23" s="19"/>
      <c r="AU23" s="19"/>
      <c r="AV23" s="19"/>
      <c r="AW23" s="19"/>
      <c r="AX23" s="19"/>
      <c r="AY23" s="19">
        <v>150</v>
      </c>
      <c r="AZ23" s="153"/>
      <c r="BA23" s="153"/>
      <c r="BB23" s="153"/>
      <c r="BD23" s="22" t="s">
        <v>160</v>
      </c>
      <c r="BE23" s="6">
        <v>150</v>
      </c>
      <c r="BF23" s="39">
        <f>AM23</f>
        <v>300</v>
      </c>
      <c r="BG23" s="39"/>
      <c r="BH23" s="39"/>
      <c r="BI23" s="39">
        <v>184</v>
      </c>
      <c r="BJ23" s="39">
        <v>154</v>
      </c>
      <c r="BK23" s="39">
        <v>-3</v>
      </c>
      <c r="BL23" s="26">
        <f ca="1">BJ23+IF(NOT(ISBLANK(OFFSET(BL23,0,6))),N(OFFSET(BL23,0,6)),N(OFFSET(BL23,0,7)))-BK23</f>
        <v>157</v>
      </c>
    </row>
    <row r="24" spans="1:64" x14ac:dyDescent="0.3">
      <c r="AC24" s="347"/>
      <c r="AD24" s="347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:64" ht="18.75" customHeight="1" x14ac:dyDescent="0.3">
      <c r="A25" s="378" t="s">
        <v>161</v>
      </c>
      <c r="B25" s="379" t="s">
        <v>123</v>
      </c>
      <c r="C25" s="379" t="s">
        <v>124</v>
      </c>
      <c r="D25" s="379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35" t="s">
        <v>129</v>
      </c>
      <c r="AC25" s="347"/>
      <c r="AD25" s="347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</row>
    <row r="26" spans="1:64" ht="18" customHeight="1" x14ac:dyDescent="0.3">
      <c r="A26" s="384" t="s">
        <v>162</v>
      </c>
      <c r="B26" s="385">
        <v>100</v>
      </c>
      <c r="C26" s="199">
        <v>790</v>
      </c>
      <c r="D26" s="396"/>
      <c r="F26" s="39">
        <v>350</v>
      </c>
      <c r="G26" s="39">
        <v>400</v>
      </c>
      <c r="H26" s="39">
        <v>301</v>
      </c>
      <c r="I26" s="39">
        <v>363</v>
      </c>
      <c r="J26" s="39">
        <v>363</v>
      </c>
      <c r="K26" s="39">
        <v>399</v>
      </c>
      <c r="L26" s="39">
        <v>349</v>
      </c>
      <c r="M26" s="39">
        <v>349</v>
      </c>
      <c r="N26" s="39">
        <v>349</v>
      </c>
      <c r="O26" s="39">
        <v>349</v>
      </c>
      <c r="P26" s="39">
        <v>349</v>
      </c>
      <c r="Q26" s="39">
        <v>349</v>
      </c>
      <c r="R26" s="206">
        <v>245</v>
      </c>
      <c r="S26" s="6">
        <v>245</v>
      </c>
      <c r="T26" s="6">
        <v>245</v>
      </c>
      <c r="U26" s="6">
        <v>245</v>
      </c>
      <c r="V26" s="6">
        <v>245</v>
      </c>
      <c r="W26" s="6">
        <v>245</v>
      </c>
      <c r="X26" s="373">
        <v>295</v>
      </c>
      <c r="Y26" s="6">
        <v>295</v>
      </c>
      <c r="Z26" s="6">
        <v>347</v>
      </c>
      <c r="AA26" s="372">
        <f t="shared" ref="AA26:AA33" ca="1" si="0">Y26+IF(NOT(ISBLANK(OFFSET(AA26,0,6))),N(OFFSET(AA26,0,6)),N(OFFSET(AA26,0,7)))-Z26</f>
        <v>-52</v>
      </c>
      <c r="AC26" s="347"/>
      <c r="AD26" s="347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</row>
    <row r="27" spans="1:64" x14ac:dyDescent="0.3">
      <c r="A27" s="404" t="s">
        <v>226</v>
      </c>
      <c r="B27" s="405">
        <v>100</v>
      </c>
      <c r="C27" s="252">
        <v>841.1</v>
      </c>
      <c r="D27" s="396"/>
      <c r="F27" s="6">
        <v>12</v>
      </c>
      <c r="G27" s="6">
        <v>11</v>
      </c>
      <c r="H27" s="6">
        <v>10</v>
      </c>
      <c r="I27" s="6">
        <v>9</v>
      </c>
      <c r="J27" s="6">
        <v>9</v>
      </c>
      <c r="K27" s="6">
        <v>9</v>
      </c>
      <c r="L27" s="6">
        <v>9</v>
      </c>
      <c r="M27" s="6">
        <v>9</v>
      </c>
      <c r="N27" s="6">
        <v>8</v>
      </c>
      <c r="O27" s="6">
        <v>8</v>
      </c>
      <c r="P27" s="6">
        <v>8</v>
      </c>
      <c r="Q27" s="6">
        <v>8</v>
      </c>
      <c r="R27" s="6">
        <v>8</v>
      </c>
      <c r="S27" s="6">
        <v>8</v>
      </c>
      <c r="T27" s="6">
        <v>8</v>
      </c>
      <c r="U27" s="6">
        <v>8</v>
      </c>
      <c r="V27" s="6">
        <v>8</v>
      </c>
      <c r="W27" s="6">
        <v>8</v>
      </c>
      <c r="X27" s="6">
        <v>8</v>
      </c>
      <c r="Y27" s="6">
        <v>8</v>
      </c>
      <c r="Z27" s="6">
        <v>8</v>
      </c>
      <c r="AA27" s="372">
        <f t="shared" ca="1" si="0"/>
        <v>0</v>
      </c>
      <c r="AC27" s="41"/>
      <c r="AD27" s="4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41"/>
      <c r="AV27" s="11"/>
      <c r="AW27" s="11"/>
      <c r="AX27" s="41"/>
      <c r="AY27" s="41"/>
      <c r="AZ27" s="41"/>
      <c r="BA27" s="41"/>
      <c r="BB27" s="41"/>
    </row>
    <row r="28" spans="1:64" x14ac:dyDescent="0.3">
      <c r="A28" s="25" t="s">
        <v>169</v>
      </c>
      <c r="B28" s="6">
        <v>150</v>
      </c>
      <c r="C28" s="77">
        <v>805.35</v>
      </c>
      <c r="D28" s="396"/>
      <c r="F28" s="6">
        <v>156</v>
      </c>
      <c r="G28" s="6">
        <v>63</v>
      </c>
      <c r="H28" s="6">
        <v>42</v>
      </c>
      <c r="I28" s="6">
        <v>6</v>
      </c>
      <c r="J28" s="6">
        <v>0</v>
      </c>
      <c r="K28" s="373">
        <v>24</v>
      </c>
      <c r="L28" s="6">
        <v>24</v>
      </c>
      <c r="M28" s="6">
        <v>21</v>
      </c>
      <c r="N28" s="6">
        <v>21</v>
      </c>
      <c r="O28" s="6">
        <v>18</v>
      </c>
      <c r="P28" s="6">
        <v>17</v>
      </c>
      <c r="Q28" s="6">
        <v>6</v>
      </c>
      <c r="R28" s="6">
        <v>6</v>
      </c>
      <c r="S28" s="6">
        <v>8</v>
      </c>
      <c r="T28" s="6">
        <v>7</v>
      </c>
      <c r="U28" s="6"/>
      <c r="V28" s="6"/>
      <c r="W28" s="6"/>
      <c r="X28" s="6">
        <v>4</v>
      </c>
      <c r="Y28" s="6">
        <v>4</v>
      </c>
      <c r="Z28" s="6">
        <v>4</v>
      </c>
      <c r="AA28" s="372">
        <f t="shared" ca="1" si="0"/>
        <v>0</v>
      </c>
      <c r="AC28" s="41"/>
      <c r="AD28" s="4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41"/>
      <c r="AV28" s="11"/>
      <c r="AW28" s="11"/>
      <c r="AX28" s="41"/>
      <c r="AY28" s="41"/>
      <c r="AZ28" s="41"/>
      <c r="BA28" s="41"/>
      <c r="BB28" s="41"/>
    </row>
    <row r="29" spans="1:64" x14ac:dyDescent="0.3">
      <c r="A29" s="25" t="s">
        <v>170</v>
      </c>
      <c r="B29" s="6">
        <v>100</v>
      </c>
      <c r="C29" s="77">
        <v>792.2</v>
      </c>
      <c r="D29" s="396"/>
      <c r="F29" s="6">
        <v>296</v>
      </c>
      <c r="G29" s="6">
        <v>228</v>
      </c>
      <c r="H29" s="6">
        <v>197</v>
      </c>
      <c r="I29" s="6">
        <v>144</v>
      </c>
      <c r="J29" s="6">
        <v>125</v>
      </c>
      <c r="K29" s="6">
        <v>90</v>
      </c>
      <c r="L29" s="6">
        <v>83</v>
      </c>
      <c r="M29" s="6">
        <v>76</v>
      </c>
      <c r="N29" s="6">
        <v>74</v>
      </c>
      <c r="O29" s="6">
        <v>79</v>
      </c>
      <c r="P29" s="6">
        <v>79</v>
      </c>
      <c r="Q29" s="6">
        <v>76</v>
      </c>
      <c r="R29" s="6">
        <v>76</v>
      </c>
      <c r="S29" s="6">
        <v>76</v>
      </c>
      <c r="T29" s="6">
        <v>76</v>
      </c>
      <c r="U29" s="6"/>
      <c r="V29" s="6"/>
      <c r="W29" s="6"/>
      <c r="X29" s="6">
        <v>73</v>
      </c>
      <c r="Y29" s="6">
        <v>73</v>
      </c>
      <c r="Z29" s="6">
        <v>32</v>
      </c>
      <c r="AA29" s="372">
        <f t="shared" ca="1" si="0"/>
        <v>41</v>
      </c>
      <c r="AC29" s="41"/>
      <c r="AD29" s="4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41"/>
      <c r="AV29" s="11"/>
      <c r="AW29" s="11"/>
      <c r="AX29" s="41"/>
      <c r="AY29" s="41"/>
      <c r="AZ29" s="41"/>
      <c r="BA29" s="41"/>
      <c r="BB29" s="41"/>
    </row>
    <row r="30" spans="1:64" hidden="1" x14ac:dyDescent="0.3">
      <c r="A30" s="25" t="s">
        <v>171</v>
      </c>
      <c r="B30" s="6">
        <v>200</v>
      </c>
      <c r="C30" s="77">
        <v>487.2</v>
      </c>
      <c r="D30" s="396"/>
      <c r="F30" s="6">
        <v>103</v>
      </c>
      <c r="G30" s="6">
        <v>84</v>
      </c>
      <c r="H30" s="6">
        <v>84</v>
      </c>
      <c r="I30" s="6">
        <v>0</v>
      </c>
      <c r="J30" s="6">
        <v>0</v>
      </c>
      <c r="K30" s="6">
        <v>0</v>
      </c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372">
        <f t="shared" ca="1" si="0"/>
        <v>0</v>
      </c>
      <c r="AC30" s="41"/>
      <c r="AD30" s="4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41"/>
      <c r="AV30" s="11"/>
      <c r="AW30" s="11"/>
      <c r="AX30" s="41"/>
      <c r="AY30" s="41"/>
      <c r="AZ30" s="41"/>
      <c r="BA30" s="41"/>
      <c r="BB30" s="41"/>
    </row>
    <row r="31" spans="1:64" hidden="1" x14ac:dyDescent="0.3">
      <c r="A31" s="25" t="s">
        <v>172</v>
      </c>
      <c r="B31" s="6">
        <v>150</v>
      </c>
      <c r="C31" s="77">
        <v>460.35</v>
      </c>
      <c r="D31" s="396"/>
      <c r="F31" s="6">
        <v>51</v>
      </c>
      <c r="G31" s="6">
        <v>-88</v>
      </c>
      <c r="H31" s="6">
        <v>0</v>
      </c>
      <c r="I31" s="6">
        <v>0</v>
      </c>
      <c r="J31" s="6">
        <v>0</v>
      </c>
      <c r="K31" s="6">
        <v>0</v>
      </c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372">
        <f t="shared" ca="1" si="0"/>
        <v>0</v>
      </c>
      <c r="AC31" s="41"/>
      <c r="AD31" s="4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41"/>
      <c r="AV31" s="11"/>
      <c r="AW31" s="11"/>
      <c r="AX31" s="41"/>
      <c r="AY31" s="41"/>
      <c r="AZ31" s="41"/>
      <c r="BA31" s="41"/>
      <c r="BB31" s="41"/>
    </row>
    <row r="32" spans="1:64" x14ac:dyDescent="0.3">
      <c r="A32" s="25" t="s">
        <v>173</v>
      </c>
      <c r="B32" s="6">
        <v>10</v>
      </c>
      <c r="C32" s="77">
        <v>120</v>
      </c>
      <c r="D32" s="396"/>
      <c r="F32" s="6">
        <v>3</v>
      </c>
      <c r="G32" s="6">
        <v>1</v>
      </c>
      <c r="H32" s="6">
        <v>1</v>
      </c>
      <c r="I32" s="6">
        <v>0</v>
      </c>
      <c r="J32" s="6">
        <v>0</v>
      </c>
      <c r="K32" s="6">
        <v>0</v>
      </c>
      <c r="L32" s="6"/>
      <c r="M32" s="6"/>
      <c r="N32" s="6">
        <v>5</v>
      </c>
      <c r="O32" s="6">
        <v>5</v>
      </c>
      <c r="P32" s="6">
        <v>5</v>
      </c>
      <c r="Q32" s="6">
        <v>5</v>
      </c>
      <c r="R32" s="6">
        <v>5</v>
      </c>
      <c r="S32" s="6">
        <v>5</v>
      </c>
      <c r="T32" s="6">
        <v>5</v>
      </c>
      <c r="U32" s="6">
        <v>5</v>
      </c>
      <c r="V32" s="6">
        <v>5</v>
      </c>
      <c r="W32" s="6">
        <v>5</v>
      </c>
      <c r="X32" s="6">
        <v>5</v>
      </c>
      <c r="Y32" s="6">
        <v>5</v>
      </c>
      <c r="Z32" s="6">
        <v>5</v>
      </c>
      <c r="AA32" s="372">
        <f t="shared" ca="1" si="0"/>
        <v>0</v>
      </c>
      <c r="AC32" s="41"/>
      <c r="AD32" s="4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41"/>
      <c r="AV32" s="11"/>
      <c r="AW32" s="11"/>
      <c r="AX32" s="41"/>
      <c r="AY32" s="41"/>
      <c r="AZ32" s="41"/>
      <c r="BA32" s="41"/>
      <c r="BB32" s="41"/>
    </row>
    <row r="33" spans="1:233" x14ac:dyDescent="0.3">
      <c r="A33" s="283" t="s">
        <v>168</v>
      </c>
      <c r="B33" s="284">
        <v>100</v>
      </c>
      <c r="C33" s="285">
        <v>1490</v>
      </c>
      <c r="D33" s="396"/>
      <c r="R33" s="6">
        <v>11</v>
      </c>
      <c r="S33" s="6">
        <v>11</v>
      </c>
      <c r="T33" s="6">
        <v>11</v>
      </c>
      <c r="U33" s="6">
        <v>11</v>
      </c>
      <c r="V33" s="6">
        <v>11</v>
      </c>
      <c r="W33" s="6">
        <v>11</v>
      </c>
      <c r="X33" s="6">
        <v>11</v>
      </c>
      <c r="Y33" s="6">
        <v>11</v>
      </c>
      <c r="Z33" s="6">
        <v>11</v>
      </c>
      <c r="AA33" s="372">
        <f t="shared" ca="1" si="0"/>
        <v>0</v>
      </c>
      <c r="AC33" s="41"/>
      <c r="AD33" s="4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41"/>
      <c r="AV33" s="11"/>
      <c r="AW33" s="11"/>
      <c r="AX33" s="41"/>
      <c r="AY33" s="41"/>
      <c r="AZ33" s="41"/>
      <c r="BA33" s="41"/>
      <c r="BB33" s="41"/>
    </row>
    <row r="34" spans="1:233" x14ac:dyDescent="0.3">
      <c r="Z34" s="1"/>
      <c r="AC34" s="41"/>
      <c r="AD34" s="4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41"/>
      <c r="AV34" s="11"/>
      <c r="AW34" s="11"/>
      <c r="AX34" s="41"/>
      <c r="AY34" s="41"/>
      <c r="AZ34" s="41"/>
      <c r="BA34" s="41"/>
      <c r="BB34" s="41"/>
    </row>
    <row r="35" spans="1:233" ht="21" customHeight="1" x14ac:dyDescent="0.3">
      <c r="A35" s="394" t="s">
        <v>174</v>
      </c>
      <c r="B35" s="394"/>
      <c r="C35" s="394"/>
      <c r="AC35" s="41"/>
      <c r="AD35" s="41"/>
      <c r="AE35" s="41"/>
      <c r="AG35" s="4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41"/>
      <c r="AV35" s="11"/>
      <c r="AW35" s="11"/>
      <c r="AX35" s="41"/>
      <c r="AY35" s="41"/>
      <c r="AZ35" s="41"/>
      <c r="BA35" s="41"/>
      <c r="BB35" s="41"/>
    </row>
    <row r="36" spans="1:233" x14ac:dyDescent="0.3">
      <c r="A36" s="361" t="s">
        <v>175</v>
      </c>
      <c r="B36" s="361"/>
      <c r="C36" s="361" t="s">
        <v>176</v>
      </c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AA36" s="41"/>
      <c r="AB36" s="41"/>
      <c r="AC36" s="41"/>
      <c r="AD36" s="41"/>
      <c r="AE36" s="41"/>
      <c r="AF36" s="41"/>
      <c r="AG36" s="4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41"/>
      <c r="AV36" s="11"/>
      <c r="AW36" s="11"/>
      <c r="AX36" s="41"/>
      <c r="AY36" s="41"/>
      <c r="AZ36" s="41"/>
      <c r="BA36" s="41"/>
      <c r="BB36" s="41"/>
      <c r="BC36" s="362"/>
      <c r="BM36" s="362"/>
      <c r="BN36" s="362"/>
      <c r="BO36" s="362"/>
      <c r="BP36" s="362"/>
      <c r="BQ36" s="362"/>
      <c r="BR36" s="362"/>
      <c r="BS36" s="362"/>
      <c r="BT36" s="362"/>
      <c r="BU36" s="362"/>
      <c r="BV36" s="362"/>
      <c r="BW36" s="362"/>
      <c r="BX36" s="362"/>
      <c r="BY36" s="362"/>
      <c r="BZ36" s="362"/>
      <c r="CA36" s="362"/>
      <c r="CB36" s="362"/>
      <c r="CC36" s="362"/>
      <c r="CD36" s="362"/>
      <c r="CE36" s="362"/>
      <c r="CF36" s="362"/>
      <c r="CG36" s="362"/>
      <c r="CH36" s="362"/>
      <c r="CI36" s="362"/>
      <c r="CJ36" s="362"/>
      <c r="CK36" s="362"/>
      <c r="CL36" s="362"/>
      <c r="CM36" s="362"/>
      <c r="CN36" s="362"/>
      <c r="CO36" s="362"/>
      <c r="CP36" s="362"/>
      <c r="CQ36" s="362"/>
      <c r="CR36" s="362"/>
      <c r="CS36" s="362"/>
      <c r="CT36" s="362"/>
      <c r="CU36" s="362"/>
      <c r="CV36" s="41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41"/>
      <c r="DM36" s="41"/>
      <c r="DN36" s="34"/>
      <c r="DO36" s="41"/>
      <c r="DP36" s="34"/>
      <c r="DQ36" s="41"/>
      <c r="DR36" s="401"/>
      <c r="DS36" s="401"/>
      <c r="DT36" s="401"/>
      <c r="DU36" s="401"/>
      <c r="DV36" s="366"/>
      <c r="DW36" s="366"/>
      <c r="DX36" s="366"/>
      <c r="DY36" s="401"/>
      <c r="DZ36" s="401"/>
      <c r="EA36" s="366"/>
      <c r="EB36" s="401"/>
      <c r="EC36" s="366"/>
      <c r="ED36" s="366"/>
      <c r="EE36" s="401"/>
      <c r="EF36" s="34"/>
      <c r="EG36" s="401"/>
      <c r="EH36" s="401"/>
      <c r="EI36" s="366"/>
      <c r="EJ36" s="401"/>
      <c r="EK36" s="348"/>
      <c r="EL36" s="401"/>
      <c r="EM36" s="401"/>
      <c r="EN36" s="366"/>
      <c r="EO36" s="366"/>
      <c r="EP36" s="401"/>
      <c r="EQ36" s="401"/>
      <c r="ER36" s="34"/>
      <c r="ES36" s="401"/>
      <c r="ET36" s="366"/>
      <c r="EU36" s="401"/>
      <c r="EV36" s="401"/>
      <c r="EW36" s="401"/>
      <c r="EX36" s="401"/>
      <c r="EY36" s="401"/>
      <c r="EZ36" s="401"/>
      <c r="FA36" s="348"/>
      <c r="FB36" s="401"/>
      <c r="FC36" s="401"/>
      <c r="FD36" s="401"/>
      <c r="FE36" s="401"/>
      <c r="FF36" s="401"/>
      <c r="FG36" s="401"/>
      <c r="FH36" s="401"/>
      <c r="FI36" s="401"/>
      <c r="FJ36" s="401"/>
      <c r="FK36" s="401"/>
      <c r="FL36" s="401"/>
      <c r="FM36" s="401"/>
      <c r="FN36" s="155"/>
      <c r="FO36" s="401"/>
      <c r="FP36" s="401"/>
      <c r="FQ36" s="401"/>
      <c r="FR36" s="401"/>
      <c r="FS36" s="401"/>
      <c r="FT36" s="401"/>
      <c r="FU36" s="401"/>
      <c r="FV36" s="401"/>
      <c r="FW36" s="401"/>
      <c r="FX36" s="401"/>
      <c r="FY36" s="401"/>
      <c r="FZ36" s="401"/>
      <c r="GA36" s="401"/>
      <c r="GB36" s="401"/>
      <c r="GC36" s="401"/>
      <c r="GD36" s="401"/>
      <c r="GE36" s="401"/>
      <c r="GF36" s="401"/>
      <c r="GG36" s="401"/>
      <c r="GH36" s="401"/>
      <c r="GI36" s="401"/>
      <c r="GJ36" s="401"/>
      <c r="GK36" s="401"/>
      <c r="GL36" s="401"/>
      <c r="GM36" s="401"/>
      <c r="GN36" s="401"/>
      <c r="GO36" s="401"/>
      <c r="GP36" s="401"/>
      <c r="GQ36" s="401"/>
      <c r="GR36" s="401"/>
      <c r="GS36" s="401"/>
      <c r="GT36" s="401"/>
      <c r="GU36" s="401"/>
      <c r="GV36" s="401"/>
      <c r="GW36" s="401"/>
      <c r="GX36" s="401"/>
      <c r="GY36" s="401"/>
      <c r="GZ36" s="401"/>
      <c r="HA36" s="401"/>
      <c r="HB36" s="401"/>
      <c r="HC36" s="401"/>
      <c r="HD36" s="401"/>
      <c r="HE36" s="401"/>
      <c r="HF36" s="401"/>
      <c r="HG36" s="401"/>
      <c r="HH36" s="401"/>
      <c r="HI36" s="401"/>
      <c r="HJ36" s="401"/>
      <c r="HK36" s="401"/>
      <c r="HL36" s="401"/>
      <c r="HM36" s="401"/>
      <c r="HN36" s="401"/>
      <c r="HO36" s="401"/>
      <c r="HP36" s="401"/>
      <c r="HQ36" s="401"/>
      <c r="HR36" s="401"/>
      <c r="HS36" s="401"/>
      <c r="HT36" s="401"/>
      <c r="HU36" s="401"/>
      <c r="HV36" s="401"/>
      <c r="HW36" s="401"/>
      <c r="HX36" s="401"/>
      <c r="HY36" s="401"/>
    </row>
    <row r="37" spans="1:233" s="34" customFormat="1" x14ac:dyDescent="0.3">
      <c r="A37" s="182"/>
      <c r="B37" s="183"/>
      <c r="C37" s="184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347"/>
      <c r="AD37" s="347"/>
      <c r="AE37" s="41"/>
      <c r="AF37" s="41"/>
      <c r="AG37" s="41"/>
      <c r="AH37" s="11"/>
      <c r="AI37" s="11"/>
      <c r="AJ37" s="11"/>
      <c r="AK37" s="11"/>
      <c r="AL37" s="11"/>
      <c r="AM37" s="11"/>
      <c r="AN37" s="41"/>
      <c r="AO37" s="41"/>
      <c r="AP37" s="41"/>
      <c r="AQ37" s="41"/>
      <c r="AR37" s="41"/>
      <c r="AS37" s="41"/>
      <c r="AT37" s="401"/>
      <c r="AV37" s="401"/>
      <c r="AW37" s="401"/>
      <c r="BD37" s="11"/>
      <c r="BE37" s="11"/>
      <c r="BF37" s="11"/>
      <c r="BG37" s="11"/>
      <c r="BH37" s="11"/>
      <c r="BI37" s="11"/>
      <c r="BJ37" s="11"/>
      <c r="BK37" s="11"/>
      <c r="BL37" s="11"/>
      <c r="CV37" s="41"/>
      <c r="DL37" s="41"/>
      <c r="DM37" s="41"/>
      <c r="DO37" s="41"/>
      <c r="DQ37" s="41"/>
      <c r="DV37" s="366"/>
      <c r="DW37" s="366"/>
      <c r="DX37" s="366"/>
      <c r="EA37" s="366"/>
      <c r="EC37" s="366"/>
      <c r="ED37" s="366"/>
      <c r="EI37" s="366"/>
      <c r="EN37" s="366"/>
      <c r="EO37" s="366"/>
      <c r="ET37" s="366"/>
      <c r="EZ37" s="150"/>
      <c r="FA37" s="369"/>
      <c r="FH37" s="150"/>
      <c r="FN37" s="366"/>
    </row>
    <row r="38" spans="1:233" s="34" customFormat="1" x14ac:dyDescent="0.3">
      <c r="A38" s="384" t="s">
        <v>241</v>
      </c>
      <c r="B38" s="400"/>
      <c r="C38" s="357">
        <v>200</v>
      </c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347"/>
      <c r="AD38" s="347"/>
      <c r="AE38" s="41"/>
      <c r="AF38" s="41"/>
      <c r="AG38" s="41"/>
      <c r="AH38" s="11"/>
      <c r="AI38" s="11"/>
      <c r="AJ38" s="11"/>
      <c r="AK38" s="11"/>
      <c r="AL38" s="11"/>
      <c r="AM38" s="11"/>
      <c r="AN38" s="41"/>
      <c r="AO38" s="41"/>
      <c r="AP38" s="41"/>
      <c r="AQ38" s="41"/>
      <c r="AR38" s="41"/>
      <c r="AS38" s="41"/>
      <c r="AT38" s="401"/>
      <c r="AV38" s="401"/>
      <c r="AW38" s="401"/>
      <c r="BD38" s="11"/>
      <c r="BE38" s="11"/>
      <c r="BF38" s="11"/>
      <c r="BG38" s="11"/>
      <c r="BH38" s="11"/>
      <c r="BI38" s="11"/>
      <c r="BJ38" s="11"/>
      <c r="BK38" s="11"/>
      <c r="BL38" s="11"/>
      <c r="BY38" s="362"/>
      <c r="BZ38" s="362"/>
      <c r="CA38" s="362"/>
      <c r="CB38" s="362"/>
      <c r="CC38" s="362"/>
      <c r="CD38" s="362"/>
      <c r="CE38" s="362"/>
      <c r="CF38" s="362"/>
      <c r="CG38" s="362"/>
      <c r="CV38" s="41"/>
      <c r="CW38" s="362"/>
      <c r="CX38" s="362"/>
      <c r="CY38" s="362"/>
      <c r="CZ38" s="362"/>
      <c r="DA38" s="362"/>
      <c r="DB38" s="362"/>
      <c r="DC38" s="362"/>
      <c r="DD38" s="362"/>
      <c r="DE38" s="362"/>
      <c r="DF38" s="362"/>
      <c r="DG38" s="362"/>
      <c r="DH38" s="362"/>
      <c r="DI38" s="362"/>
      <c r="DJ38" s="362"/>
      <c r="DK38" s="362"/>
      <c r="DL38" s="41"/>
      <c r="DM38" s="41"/>
      <c r="DO38" s="41"/>
      <c r="DQ38" s="41"/>
      <c r="DV38" s="366"/>
      <c r="DW38" s="366"/>
      <c r="DX38" s="366"/>
      <c r="EA38" s="366"/>
      <c r="EC38" s="366"/>
      <c r="ED38" s="366"/>
      <c r="EF38" s="11"/>
      <c r="EI38" s="366"/>
      <c r="EN38" s="366"/>
      <c r="EO38" s="366"/>
      <c r="ER38" s="11"/>
      <c r="ET38" s="366"/>
      <c r="EZ38" s="150"/>
      <c r="FA38" s="348"/>
      <c r="FH38" s="150"/>
      <c r="FN38" s="366"/>
    </row>
    <row r="39" spans="1:233" s="34" customFormat="1" x14ac:dyDescent="0.3">
      <c r="A39" s="182"/>
      <c r="B39" s="183"/>
      <c r="C39" s="184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41"/>
      <c r="AA39" s="11"/>
      <c r="AB39" s="11"/>
      <c r="AE39" s="11"/>
      <c r="AF39" s="11"/>
      <c r="AG39" s="11"/>
      <c r="AH39" s="11"/>
      <c r="AI39" s="401"/>
      <c r="AJ39" s="401"/>
      <c r="AK39" s="11"/>
      <c r="AL39" s="11"/>
      <c r="AM39" s="11"/>
      <c r="AN39" s="71"/>
      <c r="AO39" s="71"/>
      <c r="AP39" s="71"/>
      <c r="AQ39" s="71"/>
      <c r="AR39" s="71"/>
      <c r="AS39" s="71"/>
      <c r="AT39" s="11"/>
      <c r="AU39" s="71"/>
      <c r="AV39" s="11"/>
      <c r="AW39" s="11"/>
      <c r="AX39" s="71"/>
      <c r="AY39" s="71"/>
      <c r="AZ39" s="71"/>
      <c r="BA39" s="71"/>
      <c r="BB39" s="71"/>
      <c r="BD39" s="11"/>
      <c r="BE39" s="11"/>
      <c r="BF39" s="11"/>
      <c r="BG39" s="11"/>
      <c r="BH39" s="11"/>
      <c r="BI39" s="11"/>
      <c r="BJ39" s="11"/>
      <c r="BK39" s="11"/>
      <c r="BL39" s="11"/>
      <c r="CV39" s="11"/>
      <c r="DL39" s="11"/>
      <c r="DM39" s="11"/>
      <c r="DO39" s="11"/>
      <c r="DQ39" s="11"/>
      <c r="DV39" s="366"/>
      <c r="DW39" s="366"/>
      <c r="DX39" s="366"/>
      <c r="EA39" s="366"/>
      <c r="EC39" s="366"/>
      <c r="ED39" s="366"/>
      <c r="EI39" s="366"/>
      <c r="EN39" s="366"/>
      <c r="EO39" s="366"/>
      <c r="ET39" s="366"/>
      <c r="EZ39" s="71"/>
      <c r="FH39" s="71"/>
      <c r="FN39" s="366"/>
    </row>
    <row r="40" spans="1:233" s="34" customFormat="1" x14ac:dyDescent="0.3">
      <c r="A40" s="181" t="s">
        <v>242</v>
      </c>
      <c r="B40" s="400"/>
      <c r="C40" s="357">
        <v>180</v>
      </c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E40" s="11"/>
      <c r="AF40" s="11"/>
      <c r="AG40" s="11"/>
      <c r="AH40" s="401"/>
      <c r="AI40" s="401"/>
      <c r="AJ40" s="401"/>
      <c r="AK40" s="401"/>
      <c r="AL40" s="401"/>
      <c r="AM40" s="401"/>
      <c r="AN40" s="71"/>
      <c r="AO40" s="71"/>
      <c r="AP40" s="71"/>
      <c r="AQ40" s="71"/>
      <c r="AR40" s="71"/>
      <c r="AS40" s="71"/>
      <c r="AT40" s="349"/>
      <c r="AU40" s="71"/>
      <c r="AV40" s="349"/>
      <c r="AW40" s="349"/>
      <c r="AX40" s="71"/>
      <c r="AY40" s="71"/>
      <c r="AZ40" s="71"/>
      <c r="BA40" s="71"/>
      <c r="BB40" s="71"/>
      <c r="BD40" s="11"/>
      <c r="BE40" s="11"/>
      <c r="BF40" s="11"/>
      <c r="BG40" s="11"/>
      <c r="BH40" s="11"/>
      <c r="BI40" s="11"/>
      <c r="BJ40" s="11"/>
      <c r="BK40" s="11"/>
      <c r="BL40" s="11"/>
      <c r="CV40" s="11"/>
      <c r="DL40" s="11"/>
      <c r="DM40" s="11"/>
      <c r="DO40" s="11"/>
      <c r="DQ40" s="11"/>
      <c r="DV40" s="366"/>
      <c r="DW40" s="366"/>
      <c r="DX40" s="366"/>
      <c r="EA40" s="366"/>
      <c r="EC40" s="366"/>
      <c r="ED40" s="366"/>
      <c r="EI40" s="366"/>
      <c r="EN40" s="366"/>
      <c r="EO40" s="366"/>
      <c r="ET40" s="366"/>
      <c r="EZ40" s="71"/>
      <c r="FH40" s="71"/>
      <c r="FN40" s="366"/>
    </row>
    <row r="41" spans="1:233" s="34" customFormat="1" x14ac:dyDescent="0.3">
      <c r="A41" s="182"/>
      <c r="B41" s="183"/>
      <c r="C41" s="184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E41" s="11"/>
      <c r="AF41" s="11"/>
      <c r="AG41" s="11"/>
      <c r="AH41" s="401"/>
      <c r="AI41" s="41"/>
      <c r="AJ41" s="41"/>
      <c r="AK41" s="401"/>
      <c r="AL41" s="401"/>
      <c r="AM41" s="401"/>
      <c r="AN41" s="71"/>
      <c r="AO41" s="71"/>
      <c r="AP41" s="71"/>
      <c r="AQ41" s="71"/>
      <c r="AR41" s="71"/>
      <c r="AS41" s="71"/>
      <c r="AT41" s="349"/>
      <c r="AU41" s="71"/>
      <c r="AV41" s="349"/>
      <c r="AW41" s="349"/>
      <c r="AX41" s="71"/>
      <c r="AY41" s="71"/>
      <c r="AZ41" s="71"/>
      <c r="BA41" s="71"/>
      <c r="BB41" s="71"/>
      <c r="BD41" s="11"/>
      <c r="BE41" s="11"/>
      <c r="BF41" s="11"/>
      <c r="BG41" s="11"/>
      <c r="BH41" s="11"/>
      <c r="BI41" s="11"/>
      <c r="BJ41" s="11"/>
      <c r="BK41" s="41"/>
      <c r="BL41" s="11"/>
      <c r="CV41" s="11"/>
      <c r="DL41" s="11"/>
      <c r="DM41" s="11"/>
      <c r="DO41" s="11"/>
      <c r="DQ41" s="11"/>
      <c r="DV41" s="366"/>
      <c r="DW41" s="366"/>
      <c r="DX41" s="366"/>
      <c r="EA41" s="366"/>
      <c r="EC41" s="366"/>
      <c r="ED41" s="366"/>
      <c r="EI41" s="366"/>
      <c r="EN41" s="366"/>
      <c r="EO41" s="366"/>
      <c r="ET41" s="366"/>
      <c r="EZ41" s="71"/>
      <c r="FH41" s="71"/>
      <c r="FN41" s="366"/>
    </row>
    <row r="42" spans="1:233" s="34" customFormat="1" x14ac:dyDescent="0.3">
      <c r="A42" s="399" t="s">
        <v>243</v>
      </c>
      <c r="B42" s="400"/>
      <c r="C42" s="357">
        <v>200</v>
      </c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E42" s="11"/>
      <c r="AF42" s="11"/>
      <c r="AG42" s="11"/>
      <c r="AH42" s="41"/>
      <c r="AI42" s="41"/>
      <c r="AJ42" s="41"/>
      <c r="AK42" s="41"/>
      <c r="AL42" s="41"/>
      <c r="AM42" s="41"/>
      <c r="AN42" s="71"/>
      <c r="AO42" s="71"/>
      <c r="AP42" s="71"/>
      <c r="AQ42" s="71"/>
      <c r="AR42" s="71"/>
      <c r="AS42" s="71"/>
      <c r="AU42" s="71"/>
      <c r="AX42" s="71"/>
      <c r="AY42" s="71"/>
      <c r="AZ42" s="71"/>
      <c r="BA42" s="71"/>
      <c r="BB42" s="71"/>
      <c r="BD42" s="41"/>
      <c r="BE42" s="41"/>
      <c r="BF42" s="41"/>
      <c r="BG42" s="41"/>
      <c r="BH42" s="41"/>
      <c r="BI42" s="41"/>
      <c r="BJ42" s="41"/>
      <c r="BK42" s="41"/>
      <c r="BL42" s="41"/>
      <c r="CV42" s="11"/>
      <c r="DL42" s="11"/>
      <c r="DM42" s="11"/>
      <c r="DO42" s="11"/>
      <c r="DQ42" s="11"/>
      <c r="DV42" s="366"/>
      <c r="DW42" s="366"/>
      <c r="DX42" s="366"/>
      <c r="EA42" s="366"/>
      <c r="EC42" s="366"/>
      <c r="ED42" s="366"/>
      <c r="EI42" s="366"/>
      <c r="EN42" s="366"/>
      <c r="EO42" s="366"/>
      <c r="ET42" s="366"/>
      <c r="EZ42" s="71"/>
      <c r="FH42" s="71"/>
      <c r="FN42" s="366"/>
    </row>
    <row r="43" spans="1:233" x14ac:dyDescent="0.3">
      <c r="C43" s="374"/>
      <c r="D43" s="374"/>
      <c r="AH43" s="41"/>
      <c r="AI43" s="41"/>
      <c r="AJ43" s="41"/>
      <c r="AK43" s="41"/>
      <c r="AL43" s="41"/>
      <c r="AM43" s="41"/>
      <c r="BD43" s="41"/>
      <c r="BE43" s="41"/>
      <c r="BF43" s="41"/>
      <c r="BG43" s="41"/>
      <c r="BH43" s="41"/>
      <c r="BI43" s="41"/>
      <c r="BJ43" s="41"/>
      <c r="BK43" s="41"/>
      <c r="BL43" s="41"/>
    </row>
    <row r="44" spans="1:233" ht="18.75" customHeight="1" x14ac:dyDescent="0.3">
      <c r="A44" s="472" t="s">
        <v>177</v>
      </c>
      <c r="B44" s="467"/>
      <c r="C44" s="467"/>
      <c r="D44" s="469"/>
      <c r="F44" s="356">
        <v>46013</v>
      </c>
      <c r="G44" s="356">
        <v>46020</v>
      </c>
      <c r="H44" s="356">
        <v>46027</v>
      </c>
      <c r="I44" s="356">
        <v>46034</v>
      </c>
      <c r="J44" s="356">
        <v>46041</v>
      </c>
      <c r="K44" s="356">
        <v>46048</v>
      </c>
      <c r="L44" s="356">
        <v>46055</v>
      </c>
      <c r="M44" s="356">
        <v>46062</v>
      </c>
      <c r="N44" s="356">
        <v>46069</v>
      </c>
      <c r="O44" s="356">
        <v>46076</v>
      </c>
      <c r="P44" s="356">
        <v>46083</v>
      </c>
      <c r="Q44" s="356">
        <v>46090</v>
      </c>
      <c r="R44" s="356">
        <v>46097</v>
      </c>
      <c r="S44" s="356">
        <v>46104</v>
      </c>
      <c r="T44" s="356">
        <v>46111</v>
      </c>
      <c r="U44" s="356">
        <v>46118</v>
      </c>
      <c r="V44" s="356">
        <v>46125</v>
      </c>
      <c r="W44" s="356">
        <v>46132</v>
      </c>
      <c r="X44" s="356">
        <v>46139</v>
      </c>
      <c r="Y44" s="356">
        <v>46146</v>
      </c>
      <c r="Z44" s="356">
        <v>46154</v>
      </c>
      <c r="AH44" s="41"/>
      <c r="AI44" s="41"/>
      <c r="AJ44" s="41"/>
      <c r="AK44" s="41"/>
      <c r="AL44" s="41"/>
      <c r="AM44" s="41"/>
      <c r="BD44" s="41"/>
      <c r="BE44" s="41"/>
      <c r="BF44" s="41"/>
      <c r="BG44" s="41"/>
      <c r="BH44" s="41"/>
      <c r="BI44" s="41"/>
      <c r="BJ44" s="41"/>
      <c r="BK44" s="41"/>
      <c r="BL44" s="41"/>
    </row>
    <row r="45" spans="1:233" x14ac:dyDescent="0.3">
      <c r="A45" s="470" t="s">
        <v>178</v>
      </c>
      <c r="B45" s="467"/>
      <c r="C45" s="467"/>
      <c r="D45" s="469"/>
      <c r="F45" s="358">
        <v>122</v>
      </c>
      <c r="G45" s="358">
        <v>122</v>
      </c>
      <c r="H45" s="358">
        <v>193</v>
      </c>
      <c r="I45" s="358">
        <v>186</v>
      </c>
      <c r="J45" s="358">
        <v>142</v>
      </c>
      <c r="K45" s="358">
        <v>140</v>
      </c>
      <c r="L45" s="358">
        <v>119</v>
      </c>
      <c r="M45" s="358">
        <v>119</v>
      </c>
      <c r="N45" s="358">
        <v>113</v>
      </c>
      <c r="O45" s="358">
        <v>113</v>
      </c>
      <c r="P45" s="358">
        <v>113</v>
      </c>
      <c r="Q45" s="358">
        <v>0</v>
      </c>
      <c r="R45" s="358">
        <v>0</v>
      </c>
      <c r="S45" s="358">
        <v>0</v>
      </c>
      <c r="T45" s="358">
        <v>0</v>
      </c>
      <c r="U45" s="358">
        <v>0</v>
      </c>
      <c r="V45" s="358">
        <v>0</v>
      </c>
      <c r="W45" s="358">
        <v>0</v>
      </c>
      <c r="X45" s="358">
        <v>0</v>
      </c>
      <c r="Y45" s="358">
        <v>0</v>
      </c>
      <c r="Z45" s="358">
        <v>0</v>
      </c>
      <c r="AH45" s="41"/>
      <c r="AK45" s="41"/>
      <c r="AL45" s="41"/>
      <c r="AM45" s="41"/>
      <c r="BD45" s="41"/>
      <c r="BE45" s="41"/>
      <c r="BF45" s="41"/>
      <c r="BG45" s="41"/>
      <c r="BH45" s="41"/>
      <c r="BI45" s="41"/>
      <c r="BJ45" s="41"/>
      <c r="BL45" s="41"/>
    </row>
    <row r="46" spans="1:233" x14ac:dyDescent="0.3">
      <c r="A46" s="470" t="s">
        <v>179</v>
      </c>
      <c r="B46" s="467"/>
      <c r="C46" s="467"/>
      <c r="D46" s="469"/>
      <c r="F46" s="358">
        <v>82</v>
      </c>
      <c r="G46" s="358">
        <v>82</v>
      </c>
      <c r="H46" s="358">
        <v>76</v>
      </c>
      <c r="I46" s="358">
        <v>70</v>
      </c>
      <c r="J46" s="358">
        <v>64</v>
      </c>
      <c r="K46" s="358">
        <v>65</v>
      </c>
      <c r="L46" s="358">
        <v>46</v>
      </c>
      <c r="M46" s="358">
        <v>46</v>
      </c>
      <c r="N46" s="358">
        <v>21</v>
      </c>
      <c r="O46" s="358">
        <v>21</v>
      </c>
      <c r="P46" s="358">
        <v>21</v>
      </c>
      <c r="Q46" s="358">
        <v>0</v>
      </c>
      <c r="R46" s="358">
        <v>0</v>
      </c>
      <c r="S46" s="358">
        <v>0</v>
      </c>
      <c r="T46" s="358">
        <v>0</v>
      </c>
      <c r="U46" s="358">
        <v>0</v>
      </c>
      <c r="V46" s="358">
        <v>0</v>
      </c>
      <c r="W46" s="358">
        <v>0</v>
      </c>
      <c r="X46" s="358">
        <v>0</v>
      </c>
      <c r="Y46" s="358">
        <v>0</v>
      </c>
      <c r="Z46" s="358">
        <v>0</v>
      </c>
    </row>
    <row r="47" spans="1:233" x14ac:dyDescent="0.3">
      <c r="A47" s="470" t="s">
        <v>205</v>
      </c>
      <c r="B47" s="467"/>
      <c r="C47" s="467"/>
      <c r="D47" s="469"/>
      <c r="F47" s="358"/>
      <c r="G47" s="358"/>
      <c r="H47" s="358"/>
      <c r="I47" s="358"/>
      <c r="J47" s="358"/>
      <c r="K47" s="358"/>
      <c r="L47" s="358"/>
      <c r="M47" s="358"/>
      <c r="N47" s="358">
        <v>0</v>
      </c>
      <c r="O47" s="358">
        <v>0</v>
      </c>
      <c r="P47" s="358">
        <v>0</v>
      </c>
      <c r="Q47" s="358">
        <v>0</v>
      </c>
      <c r="R47" s="358">
        <v>0</v>
      </c>
      <c r="S47" s="358">
        <v>82</v>
      </c>
      <c r="T47" s="358">
        <v>67</v>
      </c>
      <c r="U47" s="358">
        <v>50</v>
      </c>
      <c r="V47" s="358">
        <v>50</v>
      </c>
      <c r="W47" s="358">
        <v>50</v>
      </c>
      <c r="X47" s="358">
        <v>0</v>
      </c>
      <c r="Y47" s="358">
        <v>0</v>
      </c>
      <c r="Z47" s="358">
        <v>0</v>
      </c>
      <c r="AI47" s="11"/>
      <c r="AJ47" s="11"/>
    </row>
    <row r="48" spans="1:233" x14ac:dyDescent="0.3">
      <c r="A48" s="470"/>
      <c r="B48" s="467"/>
      <c r="C48" s="467"/>
      <c r="D48" s="469"/>
      <c r="N48" s="358"/>
      <c r="O48" s="358"/>
      <c r="P48" s="358"/>
      <c r="Q48" s="358"/>
      <c r="R48" s="358"/>
      <c r="S48" s="358"/>
      <c r="T48" s="358"/>
      <c r="U48" s="358"/>
      <c r="V48" s="358"/>
      <c r="W48" s="358"/>
      <c r="X48" s="358"/>
      <c r="Y48" s="358"/>
      <c r="Z48" s="358"/>
      <c r="AH48" s="11"/>
      <c r="AK48" s="11"/>
      <c r="AL48" s="11"/>
      <c r="AM48" s="11"/>
    </row>
    <row r="49" spans="1:26" x14ac:dyDescent="0.3">
      <c r="A49" s="470"/>
      <c r="B49" s="467"/>
      <c r="C49" s="467"/>
      <c r="D49" s="469"/>
      <c r="N49" s="358"/>
      <c r="O49" s="358"/>
      <c r="P49" s="358"/>
      <c r="Q49" s="358"/>
      <c r="R49" s="358"/>
      <c r="S49" s="358"/>
      <c r="T49" s="358"/>
      <c r="U49" s="358"/>
      <c r="V49" s="358"/>
      <c r="W49" s="358"/>
      <c r="X49" s="358"/>
      <c r="Y49" s="358"/>
      <c r="Z49" s="358"/>
    </row>
    <row r="50" spans="1:26" x14ac:dyDescent="0.3">
      <c r="A50" s="470"/>
      <c r="B50" s="467"/>
      <c r="C50" s="467"/>
      <c r="D50" s="469"/>
      <c r="N50" s="358"/>
      <c r="O50" s="358"/>
      <c r="P50" s="358"/>
      <c r="Q50" s="358"/>
      <c r="R50" s="358"/>
      <c r="S50" s="358"/>
      <c r="T50" s="358"/>
      <c r="U50" s="358"/>
      <c r="V50" s="358"/>
      <c r="W50" s="358"/>
      <c r="X50" s="358"/>
      <c r="Y50" s="358"/>
      <c r="Z50" s="358"/>
    </row>
  </sheetData>
  <mergeCells count="15">
    <mergeCell ref="A1:AB1"/>
    <mergeCell ref="C5:C6"/>
    <mergeCell ref="A49:D49"/>
    <mergeCell ref="A47:D47"/>
    <mergeCell ref="D5:D6"/>
    <mergeCell ref="A46:D46"/>
    <mergeCell ref="B5:B6"/>
    <mergeCell ref="B2:D2"/>
    <mergeCell ref="A44:D44"/>
    <mergeCell ref="A5:A6"/>
    <mergeCell ref="A45:D45"/>
    <mergeCell ref="B3:D3"/>
    <mergeCell ref="BD7:BL7"/>
    <mergeCell ref="A50:D50"/>
    <mergeCell ref="A48:D48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59" fitToHeight="0"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46">
    <tabColor theme="9"/>
  </sheetPr>
  <dimension ref="A1:FU49"/>
  <sheetViews>
    <sheetView showGridLines="0" zoomScale="80" zoomScaleNormal="80" zoomScalePageLayoutView="70" workbookViewId="0">
      <selection activeCell="AH1" sqref="AH1:AH1048576"/>
    </sheetView>
  </sheetViews>
  <sheetFormatPr defaultColWidth="9.140625" defaultRowHeight="15" x14ac:dyDescent="0.25"/>
  <cols>
    <col min="1" max="1" width="34" customWidth="1"/>
    <col min="2" max="2" width="8.7109375" customWidth="1"/>
    <col min="3" max="3" width="14.42578125" hidden="1" customWidth="1"/>
    <col min="4" max="4" width="14.42578125" customWidth="1"/>
    <col min="5" max="5" width="1.42578125" customWidth="1"/>
    <col min="6" max="6" width="9.28515625" hidden="1" customWidth="1"/>
    <col min="7" max="25" width="13" hidden="1" customWidth="1"/>
    <col min="26" max="26" width="9.28515625" hidden="1" customWidth="1"/>
    <col min="27" max="29" width="13" hidden="1" customWidth="1"/>
    <col min="30" max="31" width="13" customWidth="1"/>
    <col min="32" max="32" width="9.7109375" customWidth="1"/>
    <col min="33" max="33" width="1.140625" customWidth="1"/>
    <col min="34" max="34" width="14.28515625" customWidth="1"/>
    <col min="35" max="35" width="1.7109375" customWidth="1"/>
    <col min="36" max="36" width="15.85546875" customWidth="1"/>
    <col min="37" max="37" width="2.140625" customWidth="1"/>
    <col min="38" max="38" width="8.7109375" customWidth="1"/>
    <col min="39" max="40" width="13" customWidth="1"/>
    <col min="41" max="41" width="13" hidden="1" customWidth="1"/>
    <col min="42" max="42" width="8.7109375" hidden="1" customWidth="1"/>
    <col min="43" max="52" width="13" hidden="1" customWidth="1"/>
    <col min="53" max="53" width="9.140625" customWidth="1"/>
    <col min="54" max="54" width="21.85546875" customWidth="1"/>
    <col min="55" max="55" width="9.140625" customWidth="1"/>
    <col min="56" max="60" width="13" hidden="1" customWidth="1"/>
    <col min="61" max="61" width="9.140625" hidden="1" customWidth="1"/>
    <col min="62" max="64" width="13" hidden="1" customWidth="1"/>
    <col min="65" max="66" width="13" customWidth="1"/>
  </cols>
  <sheetData>
    <row r="1" spans="1:67" ht="23.25" customHeight="1" x14ac:dyDescent="0.25">
      <c r="A1" s="353" t="s">
        <v>117</v>
      </c>
      <c r="B1" s="353"/>
      <c r="C1" s="353"/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3"/>
      <c r="P1" s="353"/>
      <c r="Q1" s="353"/>
      <c r="R1" s="353"/>
      <c r="S1" s="353"/>
      <c r="T1" s="353"/>
      <c r="U1" s="353"/>
      <c r="V1" s="353"/>
      <c r="W1" s="353"/>
      <c r="X1" s="353"/>
      <c r="Y1" s="353"/>
      <c r="Z1" s="353"/>
      <c r="AA1" s="353"/>
      <c r="AB1" s="353"/>
      <c r="AC1" s="353"/>
      <c r="AD1" s="353"/>
      <c r="AE1" s="353"/>
      <c r="AF1" s="353"/>
      <c r="AG1" s="353"/>
      <c r="AH1" s="353"/>
      <c r="AI1" s="353"/>
      <c r="AJ1" s="353"/>
      <c r="AK1" s="353"/>
      <c r="AL1" s="353"/>
      <c r="AM1" s="353"/>
      <c r="AN1" s="353"/>
      <c r="AO1" s="353"/>
      <c r="AP1" s="353"/>
      <c r="AQ1" s="353"/>
      <c r="AR1" s="353"/>
      <c r="AS1" s="353"/>
      <c r="AT1" s="353"/>
      <c r="AU1" s="353"/>
      <c r="AV1" s="353"/>
      <c r="AW1" s="353"/>
      <c r="AX1" s="353"/>
      <c r="AY1" s="353"/>
      <c r="AZ1" s="353"/>
    </row>
    <row r="2" spans="1:67" ht="18.75" x14ac:dyDescent="0.3">
      <c r="A2" s="63" t="s">
        <v>118</v>
      </c>
      <c r="B2" s="473" t="s">
        <v>244</v>
      </c>
      <c r="C2" s="463"/>
      <c r="D2" s="464"/>
      <c r="AH2" s="11"/>
      <c r="AI2" s="11"/>
      <c r="AJ2" s="11"/>
    </row>
    <row r="3" spans="1:67" ht="18.75" x14ac:dyDescent="0.3">
      <c r="A3" s="63" t="s">
        <v>120</v>
      </c>
      <c r="B3" s="465" t="s">
        <v>245</v>
      </c>
      <c r="C3" s="463"/>
      <c r="D3" s="464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442"/>
      <c r="AC3" s="442"/>
      <c r="AD3" s="442"/>
      <c r="AE3" s="442"/>
      <c r="AF3" s="7"/>
      <c r="AG3" s="7"/>
      <c r="AH3" s="11"/>
      <c r="AI3" s="7"/>
    </row>
    <row r="4" spans="1:67" ht="18.75" x14ac:dyDescent="0.3">
      <c r="AI4" s="11"/>
      <c r="AJ4" s="11"/>
      <c r="AK4" s="387"/>
      <c r="AL4" s="387"/>
      <c r="AM4" s="387"/>
      <c r="AN4" s="387"/>
      <c r="AO4" s="387"/>
      <c r="AP4" s="387"/>
      <c r="AQ4" s="387"/>
      <c r="AR4" s="387"/>
      <c r="AS4" s="387"/>
      <c r="AT4" s="387"/>
      <c r="AU4" s="387"/>
      <c r="AV4" s="387"/>
      <c r="AW4" s="387"/>
      <c r="AX4" s="387"/>
      <c r="AY4" s="387"/>
      <c r="AZ4" s="387"/>
    </row>
    <row r="5" spans="1:67" ht="18.75" customHeight="1" x14ac:dyDescent="0.3">
      <c r="A5" s="476" t="s">
        <v>122</v>
      </c>
      <c r="B5" s="471" t="s">
        <v>123</v>
      </c>
      <c r="C5" s="471" t="s">
        <v>124</v>
      </c>
      <c r="D5" s="474" t="s">
        <v>125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115"/>
      <c r="AH5" s="29" t="s">
        <v>126</v>
      </c>
      <c r="AI5" s="11"/>
      <c r="AJ5" s="9" t="s">
        <v>127</v>
      </c>
      <c r="AK5" s="363">
        <v>46161.483288208197</v>
      </c>
      <c r="AL5" s="363"/>
      <c r="AM5" s="363">
        <v>46114</v>
      </c>
      <c r="AN5" s="409">
        <v>46065</v>
      </c>
      <c r="AO5" s="363">
        <v>46107</v>
      </c>
      <c r="AP5" s="363">
        <v>46099</v>
      </c>
      <c r="AQ5" s="363">
        <v>46092</v>
      </c>
      <c r="AR5" s="363">
        <v>46077</v>
      </c>
      <c r="AS5" s="363">
        <v>46071</v>
      </c>
      <c r="AT5" s="363">
        <v>46048</v>
      </c>
      <c r="AU5" s="363">
        <v>46043</v>
      </c>
      <c r="AV5" s="363">
        <v>46035</v>
      </c>
      <c r="AW5" s="363">
        <v>46017</v>
      </c>
      <c r="AX5" s="363">
        <v>46007</v>
      </c>
      <c r="AY5" s="363">
        <v>45994</v>
      </c>
      <c r="AZ5" s="363">
        <v>45965</v>
      </c>
    </row>
    <row r="6" spans="1:67" s="3" customFormat="1" ht="19.5" customHeight="1" x14ac:dyDescent="0.3">
      <c r="A6" s="461"/>
      <c r="B6" s="461"/>
      <c r="C6" s="461"/>
      <c r="D6" s="461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13">
        <v>46160</v>
      </c>
      <c r="AB6" s="13">
        <v>46161.480129328702</v>
      </c>
      <c r="AC6" s="13">
        <v>46161.480802928243</v>
      </c>
      <c r="AD6" s="13">
        <v>46161.482960277783</v>
      </c>
      <c r="AE6" s="13">
        <v>46161.483288897944</v>
      </c>
      <c r="AF6" s="35" t="s">
        <v>129</v>
      </c>
      <c r="AG6" s="116"/>
      <c r="AH6" s="180"/>
      <c r="AI6" s="31"/>
      <c r="AJ6" s="179"/>
      <c r="AK6" s="363">
        <v>46161.483288208459</v>
      </c>
      <c r="AL6" s="363"/>
      <c r="AM6" s="363">
        <v>46125</v>
      </c>
      <c r="AN6" s="409">
        <v>46112</v>
      </c>
      <c r="AO6" s="363">
        <v>46112</v>
      </c>
      <c r="AP6" s="363">
        <v>46106</v>
      </c>
      <c r="AQ6" s="363">
        <v>46100</v>
      </c>
      <c r="AR6" s="363">
        <v>46084</v>
      </c>
      <c r="AS6" s="363">
        <v>46077</v>
      </c>
      <c r="AT6" s="363">
        <v>46056</v>
      </c>
      <c r="AU6" s="363">
        <v>46049</v>
      </c>
      <c r="AV6" s="363">
        <v>46038</v>
      </c>
      <c r="AW6" s="363">
        <v>46028</v>
      </c>
      <c r="AX6" s="363">
        <v>46014</v>
      </c>
      <c r="AY6" s="363">
        <v>46010</v>
      </c>
      <c r="AZ6" s="363">
        <v>45975</v>
      </c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</row>
    <row r="7" spans="1:67" s="3" customFormat="1" ht="21.75" customHeight="1" x14ac:dyDescent="0.3">
      <c r="A7" s="68" t="s">
        <v>130</v>
      </c>
      <c r="B7" s="5"/>
      <c r="C7" s="5"/>
      <c r="D7" s="233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341"/>
      <c r="AH7" s="84"/>
      <c r="AJ7" s="132"/>
      <c r="AK7" s="12"/>
      <c r="AL7" s="12"/>
      <c r="AM7" s="12"/>
      <c r="AN7" s="12" t="s">
        <v>131</v>
      </c>
      <c r="AO7" s="12"/>
      <c r="AP7" s="12"/>
      <c r="AQ7" s="12"/>
      <c r="AR7" s="12"/>
      <c r="AS7" s="12"/>
      <c r="AT7" s="12"/>
      <c r="AU7" s="12"/>
      <c r="AV7" s="12"/>
      <c r="AW7" s="12"/>
      <c r="AX7" s="466"/>
      <c r="AY7" s="466"/>
      <c r="AZ7" s="467"/>
      <c r="BA7" s="467"/>
      <c r="BB7" s="467"/>
      <c r="BC7" s="467"/>
      <c r="BD7" s="467"/>
      <c r="BE7" s="467"/>
      <c r="BF7" s="467"/>
      <c r="BG7" s="447"/>
      <c r="BH7" s="447"/>
      <c r="BI7" s="452"/>
      <c r="BJ7" s="443"/>
      <c r="BK7" s="444"/>
      <c r="BL7" s="444"/>
      <c r="BM7" s="444"/>
      <c r="BN7" s="444"/>
      <c r="BO7" s="412"/>
    </row>
    <row r="8" spans="1:67" s="3" customFormat="1" ht="18.75" x14ac:dyDescent="0.3">
      <c r="A8" s="21" t="s">
        <v>132</v>
      </c>
      <c r="B8" s="6">
        <v>300</v>
      </c>
      <c r="C8" s="82">
        <v>187.12</v>
      </c>
      <c r="D8" s="234">
        <v>200</v>
      </c>
      <c r="E8" s="11"/>
      <c r="F8" s="39">
        <f>160+AT8</f>
        <v>160</v>
      </c>
      <c r="G8" s="39">
        <v>435</v>
      </c>
      <c r="H8" s="39">
        <v>335</v>
      </c>
      <c r="I8" s="39">
        <v>300</v>
      </c>
      <c r="J8" s="39">
        <v>183</v>
      </c>
      <c r="K8" s="39">
        <f>300+AQ8</f>
        <v>300</v>
      </c>
      <c r="L8" s="39">
        <v>600</v>
      </c>
      <c r="M8" s="39">
        <v>600</v>
      </c>
      <c r="N8" s="39">
        <v>600</v>
      </c>
      <c r="O8" s="39">
        <v>600</v>
      </c>
      <c r="P8" s="39">
        <v>300</v>
      </c>
      <c r="Q8" s="39">
        <v>300</v>
      </c>
      <c r="R8" s="39">
        <v>300</v>
      </c>
      <c r="S8" s="39">
        <v>300</v>
      </c>
      <c r="T8" s="39">
        <v>300</v>
      </c>
      <c r="U8" s="39">
        <v>300</v>
      </c>
      <c r="V8" s="39">
        <v>300</v>
      </c>
      <c r="W8" s="39">
        <v>300</v>
      </c>
      <c r="X8" s="39">
        <v>240</v>
      </c>
      <c r="Y8" s="39">
        <v>240</v>
      </c>
      <c r="Z8" s="39">
        <v>240</v>
      </c>
      <c r="AA8" s="39"/>
      <c r="AB8" s="6"/>
      <c r="AC8" s="6"/>
      <c r="AD8" s="6"/>
      <c r="AE8" s="6"/>
      <c r="AF8" s="372">
        <f ca="1">AD8+IF(NOT(ISBLANK(OFFSET(AF8,0,6))),N(OFFSET(AF8,0,6)),N(OFFSET(AF8,0,7)))-AE8</f>
        <v>0</v>
      </c>
      <c r="AG8" s="2"/>
      <c r="AH8" s="78"/>
      <c r="AJ8" s="32"/>
      <c r="AK8" s="445"/>
      <c r="AL8" s="19">
        <v>0</v>
      </c>
      <c r="AM8" s="19"/>
      <c r="AN8" s="19"/>
      <c r="AO8" s="19"/>
      <c r="AP8" s="19"/>
      <c r="AQ8" s="19"/>
      <c r="AR8" s="19"/>
      <c r="AS8" s="19"/>
      <c r="AT8" s="19"/>
      <c r="AU8" s="19">
        <v>300</v>
      </c>
      <c r="AV8" s="19"/>
      <c r="AW8" s="19"/>
      <c r="AX8" s="19">
        <v>300</v>
      </c>
      <c r="AY8" s="19"/>
      <c r="AZ8" s="19"/>
      <c r="BB8" s="389" t="s">
        <v>130</v>
      </c>
      <c r="BC8" s="376" t="s">
        <v>123</v>
      </c>
      <c r="BD8" s="13">
        <v>46118</v>
      </c>
      <c r="BE8" s="13">
        <v>46125</v>
      </c>
      <c r="BF8" s="13">
        <v>46132</v>
      </c>
      <c r="BG8" s="13">
        <v>46139</v>
      </c>
      <c r="BH8" s="13">
        <v>46146</v>
      </c>
      <c r="BI8" s="13">
        <v>46154</v>
      </c>
      <c r="BJ8" s="13">
        <v>46160</v>
      </c>
      <c r="BK8" s="13">
        <v>46161.480128981479</v>
      </c>
      <c r="BL8" s="13">
        <v>46161.480802592603</v>
      </c>
      <c r="BM8" s="13">
        <v>46161.482959988432</v>
      </c>
      <c r="BN8" s="13">
        <v>46161.483288567579</v>
      </c>
      <c r="BO8" s="35" t="s">
        <v>129</v>
      </c>
    </row>
    <row r="9" spans="1:67" s="3" customFormat="1" ht="18" customHeight="1" x14ac:dyDescent="0.3">
      <c r="A9" s="21" t="s">
        <v>134</v>
      </c>
      <c r="B9" s="6">
        <v>200</v>
      </c>
      <c r="C9" s="82">
        <v>193.08</v>
      </c>
      <c r="D9" s="234">
        <v>500</v>
      </c>
      <c r="E9" s="11"/>
      <c r="F9" s="39">
        <f>200+AT9</f>
        <v>800</v>
      </c>
      <c r="G9" s="39">
        <v>400</v>
      </c>
      <c r="H9" s="39">
        <f>200+AS9</f>
        <v>400</v>
      </c>
      <c r="I9" s="39">
        <v>400</v>
      </c>
      <c r="J9" s="39">
        <v>400</v>
      </c>
      <c r="K9" s="39">
        <v>350</v>
      </c>
      <c r="L9" s="39">
        <f>350+AP9</f>
        <v>750</v>
      </c>
      <c r="M9" s="39">
        <v>800</v>
      </c>
      <c r="N9" s="39">
        <v>600</v>
      </c>
      <c r="O9" s="39">
        <f>400+AO9</f>
        <v>600</v>
      </c>
      <c r="P9" s="39">
        <v>400</v>
      </c>
      <c r="Q9" s="39">
        <v>400</v>
      </c>
      <c r="R9" s="39">
        <v>200</v>
      </c>
      <c r="S9" s="39">
        <f>0+AL9</f>
        <v>0</v>
      </c>
      <c r="T9" s="39">
        <f>200+AK9</f>
        <v>200</v>
      </c>
      <c r="U9" s="39">
        <v>600</v>
      </c>
      <c r="V9" s="39">
        <v>600</v>
      </c>
      <c r="W9" s="39">
        <v>600</v>
      </c>
      <c r="X9" s="39">
        <v>600</v>
      </c>
      <c r="Y9" s="39">
        <v>600</v>
      </c>
      <c r="Z9" s="39">
        <v>400</v>
      </c>
      <c r="AA9" s="39"/>
      <c r="AB9" s="6"/>
      <c r="AC9" s="6"/>
      <c r="AD9" s="6"/>
      <c r="AE9" s="6"/>
      <c r="AF9" s="372">
        <f ca="1">AD9+IF(NOT(ISBLANK(OFFSET(AF9,0,6))),N(OFFSET(AF9,0,6)),N(OFFSET(AF9,0,7)))-AE9</f>
        <v>0</v>
      </c>
      <c r="AG9" s="2"/>
      <c r="AH9" s="78"/>
      <c r="AJ9" s="32"/>
      <c r="AK9" s="445">
        <v>0</v>
      </c>
      <c r="AL9" s="19">
        <v>0</v>
      </c>
      <c r="AM9" s="19">
        <v>200</v>
      </c>
      <c r="AN9" s="117">
        <v>400</v>
      </c>
      <c r="AO9" s="19">
        <v>200</v>
      </c>
      <c r="AP9" s="19">
        <v>400</v>
      </c>
      <c r="AQ9" s="19"/>
      <c r="AR9" s="19"/>
      <c r="AS9" s="19">
        <v>200</v>
      </c>
      <c r="AT9" s="19">
        <v>600</v>
      </c>
      <c r="AU9" s="19"/>
      <c r="AV9" s="19">
        <v>200</v>
      </c>
      <c r="AW9" s="19">
        <v>400</v>
      </c>
      <c r="AX9" s="19">
        <v>400</v>
      </c>
      <c r="AY9" s="19">
        <v>400</v>
      </c>
      <c r="AZ9" s="19">
        <v>200</v>
      </c>
      <c r="BB9" s="364" t="s">
        <v>136</v>
      </c>
      <c r="BC9" s="135">
        <v>200</v>
      </c>
      <c r="BD9" s="39">
        <f>AJ9</f>
        <v>0</v>
      </c>
      <c r="BE9" s="39">
        <v>400</v>
      </c>
      <c r="BF9" s="39">
        <v>200</v>
      </c>
      <c r="BG9" s="39">
        <v>120</v>
      </c>
      <c r="BH9" s="39">
        <v>120</v>
      </c>
      <c r="BI9" s="39">
        <v>120</v>
      </c>
      <c r="BJ9" s="39"/>
      <c r="BK9" s="6"/>
      <c r="BL9" s="6"/>
      <c r="BM9" s="6"/>
      <c r="BN9" s="6"/>
      <c r="BO9" s="26">
        <f ca="1">BM9+IF(NOT(ISBLANK(OFFSET(BO9,0,6))),N(OFFSET(BO9,0,6)),N(OFFSET(BO9,0,7)))-BN9</f>
        <v>0</v>
      </c>
    </row>
    <row r="10" spans="1:67" s="3" customFormat="1" ht="18.75" x14ac:dyDescent="0.3">
      <c r="A10" s="21" t="s">
        <v>137</v>
      </c>
      <c r="B10" s="6">
        <v>200</v>
      </c>
      <c r="C10" s="82">
        <v>253.83</v>
      </c>
      <c r="D10" s="234">
        <v>350</v>
      </c>
      <c r="E10" s="11"/>
      <c r="F10" s="39">
        <v>400</v>
      </c>
      <c r="G10" s="39">
        <v>200</v>
      </c>
      <c r="H10" s="39">
        <f>200+AS10</f>
        <v>200</v>
      </c>
      <c r="I10" s="39">
        <v>400</v>
      </c>
      <c r="J10" s="39">
        <v>200</v>
      </c>
      <c r="K10" s="39">
        <f>200+AQ10</f>
        <v>200</v>
      </c>
      <c r="L10" s="39">
        <v>400</v>
      </c>
      <c r="M10" s="39">
        <v>400</v>
      </c>
      <c r="N10" s="39">
        <v>400</v>
      </c>
      <c r="O10" s="39">
        <v>400</v>
      </c>
      <c r="P10" s="39">
        <v>400</v>
      </c>
      <c r="Q10" s="39">
        <v>200</v>
      </c>
      <c r="R10" s="39">
        <v>200</v>
      </c>
      <c r="S10" s="39">
        <v>0</v>
      </c>
      <c r="T10" s="39">
        <f>0+AK10</f>
        <v>0</v>
      </c>
      <c r="U10" s="39">
        <v>600</v>
      </c>
      <c r="V10" s="39">
        <v>600</v>
      </c>
      <c r="W10" s="39">
        <v>600</v>
      </c>
      <c r="X10" s="39">
        <v>600</v>
      </c>
      <c r="Y10" s="39">
        <v>600</v>
      </c>
      <c r="Z10" s="39">
        <v>400</v>
      </c>
      <c r="AA10" s="39"/>
      <c r="AB10" s="6"/>
      <c r="AC10" s="6"/>
      <c r="AD10" s="6"/>
      <c r="AE10" s="6"/>
      <c r="AF10" s="372">
        <f ca="1">AD10+IF(NOT(ISBLANK(OFFSET(AF10,0,6))),N(OFFSET(AF10,0,6)),N(OFFSET(AF10,0,7)))-AE10</f>
        <v>0</v>
      </c>
      <c r="AG10" s="2"/>
      <c r="AH10" s="78"/>
      <c r="AI10" s="2"/>
      <c r="AJ10" s="32"/>
      <c r="AK10" s="445"/>
      <c r="AL10" s="19">
        <v>0</v>
      </c>
      <c r="AM10" s="19"/>
      <c r="AN10" s="117">
        <v>400</v>
      </c>
      <c r="AO10" s="19">
        <v>400</v>
      </c>
      <c r="AP10" s="19"/>
      <c r="AQ10" s="19"/>
      <c r="AR10" s="19"/>
      <c r="AS10" s="19"/>
      <c r="AT10" s="19"/>
      <c r="AU10" s="19">
        <v>200</v>
      </c>
      <c r="AV10" s="19"/>
      <c r="AW10" s="19">
        <v>200</v>
      </c>
      <c r="AX10" s="19"/>
      <c r="AY10" s="19"/>
      <c r="AZ10" s="19"/>
      <c r="BB10" s="21" t="s">
        <v>138</v>
      </c>
      <c r="BC10" s="6">
        <v>200</v>
      </c>
      <c r="BD10" s="39">
        <f>AJ10</f>
        <v>0</v>
      </c>
      <c r="BE10" s="39">
        <v>400</v>
      </c>
      <c r="BF10" s="39">
        <v>400</v>
      </c>
      <c r="BG10" s="39">
        <v>350</v>
      </c>
      <c r="BH10" s="39">
        <v>350</v>
      </c>
      <c r="BI10" s="39">
        <v>150</v>
      </c>
      <c r="BJ10" s="39"/>
      <c r="BK10" s="6"/>
      <c r="BL10" s="6"/>
      <c r="BM10" s="6"/>
      <c r="BN10" s="6"/>
      <c r="BO10" s="26">
        <f ca="1">BM10+IF(NOT(ISBLANK(OFFSET(BO10,0,6))),N(OFFSET(BO10,0,6)),N(OFFSET(BO10,0,7)))-BN10</f>
        <v>0</v>
      </c>
    </row>
    <row r="11" spans="1:67" s="3" customFormat="1" ht="18.75" x14ac:dyDescent="0.3">
      <c r="A11" s="22" t="s">
        <v>139</v>
      </c>
      <c r="B11" s="6">
        <v>100</v>
      </c>
      <c r="C11" s="82">
        <v>184.57</v>
      </c>
      <c r="D11" s="234">
        <v>20</v>
      </c>
      <c r="E11" s="11"/>
      <c r="F11" s="39">
        <v>32</v>
      </c>
      <c r="G11" s="39">
        <v>32</v>
      </c>
      <c r="H11" s="39">
        <v>32</v>
      </c>
      <c r="I11" s="39">
        <v>32</v>
      </c>
      <c r="J11" s="39">
        <v>32</v>
      </c>
      <c r="K11" s="39">
        <v>32</v>
      </c>
      <c r="L11" s="39">
        <v>0</v>
      </c>
      <c r="M11" s="39">
        <v>0</v>
      </c>
      <c r="N11" s="39">
        <v>0</v>
      </c>
      <c r="O11" s="39">
        <v>0</v>
      </c>
      <c r="P11" s="39">
        <v>0</v>
      </c>
      <c r="Q11" s="39">
        <v>0</v>
      </c>
      <c r="R11" s="39">
        <v>0</v>
      </c>
      <c r="S11" s="39">
        <v>0</v>
      </c>
      <c r="T11" s="39">
        <v>0</v>
      </c>
      <c r="U11" s="39">
        <v>0</v>
      </c>
      <c r="V11" s="39">
        <v>0</v>
      </c>
      <c r="W11" s="39">
        <v>0</v>
      </c>
      <c r="X11" s="39">
        <v>0</v>
      </c>
      <c r="Y11" s="39">
        <v>0</v>
      </c>
      <c r="Z11" s="39">
        <v>0</v>
      </c>
      <c r="AA11" s="39"/>
      <c r="AB11" s="6"/>
      <c r="AC11" s="6"/>
      <c r="AD11" s="6"/>
      <c r="AE11" s="6"/>
      <c r="AF11" s="372">
        <f ca="1">AD11+IF(NOT(ISBLANK(OFFSET(AF11,0,6))),N(OFFSET(AF11,0,6)),N(OFFSET(AF11,0,7)))-AE11</f>
        <v>0</v>
      </c>
      <c r="AG11" s="2"/>
      <c r="AH11" s="78"/>
      <c r="AI11" s="2"/>
      <c r="AJ11" s="32"/>
      <c r="AK11" s="445"/>
      <c r="AL11" s="19">
        <v>0</v>
      </c>
      <c r="AM11" s="19"/>
      <c r="AN11" s="117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B11" s="22" t="s">
        <v>140</v>
      </c>
      <c r="BC11" s="6">
        <v>100</v>
      </c>
      <c r="BD11" s="39">
        <v>0</v>
      </c>
      <c r="BE11" s="39">
        <v>50</v>
      </c>
      <c r="BF11" s="39">
        <v>50</v>
      </c>
      <c r="BG11" s="39">
        <v>49</v>
      </c>
      <c r="BH11" s="39">
        <v>49</v>
      </c>
      <c r="BI11" s="39">
        <v>49</v>
      </c>
      <c r="BJ11" s="39"/>
      <c r="BK11" s="6"/>
      <c r="BL11" s="6"/>
      <c r="BM11" s="6"/>
      <c r="BN11" s="6"/>
      <c r="BO11" s="26">
        <f ca="1">BM11+IF(NOT(ISBLANK(OFFSET(BO11,0,6))),N(OFFSET(BO11,0,6)),N(OFFSET(BO11,0,7)))-BN11</f>
        <v>0</v>
      </c>
    </row>
    <row r="12" spans="1:67" s="3" customFormat="1" ht="16.5" customHeight="1" x14ac:dyDescent="0.3">
      <c r="A12" s="23"/>
      <c r="B12" s="1"/>
      <c r="C12" s="64"/>
      <c r="D12" s="235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1"/>
      <c r="AC12" s="1"/>
      <c r="AD12" s="1"/>
      <c r="AE12" s="1"/>
      <c r="AF12" s="2"/>
      <c r="AG12" s="2"/>
      <c r="AH12" s="342"/>
      <c r="AI12" s="2"/>
      <c r="AJ12" s="33"/>
      <c r="AK12" s="388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B12" s="23"/>
      <c r="BC12" s="1"/>
      <c r="BD12" s="2"/>
      <c r="BE12" s="2"/>
      <c r="BF12" s="2"/>
      <c r="BG12" s="2"/>
      <c r="BH12" s="2"/>
      <c r="BI12" s="2"/>
      <c r="BJ12" s="2"/>
      <c r="BK12" s="1"/>
      <c r="BL12" s="1"/>
      <c r="BM12" s="1"/>
      <c r="BN12" s="1"/>
    </row>
    <row r="13" spans="1:67" s="3" customFormat="1" ht="18.75" x14ac:dyDescent="0.3">
      <c r="A13" s="24" t="s">
        <v>141</v>
      </c>
      <c r="B13" s="12"/>
      <c r="C13" s="65"/>
      <c r="D13" s="395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13">
        <v>46160</v>
      </c>
      <c r="AB13" s="13">
        <v>46161.480129328702</v>
      </c>
      <c r="AC13" s="13">
        <v>46161.480802928243</v>
      </c>
      <c r="AD13" s="13">
        <v>46161.482960277783</v>
      </c>
      <c r="AE13" s="13">
        <v>46161.483288898438</v>
      </c>
      <c r="AF13" s="35" t="s">
        <v>129</v>
      </c>
      <c r="AG13" s="116"/>
      <c r="AH13" s="29" t="s">
        <v>126</v>
      </c>
      <c r="AI13" s="11"/>
      <c r="AJ13" s="9" t="s">
        <v>127</v>
      </c>
      <c r="AK13" s="449">
        <v>46161.483288208838</v>
      </c>
      <c r="AL13" s="363"/>
      <c r="AM13" s="363">
        <v>46114</v>
      </c>
      <c r="AN13" s="409">
        <v>46065</v>
      </c>
      <c r="AO13" s="363">
        <v>46107</v>
      </c>
      <c r="AP13" s="363">
        <v>46099</v>
      </c>
      <c r="AQ13" s="363">
        <v>46092</v>
      </c>
      <c r="AR13" s="363">
        <v>46077</v>
      </c>
      <c r="AS13" s="363">
        <v>46071</v>
      </c>
      <c r="AT13" s="363">
        <v>46048</v>
      </c>
      <c r="AU13" s="363">
        <v>46043</v>
      </c>
      <c r="AV13" s="363">
        <v>46035</v>
      </c>
      <c r="AW13" s="363">
        <v>46017</v>
      </c>
      <c r="AX13" s="363">
        <v>46007</v>
      </c>
      <c r="AY13" s="363">
        <v>45994</v>
      </c>
      <c r="AZ13" s="363">
        <v>45965</v>
      </c>
      <c r="BB13" s="389" t="s">
        <v>141</v>
      </c>
      <c r="BC13" s="376" t="s">
        <v>123</v>
      </c>
      <c r="BD13" s="13">
        <v>46118</v>
      </c>
      <c r="BE13" s="13">
        <v>46125</v>
      </c>
      <c r="BF13" s="13">
        <v>46132</v>
      </c>
      <c r="BG13" s="13">
        <v>46139</v>
      </c>
      <c r="BH13" s="13">
        <v>46146</v>
      </c>
      <c r="BI13" s="13">
        <v>46154</v>
      </c>
      <c r="BJ13" s="13">
        <v>46160</v>
      </c>
      <c r="BK13" s="13">
        <v>46161.480128981479</v>
      </c>
      <c r="BL13" s="13">
        <v>46161.480802592603</v>
      </c>
      <c r="BM13" s="13">
        <v>46161.482959988432</v>
      </c>
      <c r="BN13" s="13">
        <v>46161.483288567892</v>
      </c>
      <c r="BO13" s="35" t="s">
        <v>129</v>
      </c>
    </row>
    <row r="14" spans="1:67" s="3" customFormat="1" ht="18.75" x14ac:dyDescent="0.3">
      <c r="A14" s="25" t="s">
        <v>224</v>
      </c>
      <c r="B14" s="6">
        <v>500</v>
      </c>
      <c r="C14" s="66">
        <v>99.26</v>
      </c>
      <c r="D14" s="234">
        <v>1</v>
      </c>
      <c r="E14" s="7"/>
      <c r="F14" s="380">
        <f>2+AT14</f>
        <v>4</v>
      </c>
      <c r="G14" s="380">
        <v>3</v>
      </c>
      <c r="H14" s="380">
        <v>3</v>
      </c>
      <c r="I14" s="380">
        <v>3</v>
      </c>
      <c r="J14" s="380">
        <v>3</v>
      </c>
      <c r="K14" s="380">
        <v>2</v>
      </c>
      <c r="L14" s="380">
        <f>1+AP14</f>
        <v>6</v>
      </c>
      <c r="M14" s="380">
        <v>2</v>
      </c>
      <c r="N14" s="380">
        <v>2</v>
      </c>
      <c r="O14" s="380">
        <v>2</v>
      </c>
      <c r="P14" s="380">
        <v>2</v>
      </c>
      <c r="Q14" s="380">
        <v>1</v>
      </c>
      <c r="R14" s="380">
        <v>0</v>
      </c>
      <c r="S14" s="380">
        <f>0+AL14</f>
        <v>0</v>
      </c>
      <c r="T14" s="380">
        <v>3</v>
      </c>
      <c r="U14" s="380">
        <v>3</v>
      </c>
      <c r="V14" s="380">
        <v>6</v>
      </c>
      <c r="W14" s="380">
        <v>4</v>
      </c>
      <c r="X14" s="380">
        <v>3</v>
      </c>
      <c r="Y14" s="380">
        <v>3</v>
      </c>
      <c r="Z14" s="380">
        <v>2</v>
      </c>
      <c r="AA14" s="380"/>
      <c r="AB14" s="454"/>
      <c r="AC14" s="454"/>
      <c r="AD14" s="454"/>
      <c r="AE14" s="454"/>
      <c r="AF14" s="372">
        <f ca="1">AD14+IF(NOT(ISBLANK(OFFSET(AF14,0,6))),N(OFFSET(AF14,0,6)),N(OFFSET(AF14,0,7)))-AE14</f>
        <v>0</v>
      </c>
      <c r="AG14" s="2"/>
      <c r="AH14" s="78"/>
      <c r="AI14" s="2"/>
      <c r="AJ14" s="32"/>
      <c r="AK14" s="19">
        <v>0</v>
      </c>
      <c r="AL14" s="19">
        <v>0</v>
      </c>
      <c r="AM14" s="19">
        <v>3</v>
      </c>
      <c r="AN14" s="117">
        <v>3</v>
      </c>
      <c r="AO14" s="19"/>
      <c r="AP14" s="19">
        <v>5</v>
      </c>
      <c r="AQ14" s="19"/>
      <c r="AR14" s="19"/>
      <c r="AS14" s="19"/>
      <c r="AT14" s="19">
        <v>2</v>
      </c>
      <c r="AU14" s="19"/>
      <c r="AV14" s="19"/>
      <c r="AW14" s="19"/>
      <c r="AX14" s="19">
        <v>2</v>
      </c>
      <c r="AY14" s="19"/>
      <c r="AZ14" s="19">
        <v>2</v>
      </c>
      <c r="BB14" s="364" t="s">
        <v>143</v>
      </c>
      <c r="BC14" s="135">
        <v>200</v>
      </c>
      <c r="BD14" s="39">
        <f>AJ14</f>
        <v>0</v>
      </c>
      <c r="BE14" s="39">
        <v>3</v>
      </c>
      <c r="BF14" s="39">
        <v>3</v>
      </c>
      <c r="BG14" s="39">
        <v>2</v>
      </c>
      <c r="BH14" s="39">
        <v>2</v>
      </c>
      <c r="BI14" s="39">
        <v>0</v>
      </c>
      <c r="BJ14" s="39"/>
      <c r="BK14" s="6"/>
      <c r="BL14" s="6"/>
      <c r="BM14" s="6"/>
      <c r="BN14" s="6"/>
      <c r="BO14" s="26">
        <f ca="1">BM14+IF(NOT(ISBLANK(OFFSET(BO14,0,6))),N(OFFSET(BO14,0,6)),N(OFFSET(BO14,0,7)))-BN14</f>
        <v>0</v>
      </c>
    </row>
    <row r="15" spans="1:67" s="3" customFormat="1" ht="18.75" x14ac:dyDescent="0.3">
      <c r="A15" s="25" t="s">
        <v>225</v>
      </c>
      <c r="B15" s="6">
        <v>2000</v>
      </c>
      <c r="C15" s="66">
        <v>55.36</v>
      </c>
      <c r="D15" s="234">
        <v>1</v>
      </c>
      <c r="E15" s="7"/>
      <c r="F15" s="380">
        <v>4</v>
      </c>
      <c r="G15" s="380">
        <v>4</v>
      </c>
      <c r="H15" s="380">
        <v>4</v>
      </c>
      <c r="I15" s="380">
        <v>4</v>
      </c>
      <c r="J15" s="380">
        <v>4</v>
      </c>
      <c r="K15" s="380">
        <v>4</v>
      </c>
      <c r="L15" s="380">
        <v>4</v>
      </c>
      <c r="M15" s="380">
        <v>4</v>
      </c>
      <c r="N15" s="380">
        <v>4</v>
      </c>
      <c r="O15" s="380">
        <v>4</v>
      </c>
      <c r="P15" s="380">
        <v>4</v>
      </c>
      <c r="Q15" s="380">
        <v>4</v>
      </c>
      <c r="R15" s="380">
        <v>4</v>
      </c>
      <c r="S15" s="380">
        <v>3</v>
      </c>
      <c r="T15" s="380">
        <v>3</v>
      </c>
      <c r="U15" s="380">
        <v>3</v>
      </c>
      <c r="V15" s="380">
        <v>3</v>
      </c>
      <c r="W15" s="380">
        <v>3</v>
      </c>
      <c r="X15" s="380">
        <v>3</v>
      </c>
      <c r="Y15" s="380">
        <v>3</v>
      </c>
      <c r="Z15" s="380">
        <v>2</v>
      </c>
      <c r="AA15" s="380"/>
      <c r="AB15" s="454"/>
      <c r="AC15" s="454"/>
      <c r="AD15" s="454"/>
      <c r="AE15" s="454"/>
      <c r="AF15" s="372">
        <f ca="1">AD15+IF(NOT(ISBLANK(OFFSET(AF15,0,6))),N(OFFSET(AF15,0,6)),N(OFFSET(AF15,0,7)))-AE15</f>
        <v>0</v>
      </c>
      <c r="AG15" s="2"/>
      <c r="AH15" s="78"/>
      <c r="AI15" s="2"/>
      <c r="AJ15" s="32"/>
      <c r="AK15" s="112"/>
      <c r="AL15" s="19">
        <v>0</v>
      </c>
      <c r="AM15" s="19"/>
      <c r="AN15" s="117">
        <v>1</v>
      </c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>
        <v>3</v>
      </c>
      <c r="AZ15" s="19">
        <v>2</v>
      </c>
      <c r="BB15" s="21" t="s">
        <v>146</v>
      </c>
      <c r="BC15" s="6">
        <v>200</v>
      </c>
      <c r="BD15" s="39">
        <f>AJ15</f>
        <v>0</v>
      </c>
      <c r="BE15" s="39">
        <v>1</v>
      </c>
      <c r="BF15" s="39">
        <v>1</v>
      </c>
      <c r="BG15" s="39">
        <v>0</v>
      </c>
      <c r="BH15" s="39">
        <v>0</v>
      </c>
      <c r="BI15" s="39">
        <v>0</v>
      </c>
      <c r="BJ15" s="39"/>
      <c r="BK15" s="6"/>
      <c r="BL15" s="6"/>
      <c r="BM15" s="6"/>
      <c r="BN15" s="6"/>
      <c r="BO15" s="26">
        <f ca="1">BM15+IF(NOT(ISBLANK(OFFSET(BO15,0,6))),N(OFFSET(BO15,0,6)),N(OFFSET(BO15,0,7)))-BN15</f>
        <v>0</v>
      </c>
    </row>
    <row r="16" spans="1:67" s="3" customFormat="1" ht="18.75" x14ac:dyDescent="0.25">
      <c r="A16" s="25" t="s">
        <v>147</v>
      </c>
      <c r="B16" s="6">
        <v>200</v>
      </c>
      <c r="C16" s="66">
        <v>10.28</v>
      </c>
      <c r="D16" s="234">
        <v>2</v>
      </c>
      <c r="E16" s="1"/>
      <c r="F16" s="357">
        <v>4</v>
      </c>
      <c r="G16" s="357">
        <v>3</v>
      </c>
      <c r="H16" s="357">
        <v>3</v>
      </c>
      <c r="I16" s="357">
        <v>3</v>
      </c>
      <c r="J16" s="357">
        <v>3</v>
      </c>
      <c r="K16" s="357">
        <v>3</v>
      </c>
      <c r="L16" s="357">
        <v>2</v>
      </c>
      <c r="M16" s="357">
        <v>1</v>
      </c>
      <c r="N16" s="357">
        <v>0</v>
      </c>
      <c r="O16" s="357">
        <f>0+AO16</f>
        <v>1</v>
      </c>
      <c r="P16" s="357">
        <v>2</v>
      </c>
      <c r="Q16" s="357">
        <v>2</v>
      </c>
      <c r="R16" s="357">
        <v>2</v>
      </c>
      <c r="S16" s="357">
        <v>1</v>
      </c>
      <c r="T16" s="357">
        <f>1+AK16</f>
        <v>1</v>
      </c>
      <c r="U16" s="357">
        <v>2</v>
      </c>
      <c r="V16" s="357">
        <v>4</v>
      </c>
      <c r="W16" s="357">
        <v>4</v>
      </c>
      <c r="X16" s="357">
        <v>4</v>
      </c>
      <c r="Y16" s="357">
        <v>4</v>
      </c>
      <c r="Z16" s="357">
        <v>2</v>
      </c>
      <c r="AA16" s="357"/>
      <c r="AB16" s="455"/>
      <c r="AC16" s="455"/>
      <c r="AD16" s="455"/>
      <c r="AE16" s="455"/>
      <c r="AF16" s="372">
        <f ca="1">AD16+IF(NOT(ISBLANK(OFFSET(AF16,0,6))),N(OFFSET(AF16,0,6)),N(OFFSET(AF16,0,7)))-AE16</f>
        <v>0</v>
      </c>
      <c r="AG16" s="2"/>
      <c r="AH16" s="78"/>
      <c r="AI16" s="2"/>
      <c r="AJ16" s="32"/>
      <c r="AK16" s="445"/>
      <c r="AL16" s="19">
        <v>0</v>
      </c>
      <c r="AM16" s="19"/>
      <c r="AN16" s="19"/>
      <c r="AO16" s="19">
        <v>1</v>
      </c>
      <c r="AP16" s="19"/>
      <c r="AQ16" s="19"/>
      <c r="AR16" s="19"/>
      <c r="AS16" s="19">
        <v>2</v>
      </c>
      <c r="AT16" s="19"/>
      <c r="AU16" s="19"/>
      <c r="AV16" s="19"/>
      <c r="AW16" s="19"/>
      <c r="AX16" s="19"/>
      <c r="AY16" s="19">
        <v>3</v>
      </c>
      <c r="AZ16" s="19">
        <v>2</v>
      </c>
    </row>
    <row r="17" spans="1:67" s="3" customFormat="1" ht="18.75" x14ac:dyDescent="0.25">
      <c r="A17" s="25" t="s">
        <v>148</v>
      </c>
      <c r="B17" s="6">
        <v>3000</v>
      </c>
      <c r="C17" s="66">
        <v>71.8</v>
      </c>
      <c r="D17" s="234">
        <v>1</v>
      </c>
      <c r="E17" s="1"/>
      <c r="F17" s="380">
        <v>2</v>
      </c>
      <c r="G17" s="380">
        <v>1</v>
      </c>
      <c r="H17" s="380">
        <f>1+AS17</f>
        <v>1</v>
      </c>
      <c r="I17" s="380">
        <v>1</v>
      </c>
      <c r="J17" s="380">
        <v>3</v>
      </c>
      <c r="K17" s="380">
        <v>4</v>
      </c>
      <c r="L17" s="380">
        <v>4</v>
      </c>
      <c r="M17" s="380">
        <v>4</v>
      </c>
      <c r="N17" s="380">
        <v>4</v>
      </c>
      <c r="O17" s="380">
        <v>4</v>
      </c>
      <c r="P17" s="380">
        <v>4</v>
      </c>
      <c r="Q17" s="380">
        <v>4</v>
      </c>
      <c r="R17" s="380">
        <v>4</v>
      </c>
      <c r="S17" s="380">
        <v>3</v>
      </c>
      <c r="T17" s="380">
        <v>1</v>
      </c>
      <c r="U17" s="380">
        <v>1</v>
      </c>
      <c r="V17" s="380">
        <v>2</v>
      </c>
      <c r="W17" s="380">
        <v>2</v>
      </c>
      <c r="X17" s="380">
        <v>2</v>
      </c>
      <c r="Y17" s="380">
        <v>2</v>
      </c>
      <c r="Z17" s="380">
        <v>2</v>
      </c>
      <c r="AA17" s="380"/>
      <c r="AB17" s="454"/>
      <c r="AC17" s="454"/>
      <c r="AD17" s="454"/>
      <c r="AE17" s="454"/>
      <c r="AF17" s="372">
        <f ca="1">AD17+IF(NOT(ISBLANK(OFFSET(AF17,0,6))),N(OFFSET(AF17,0,6)),N(OFFSET(AF17,0,7)))-AE17</f>
        <v>0</v>
      </c>
      <c r="AG17" s="2"/>
      <c r="AH17" s="78"/>
      <c r="AI17" s="2"/>
      <c r="AJ17" s="32"/>
      <c r="AK17" s="445">
        <v>0</v>
      </c>
      <c r="AL17" s="19">
        <v>0</v>
      </c>
      <c r="AM17" s="19">
        <v>1</v>
      </c>
      <c r="AN17" s="19"/>
      <c r="AO17" s="19"/>
      <c r="AP17" s="19"/>
      <c r="AQ17" s="19"/>
      <c r="AR17" s="19"/>
      <c r="AS17" s="19"/>
      <c r="AT17" s="19"/>
      <c r="AU17" s="19"/>
      <c r="AV17" s="19">
        <v>2</v>
      </c>
      <c r="AW17" s="19">
        <v>1</v>
      </c>
      <c r="AX17" s="19"/>
      <c r="AY17" s="19">
        <v>1</v>
      </c>
      <c r="AZ17" s="19">
        <v>1</v>
      </c>
    </row>
    <row r="18" spans="1:67" s="3" customFormat="1" ht="14.25" customHeight="1" x14ac:dyDescent="0.25">
      <c r="A18" s="23"/>
      <c r="C18" s="67"/>
      <c r="D18" s="235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1"/>
      <c r="AC18" s="1"/>
      <c r="AD18" s="1"/>
      <c r="AE18" s="1"/>
      <c r="AF18" s="2"/>
      <c r="AG18" s="2"/>
      <c r="AH18" s="390"/>
      <c r="AJ18" s="344"/>
      <c r="AK18" s="388"/>
      <c r="AL18" s="388"/>
      <c r="AM18" s="388"/>
      <c r="AN18" s="388"/>
      <c r="AO18" s="388"/>
      <c r="AP18" s="388"/>
      <c r="AQ18" s="388"/>
      <c r="AR18" s="388"/>
      <c r="AS18" s="388"/>
      <c r="AT18" s="388"/>
      <c r="AU18" s="388"/>
      <c r="AV18" s="388"/>
      <c r="AW18" s="388"/>
      <c r="AX18" s="388"/>
      <c r="AY18" s="388"/>
      <c r="AZ18" s="388"/>
    </row>
    <row r="19" spans="1:67" s="3" customFormat="1" ht="18.75" x14ac:dyDescent="0.3">
      <c r="A19" s="24" t="s">
        <v>150</v>
      </c>
      <c r="B19" s="12"/>
      <c r="C19" s="61"/>
      <c r="D19" s="395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13">
        <v>46160</v>
      </c>
      <c r="AB19" s="13">
        <v>46161.480129328702</v>
      </c>
      <c r="AC19" s="13">
        <v>46161.480802928243</v>
      </c>
      <c r="AD19" s="13">
        <v>46161.482960277783</v>
      </c>
      <c r="AE19" s="13">
        <v>46161.483288898737</v>
      </c>
      <c r="AF19" s="35" t="s">
        <v>129</v>
      </c>
      <c r="AG19" s="116"/>
      <c r="AH19" s="29" t="s">
        <v>126</v>
      </c>
      <c r="AI19" s="11"/>
      <c r="AJ19" s="9" t="s">
        <v>127</v>
      </c>
      <c r="AK19" s="363">
        <v>46161.483288209172</v>
      </c>
      <c r="AL19" s="363"/>
      <c r="AM19" s="363">
        <v>46114</v>
      </c>
      <c r="AN19" s="409">
        <v>46065</v>
      </c>
      <c r="AO19" s="363">
        <v>46107</v>
      </c>
      <c r="AP19" s="363">
        <v>46099</v>
      </c>
      <c r="AQ19" s="363">
        <v>46092</v>
      </c>
      <c r="AR19" s="363">
        <v>46077</v>
      </c>
      <c r="AS19" s="363">
        <v>46071</v>
      </c>
      <c r="AT19" s="363">
        <v>46048</v>
      </c>
      <c r="AU19" s="363">
        <v>46043</v>
      </c>
      <c r="AV19" s="363">
        <v>46035</v>
      </c>
      <c r="AW19" s="363">
        <v>46017</v>
      </c>
      <c r="AX19" s="363">
        <v>46007</v>
      </c>
      <c r="AY19" s="363">
        <v>45994</v>
      </c>
      <c r="AZ19" s="363">
        <v>45965</v>
      </c>
      <c r="BB19" s="389" t="s">
        <v>150</v>
      </c>
      <c r="BC19" s="376" t="s">
        <v>123</v>
      </c>
      <c r="BD19" s="13">
        <v>46118</v>
      </c>
      <c r="BE19" s="13">
        <v>46125</v>
      </c>
      <c r="BF19" s="13">
        <v>46132</v>
      </c>
      <c r="BG19" s="13">
        <v>46139</v>
      </c>
      <c r="BH19" s="13">
        <v>46146</v>
      </c>
      <c r="BI19" s="13">
        <v>46154</v>
      </c>
      <c r="BJ19" s="13">
        <v>46160</v>
      </c>
      <c r="BK19" s="13">
        <v>46161.480128981479</v>
      </c>
      <c r="BL19" s="13">
        <v>46161.480802592603</v>
      </c>
      <c r="BM19" s="13">
        <v>46161.482959988432</v>
      </c>
      <c r="BN19" s="13">
        <v>46161.483288568037</v>
      </c>
      <c r="BO19" s="35" t="s">
        <v>129</v>
      </c>
    </row>
    <row r="20" spans="1:67" s="3" customFormat="1" ht="18.75" x14ac:dyDescent="0.25">
      <c r="A20" s="25" t="s">
        <v>153</v>
      </c>
      <c r="B20" s="6">
        <v>150</v>
      </c>
      <c r="C20" s="82">
        <v>334.31</v>
      </c>
      <c r="D20" s="234">
        <v>70</v>
      </c>
      <c r="E20" s="1"/>
      <c r="F20" s="27">
        <v>31</v>
      </c>
      <c r="G20" s="27">
        <v>25</v>
      </c>
      <c r="H20" s="27">
        <v>14</v>
      </c>
      <c r="I20" s="27">
        <v>12</v>
      </c>
      <c r="J20" s="27">
        <v>5</v>
      </c>
      <c r="K20" s="27">
        <f>0+AQ20</f>
        <v>150</v>
      </c>
      <c r="L20" s="27">
        <v>143</v>
      </c>
      <c r="M20" s="27">
        <v>129</v>
      </c>
      <c r="N20" s="27">
        <v>117</v>
      </c>
      <c r="O20" s="27">
        <v>102</v>
      </c>
      <c r="P20" s="27">
        <v>87</v>
      </c>
      <c r="Q20" s="27">
        <v>72</v>
      </c>
      <c r="R20" s="27">
        <f>46+AM20</f>
        <v>46</v>
      </c>
      <c r="S20" s="27">
        <v>185</v>
      </c>
      <c r="T20" s="27">
        <v>175</v>
      </c>
      <c r="U20" s="27"/>
      <c r="V20" s="27"/>
      <c r="W20" s="27"/>
      <c r="X20" s="27">
        <v>152</v>
      </c>
      <c r="Y20" s="27">
        <v>147</v>
      </c>
      <c r="Z20" s="27">
        <v>111</v>
      </c>
      <c r="AA20" s="27">
        <v>95</v>
      </c>
      <c r="AB20" s="451">
        <v>95</v>
      </c>
      <c r="AC20" s="451">
        <v>95</v>
      </c>
      <c r="AD20" s="451">
        <v>95</v>
      </c>
      <c r="AE20" s="451">
        <v>95</v>
      </c>
      <c r="AF20" s="372">
        <f ca="1">AD20+IF(NOT(ISBLANK(OFFSET(AF20,0,6))),N(OFFSET(AF20,0,6)),N(OFFSET(AF20,0,7)))-AE20</f>
        <v>0</v>
      </c>
      <c r="AG20" s="2"/>
      <c r="AH20" s="78"/>
      <c r="AI20" s="2"/>
      <c r="AJ20" s="32"/>
      <c r="AK20" s="445"/>
      <c r="AL20" s="19">
        <v>0</v>
      </c>
      <c r="AM20" s="19"/>
      <c r="AN20" s="117"/>
      <c r="AO20" s="19"/>
      <c r="AP20" s="19"/>
      <c r="AQ20" s="19">
        <v>150</v>
      </c>
      <c r="AR20" s="19"/>
      <c r="AS20" s="19"/>
      <c r="AT20" s="19"/>
      <c r="AU20" s="19">
        <v>150</v>
      </c>
      <c r="AV20" s="19"/>
      <c r="AW20" s="19"/>
      <c r="AX20" s="19"/>
      <c r="AY20" s="19"/>
      <c r="AZ20" s="19"/>
      <c r="BB20" s="364" t="s">
        <v>154</v>
      </c>
      <c r="BC20" s="135">
        <v>150</v>
      </c>
      <c r="BD20" s="39">
        <v>0</v>
      </c>
      <c r="BE20" s="39"/>
      <c r="BF20" s="39"/>
      <c r="BG20" s="39">
        <v>1</v>
      </c>
      <c r="BH20" s="39">
        <v>1</v>
      </c>
      <c r="BI20" s="39">
        <v>0</v>
      </c>
      <c r="BJ20" s="39">
        <v>0</v>
      </c>
      <c r="BK20" s="6"/>
      <c r="BL20" s="6"/>
      <c r="BM20" s="6"/>
      <c r="BN20" s="6"/>
      <c r="BO20" s="26">
        <f ca="1">BM20+IF(NOT(ISBLANK(OFFSET(BO20,0,6))),N(OFFSET(BO20,0,6)),N(OFFSET(BO20,0,7)))-BN20</f>
        <v>0</v>
      </c>
    </row>
    <row r="21" spans="1:67" s="3" customFormat="1" ht="18.75" x14ac:dyDescent="0.25">
      <c r="A21" s="25" t="s">
        <v>155</v>
      </c>
      <c r="B21" s="6">
        <v>100</v>
      </c>
      <c r="C21" s="81">
        <v>292.25</v>
      </c>
      <c r="D21" s="236">
        <v>70</v>
      </c>
      <c r="E21" s="1"/>
      <c r="F21" s="27">
        <v>26</v>
      </c>
      <c r="G21" s="27">
        <v>21</v>
      </c>
      <c r="H21" s="27">
        <v>20</v>
      </c>
      <c r="I21" s="27">
        <v>15</v>
      </c>
      <c r="J21" s="27">
        <v>10</v>
      </c>
      <c r="K21" s="27">
        <f>2+AQ21</f>
        <v>2</v>
      </c>
      <c r="L21" s="27">
        <v>105</v>
      </c>
      <c r="M21" s="290">
        <v>50</v>
      </c>
      <c r="N21" s="27">
        <v>42</v>
      </c>
      <c r="O21" s="27">
        <v>29</v>
      </c>
      <c r="P21" s="27">
        <f>19+AN21</f>
        <v>19</v>
      </c>
      <c r="Q21" s="27">
        <v>99</v>
      </c>
      <c r="R21" s="27">
        <v>88</v>
      </c>
      <c r="S21" s="27">
        <v>75</v>
      </c>
      <c r="T21" s="27">
        <v>67</v>
      </c>
      <c r="U21" s="27"/>
      <c r="V21" s="27"/>
      <c r="W21" s="27"/>
      <c r="X21" s="27">
        <v>40</v>
      </c>
      <c r="Y21" s="27">
        <v>38</v>
      </c>
      <c r="Z21" s="27">
        <v>41</v>
      </c>
      <c r="AA21" s="27">
        <v>27</v>
      </c>
      <c r="AB21" s="451">
        <v>27</v>
      </c>
      <c r="AC21" s="451">
        <v>27</v>
      </c>
      <c r="AD21" s="451">
        <v>27</v>
      </c>
      <c r="AE21" s="451">
        <v>27</v>
      </c>
      <c r="AF21" s="372">
        <f ca="1">AD21+IF(NOT(ISBLANK(OFFSET(AF21,0,6))),N(OFFSET(AF21,0,6)),N(OFFSET(AF21,0,7)))-AE21</f>
        <v>0</v>
      </c>
      <c r="AG21" s="2"/>
      <c r="AH21" s="78"/>
      <c r="AI21" s="2"/>
      <c r="AJ21" s="32"/>
      <c r="AK21" s="445"/>
      <c r="AL21" s="19">
        <v>0</v>
      </c>
      <c r="AM21" s="19"/>
      <c r="AN21" s="117"/>
      <c r="AO21" s="19"/>
      <c r="AP21" s="19"/>
      <c r="AQ21" s="19"/>
      <c r="AR21" s="19">
        <v>100</v>
      </c>
      <c r="AS21" s="19"/>
      <c r="AT21" s="19"/>
      <c r="AU21" s="19">
        <v>100</v>
      </c>
      <c r="AV21" s="19"/>
      <c r="AW21" s="19"/>
      <c r="AX21" s="19"/>
      <c r="AY21" s="19"/>
      <c r="AZ21" s="19"/>
      <c r="BB21" s="21" t="s">
        <v>156</v>
      </c>
      <c r="BC21" s="6">
        <v>100</v>
      </c>
      <c r="BD21" s="39">
        <v>0</v>
      </c>
      <c r="BE21" s="39"/>
      <c r="BF21" s="39"/>
      <c r="BG21" s="39">
        <v>9</v>
      </c>
      <c r="BH21" s="39">
        <v>3</v>
      </c>
      <c r="BI21" s="39">
        <v>2</v>
      </c>
      <c r="BJ21" s="39">
        <v>2</v>
      </c>
      <c r="BK21" s="6"/>
      <c r="BL21" s="6"/>
      <c r="BM21" s="6"/>
      <c r="BN21" s="6"/>
      <c r="BO21" s="26">
        <f ca="1">BM21+IF(NOT(ISBLANK(OFFSET(BO21,0,6))),N(OFFSET(BO21,0,6)),N(OFFSET(BO21,0,7)))-BN21</f>
        <v>0</v>
      </c>
    </row>
    <row r="22" spans="1:67" s="3" customFormat="1" ht="18.75" x14ac:dyDescent="0.3">
      <c r="A22" s="25" t="s">
        <v>157</v>
      </c>
      <c r="B22" s="6">
        <v>75</v>
      </c>
      <c r="C22" s="66">
        <v>425.38</v>
      </c>
      <c r="D22" s="234">
        <v>15</v>
      </c>
      <c r="E22" s="7"/>
      <c r="F22" s="27">
        <v>12</v>
      </c>
      <c r="G22" s="27">
        <v>12</v>
      </c>
      <c r="H22" s="27">
        <v>12</v>
      </c>
      <c r="I22" s="27">
        <v>12</v>
      </c>
      <c r="J22" s="27">
        <v>12</v>
      </c>
      <c r="K22" s="27">
        <v>12</v>
      </c>
      <c r="L22" s="27">
        <v>12</v>
      </c>
      <c r="M22" s="27">
        <v>12</v>
      </c>
      <c r="N22" s="27">
        <v>12</v>
      </c>
      <c r="O22" s="27">
        <v>12</v>
      </c>
      <c r="P22" s="27">
        <v>12</v>
      </c>
      <c r="Q22" s="27">
        <v>12</v>
      </c>
      <c r="R22" s="27">
        <v>12</v>
      </c>
      <c r="S22" s="27">
        <v>12</v>
      </c>
      <c r="T22" s="27">
        <v>12</v>
      </c>
      <c r="U22" s="27">
        <v>12</v>
      </c>
      <c r="V22" s="27">
        <v>12</v>
      </c>
      <c r="W22" s="27">
        <v>12</v>
      </c>
      <c r="X22" s="27">
        <v>12</v>
      </c>
      <c r="Y22" s="27">
        <v>10</v>
      </c>
      <c r="Z22" s="27">
        <v>12</v>
      </c>
      <c r="AA22" s="27">
        <v>12</v>
      </c>
      <c r="AB22" s="451">
        <v>12</v>
      </c>
      <c r="AC22" s="451">
        <v>12</v>
      </c>
      <c r="AD22" s="451">
        <v>12</v>
      </c>
      <c r="AE22" s="451">
        <v>12</v>
      </c>
      <c r="AF22" s="372">
        <f ca="1">AD22+IF(NOT(ISBLANK(OFFSET(AF22,0,6))),N(OFFSET(AF22,0,6)),N(OFFSET(AF22,0,7)))-AE22</f>
        <v>0</v>
      </c>
      <c r="AG22" s="2"/>
      <c r="AH22" s="78"/>
      <c r="AI22" s="2"/>
      <c r="AJ22" s="32"/>
      <c r="AK22" s="112"/>
      <c r="AL22" s="19">
        <v>0</v>
      </c>
      <c r="AM22" s="19"/>
      <c r="AN22" s="117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B22" s="22" t="s">
        <v>158</v>
      </c>
      <c r="BC22" s="6">
        <v>200</v>
      </c>
      <c r="BD22" s="39">
        <v>0</v>
      </c>
      <c r="BE22" s="39"/>
      <c r="BF22" s="39"/>
      <c r="BG22" s="39">
        <v>20</v>
      </c>
      <c r="BH22" s="39">
        <v>20</v>
      </c>
      <c r="BI22" s="39">
        <v>2</v>
      </c>
      <c r="BJ22" s="39">
        <v>2</v>
      </c>
      <c r="BK22" s="6"/>
      <c r="BL22" s="6"/>
      <c r="BM22" s="6"/>
      <c r="BN22" s="6"/>
      <c r="BO22" s="26">
        <f ca="1">BM22+IF(NOT(ISBLANK(OFFSET(BO22,0,6))),N(OFFSET(BO22,0,6)),N(OFFSET(BO22,0,7)))-BN22</f>
        <v>0</v>
      </c>
    </row>
    <row r="23" spans="1:67" ht="18.75" x14ac:dyDescent="0.3">
      <c r="A23" s="25" t="s">
        <v>159</v>
      </c>
      <c r="B23" s="6">
        <v>150</v>
      </c>
      <c r="C23" s="66">
        <v>427.5</v>
      </c>
      <c r="D23" s="234">
        <v>150</v>
      </c>
      <c r="R23" s="6">
        <v>0</v>
      </c>
      <c r="S23" s="6">
        <v>0</v>
      </c>
      <c r="T23" s="6">
        <v>0</v>
      </c>
      <c r="U23" s="6">
        <v>0</v>
      </c>
      <c r="V23" s="6">
        <v>0</v>
      </c>
      <c r="W23" s="6">
        <v>0</v>
      </c>
      <c r="X23" s="6">
        <v>0</v>
      </c>
      <c r="Y23" s="6">
        <v>0</v>
      </c>
      <c r="Z23" s="6">
        <v>2</v>
      </c>
      <c r="AA23" s="6">
        <v>1</v>
      </c>
      <c r="AB23" s="6">
        <v>1</v>
      </c>
      <c r="AC23" s="6">
        <v>1</v>
      </c>
      <c r="AD23" s="6">
        <v>1</v>
      </c>
      <c r="AE23" s="6">
        <v>1</v>
      </c>
      <c r="AF23" s="372">
        <f ca="1">AD23+IF(NOT(ISBLANK(OFFSET(AF23,0,6))),N(OFFSET(AF23,0,6)),N(OFFSET(AF23,0,7)))-AE23</f>
        <v>0</v>
      </c>
      <c r="AH23" s="347"/>
      <c r="AY23" s="11"/>
      <c r="AZ23" s="11"/>
      <c r="BB23" s="22" t="s">
        <v>160</v>
      </c>
      <c r="BC23" s="6">
        <v>150</v>
      </c>
      <c r="BD23" s="39">
        <v>0</v>
      </c>
      <c r="BE23" s="39"/>
      <c r="BF23" s="39"/>
      <c r="BG23" s="39">
        <v>50</v>
      </c>
      <c r="BH23" s="39">
        <v>47</v>
      </c>
      <c r="BI23" s="39">
        <v>1</v>
      </c>
      <c r="BJ23" s="39">
        <v>1</v>
      </c>
      <c r="BK23" s="6"/>
      <c r="BL23" s="6"/>
      <c r="BM23" s="6"/>
      <c r="BN23" s="6"/>
      <c r="BO23" s="26">
        <f ca="1">BM23+IF(NOT(ISBLANK(OFFSET(BO23,0,6))),N(OFFSET(BO23,0,6)),N(OFFSET(BO23,0,7)))-BN23</f>
        <v>0</v>
      </c>
    </row>
    <row r="24" spans="1:67" ht="18.75" x14ac:dyDescent="0.3">
      <c r="AH24" s="347"/>
      <c r="AY24" s="11"/>
      <c r="AZ24" s="11"/>
      <c r="BB24" s="23"/>
      <c r="BC24" s="1"/>
      <c r="BD24" s="2"/>
      <c r="BE24" s="2"/>
      <c r="BF24" s="2"/>
      <c r="BG24" s="2"/>
      <c r="BH24" s="2"/>
      <c r="BI24" s="11"/>
      <c r="BJ24" s="11"/>
      <c r="BK24" s="11"/>
      <c r="BL24" s="11"/>
      <c r="BM24" s="11"/>
      <c r="BN24" s="11"/>
    </row>
    <row r="25" spans="1:67" ht="18.75" x14ac:dyDescent="0.3">
      <c r="A25" s="378" t="s">
        <v>161</v>
      </c>
      <c r="B25" s="379" t="s">
        <v>123</v>
      </c>
      <c r="C25" s="379" t="s">
        <v>124</v>
      </c>
      <c r="D25" s="379"/>
      <c r="E25" s="11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13">
        <v>46160</v>
      </c>
      <c r="AB25" s="13">
        <v>46161.480129328702</v>
      </c>
      <c r="AC25" s="13">
        <v>46161.480802928243</v>
      </c>
      <c r="AD25" s="13">
        <v>46161.482960277783</v>
      </c>
      <c r="AE25" s="13">
        <v>46161.48328889921</v>
      </c>
      <c r="AF25" s="35" t="s">
        <v>129</v>
      </c>
      <c r="AH25" s="347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</row>
    <row r="26" spans="1:67" ht="18.75" x14ac:dyDescent="0.3">
      <c r="A26" s="384" t="s">
        <v>162</v>
      </c>
      <c r="B26" s="385">
        <v>100</v>
      </c>
      <c r="C26" s="199">
        <v>790</v>
      </c>
      <c r="D26" s="396"/>
      <c r="E26" s="11"/>
      <c r="F26" s="39">
        <v>10</v>
      </c>
      <c r="G26" s="39">
        <v>10</v>
      </c>
      <c r="H26" s="39">
        <v>10</v>
      </c>
      <c r="I26" s="39">
        <v>19</v>
      </c>
      <c r="J26" s="39">
        <v>10</v>
      </c>
      <c r="K26" s="39">
        <v>10</v>
      </c>
      <c r="L26" s="39">
        <v>19</v>
      </c>
      <c r="M26" s="39">
        <v>19</v>
      </c>
      <c r="N26" s="39">
        <v>19</v>
      </c>
      <c r="O26" s="39">
        <v>19</v>
      </c>
      <c r="P26" s="39">
        <v>19</v>
      </c>
      <c r="Q26" s="39">
        <v>19</v>
      </c>
      <c r="R26" s="39">
        <v>19</v>
      </c>
      <c r="S26" s="39">
        <v>19</v>
      </c>
      <c r="T26" s="39">
        <v>19</v>
      </c>
      <c r="U26" s="39">
        <v>19</v>
      </c>
      <c r="V26" s="39">
        <v>19</v>
      </c>
      <c r="W26" s="39">
        <v>19</v>
      </c>
      <c r="X26" s="39">
        <v>19</v>
      </c>
      <c r="Y26" s="39">
        <v>19</v>
      </c>
      <c r="Z26" s="39">
        <v>18</v>
      </c>
      <c r="AA26" s="39">
        <v>18</v>
      </c>
      <c r="AB26" s="6">
        <v>18</v>
      </c>
      <c r="AC26" s="6">
        <v>18</v>
      </c>
      <c r="AD26" s="6">
        <v>18</v>
      </c>
      <c r="AE26" s="6">
        <v>18</v>
      </c>
      <c r="AF26" s="372">
        <f t="shared" ref="AF26:AF33" ca="1" si="0">AD26+IF(NOT(ISBLANK(OFFSET(AF26,0,6))),N(OFFSET(AF26,0,6)),N(OFFSET(AF26,0,7)))-AE26</f>
        <v>0</v>
      </c>
      <c r="AH26" s="347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</row>
    <row r="27" spans="1:67" ht="18.75" hidden="1" customHeight="1" x14ac:dyDescent="0.3">
      <c r="A27" s="386" t="s">
        <v>163</v>
      </c>
      <c r="B27" s="159">
        <v>100</v>
      </c>
      <c r="C27" s="200">
        <v>295</v>
      </c>
      <c r="D27" s="396"/>
      <c r="E27" s="11"/>
      <c r="F27" s="39">
        <v>4</v>
      </c>
      <c r="G27" s="39">
        <v>4</v>
      </c>
      <c r="H27" s="39">
        <v>4</v>
      </c>
      <c r="I27" s="39">
        <v>4</v>
      </c>
      <c r="J27" s="39">
        <v>0</v>
      </c>
      <c r="K27" s="39">
        <v>0</v>
      </c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6"/>
      <c r="AC27" s="6"/>
      <c r="AD27" s="6"/>
      <c r="AE27" s="6"/>
      <c r="AF27" s="372">
        <f t="shared" ca="1" si="0"/>
        <v>0</v>
      </c>
      <c r="AH27" s="347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</row>
    <row r="28" spans="1:67" ht="18.75" hidden="1" x14ac:dyDescent="0.3">
      <c r="A28" s="25" t="s">
        <v>169</v>
      </c>
      <c r="B28" s="6">
        <v>150</v>
      </c>
      <c r="C28" s="77">
        <v>805.35</v>
      </c>
      <c r="D28" s="396"/>
      <c r="F28" s="6">
        <v>36</v>
      </c>
      <c r="G28" s="6">
        <v>11</v>
      </c>
      <c r="H28" s="6">
        <v>9</v>
      </c>
      <c r="I28" s="6">
        <v>7</v>
      </c>
      <c r="J28" s="6">
        <v>0</v>
      </c>
      <c r="K28" s="6">
        <v>0</v>
      </c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372">
        <f t="shared" ca="1" si="0"/>
        <v>0</v>
      </c>
      <c r="AH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</row>
    <row r="29" spans="1:67" ht="18.75" hidden="1" x14ac:dyDescent="0.3">
      <c r="A29" s="25" t="s">
        <v>170</v>
      </c>
      <c r="B29" s="6">
        <v>100</v>
      </c>
      <c r="C29" s="77">
        <v>792.2</v>
      </c>
      <c r="D29" s="396"/>
      <c r="F29" s="6">
        <v>42</v>
      </c>
      <c r="G29" s="6">
        <v>22</v>
      </c>
      <c r="H29" s="6">
        <v>18</v>
      </c>
      <c r="I29" s="6">
        <v>12</v>
      </c>
      <c r="J29" s="6">
        <v>7</v>
      </c>
      <c r="K29" s="6">
        <v>7</v>
      </c>
      <c r="L29" s="6">
        <v>5</v>
      </c>
      <c r="M29" s="6">
        <v>5</v>
      </c>
      <c r="N29" s="6">
        <v>5</v>
      </c>
      <c r="O29" s="6">
        <v>0</v>
      </c>
      <c r="P29" s="6">
        <v>0</v>
      </c>
      <c r="Q29" s="6">
        <v>0</v>
      </c>
      <c r="R29" s="6">
        <v>0</v>
      </c>
      <c r="S29" s="6">
        <v>0</v>
      </c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372">
        <f t="shared" ca="1" si="0"/>
        <v>0</v>
      </c>
      <c r="AH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</row>
    <row r="30" spans="1:67" ht="18.75" hidden="1" x14ac:dyDescent="0.3">
      <c r="A30" s="25" t="s">
        <v>171</v>
      </c>
      <c r="B30" s="6">
        <v>200</v>
      </c>
      <c r="C30" s="77">
        <v>487.2</v>
      </c>
      <c r="D30" s="396"/>
      <c r="F30" s="6">
        <v>64</v>
      </c>
      <c r="G30" s="6">
        <v>5</v>
      </c>
      <c r="H30" s="6">
        <v>5</v>
      </c>
      <c r="I30" s="6">
        <v>5</v>
      </c>
      <c r="J30" s="6">
        <v>0</v>
      </c>
      <c r="K30" s="6">
        <v>0</v>
      </c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372">
        <f t="shared" ca="1" si="0"/>
        <v>0</v>
      </c>
      <c r="AH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</row>
    <row r="31" spans="1:67" ht="18.75" hidden="1" x14ac:dyDescent="0.3">
      <c r="A31" s="25" t="s">
        <v>172</v>
      </c>
      <c r="B31" s="6">
        <v>150</v>
      </c>
      <c r="C31" s="77">
        <v>460.35</v>
      </c>
      <c r="D31" s="396"/>
      <c r="F31" s="6">
        <v>110</v>
      </c>
      <c r="G31" s="6">
        <v>6</v>
      </c>
      <c r="H31" s="6">
        <v>5</v>
      </c>
      <c r="I31" s="6">
        <v>5</v>
      </c>
      <c r="J31" s="6">
        <v>0</v>
      </c>
      <c r="K31" s="6">
        <v>0</v>
      </c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372">
        <f t="shared" ca="1" si="0"/>
        <v>0</v>
      </c>
      <c r="AH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</row>
    <row r="32" spans="1:67" ht="18.75" hidden="1" x14ac:dyDescent="0.3">
      <c r="A32" s="25" t="s">
        <v>173</v>
      </c>
      <c r="B32" s="6">
        <v>10</v>
      </c>
      <c r="C32" s="77">
        <v>120</v>
      </c>
      <c r="D32" s="396"/>
      <c r="F32" s="39">
        <v>5</v>
      </c>
      <c r="G32" s="39">
        <v>5</v>
      </c>
      <c r="H32" s="39">
        <v>5</v>
      </c>
      <c r="I32" s="39">
        <v>5</v>
      </c>
      <c r="J32" s="39">
        <v>5</v>
      </c>
      <c r="K32" s="39">
        <v>5</v>
      </c>
      <c r="L32" s="39">
        <v>5</v>
      </c>
      <c r="M32" s="39">
        <v>5</v>
      </c>
      <c r="N32" s="39">
        <v>5</v>
      </c>
      <c r="O32" s="39">
        <v>0</v>
      </c>
      <c r="P32" s="39">
        <v>0</v>
      </c>
      <c r="Q32" s="39">
        <v>0</v>
      </c>
      <c r="R32" s="39">
        <v>0</v>
      </c>
      <c r="S32" s="39">
        <v>0</v>
      </c>
      <c r="T32" s="39"/>
      <c r="U32" s="39"/>
      <c r="V32" s="39"/>
      <c r="W32" s="39"/>
      <c r="X32" s="39"/>
      <c r="Y32" s="39"/>
      <c r="AF32" s="372">
        <f t="shared" ca="1" si="0"/>
        <v>0</v>
      </c>
      <c r="AH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</row>
    <row r="33" spans="1:177" ht="18.75" x14ac:dyDescent="0.3">
      <c r="A33" s="283" t="s">
        <v>168</v>
      </c>
      <c r="B33" s="284">
        <v>100</v>
      </c>
      <c r="C33" s="285">
        <v>1490</v>
      </c>
      <c r="D33" s="396"/>
      <c r="R33" s="6">
        <v>5</v>
      </c>
      <c r="S33" s="6">
        <v>5</v>
      </c>
      <c r="T33" s="6">
        <v>5</v>
      </c>
      <c r="U33" s="6">
        <v>5</v>
      </c>
      <c r="V33" s="6">
        <v>5</v>
      </c>
      <c r="W33" s="6">
        <v>5</v>
      </c>
      <c r="X33" s="6">
        <v>5</v>
      </c>
      <c r="Y33" s="6">
        <v>5</v>
      </c>
      <c r="Z33" s="6">
        <v>5</v>
      </c>
      <c r="AA33" s="6">
        <v>5</v>
      </c>
      <c r="AB33" s="6">
        <v>5</v>
      </c>
      <c r="AC33" s="6">
        <v>5</v>
      </c>
      <c r="AD33" s="6">
        <v>5</v>
      </c>
      <c r="AE33" s="6">
        <v>5</v>
      </c>
      <c r="AF33" s="372">
        <f t="shared" ca="1" si="0"/>
        <v>0</v>
      </c>
      <c r="AH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</row>
    <row r="34" spans="1:177" ht="18.75" x14ac:dyDescent="0.3">
      <c r="AH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</row>
    <row r="35" spans="1:177" ht="22.5" customHeight="1" x14ac:dyDescent="0.3">
      <c r="A35" s="394" t="s">
        <v>174</v>
      </c>
      <c r="B35" s="394"/>
      <c r="C35" s="394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</row>
    <row r="36" spans="1:177" ht="18.75" x14ac:dyDescent="0.3">
      <c r="A36" s="361" t="s">
        <v>175</v>
      </c>
      <c r="B36" s="361" t="s">
        <v>246</v>
      </c>
      <c r="C36" s="361" t="s">
        <v>176</v>
      </c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</row>
    <row r="37" spans="1:177" s="34" customFormat="1" ht="18.75" x14ac:dyDescent="0.3">
      <c r="A37" s="152"/>
      <c r="B37" s="370"/>
      <c r="C37" s="357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11"/>
      <c r="AA37" s="11"/>
      <c r="AB37" s="11"/>
      <c r="AC37" s="11"/>
      <c r="AD37" s="11"/>
      <c r="AE37" s="11"/>
      <c r="AF37" s="41"/>
      <c r="AG37" s="41"/>
      <c r="AH37" s="41"/>
      <c r="AI37" s="41"/>
      <c r="AJ37" s="4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4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DN37" s="41"/>
      <c r="DR37" s="41"/>
      <c r="DS37" s="71"/>
      <c r="DT37" s="71"/>
      <c r="DU37" s="71"/>
      <c r="DV37" s="71"/>
      <c r="DX37" s="71"/>
      <c r="EA37" s="71"/>
      <c r="EB37" s="71"/>
      <c r="EC37" s="71"/>
      <c r="ED37" s="366"/>
      <c r="EE37" s="365"/>
      <c r="EF37" s="71"/>
      <c r="EG37" s="71"/>
      <c r="EH37" s="71"/>
      <c r="EI37" s="71"/>
      <c r="EJ37" s="71"/>
      <c r="EK37" s="366"/>
      <c r="EL37" s="71"/>
      <c r="EM37" s="366"/>
      <c r="EN37" s="71"/>
      <c r="EO37" s="71"/>
      <c r="EP37" s="71"/>
      <c r="EQ37" s="71"/>
      <c r="ER37" s="71"/>
      <c r="ES37" s="71"/>
      <c r="ET37" s="71"/>
      <c r="EU37" s="71"/>
      <c r="EV37" s="71"/>
      <c r="EW37" s="71"/>
      <c r="EX37" s="71"/>
      <c r="EY37" s="71"/>
      <c r="EZ37" s="71"/>
      <c r="FA37" s="71"/>
      <c r="FB37" s="71"/>
      <c r="FC37" s="71"/>
      <c r="FD37" s="71"/>
      <c r="FE37" s="71"/>
      <c r="FF37" s="71"/>
      <c r="FG37" s="71"/>
      <c r="FH37" s="71"/>
      <c r="FI37" s="71"/>
      <c r="FJ37" s="71"/>
      <c r="FK37" s="71"/>
      <c r="FM37" s="71"/>
      <c r="FN37" s="71"/>
      <c r="FP37" s="71"/>
      <c r="FR37" s="71"/>
      <c r="FT37" s="71"/>
      <c r="FU37" s="71"/>
    </row>
    <row r="38" spans="1:177" s="34" customFormat="1" ht="18.75" x14ac:dyDescent="0.3">
      <c r="A38" s="152"/>
      <c r="B38" s="370"/>
      <c r="C38" s="357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4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DN38" s="41"/>
      <c r="DR38" s="41"/>
      <c r="DS38" s="71"/>
      <c r="DT38" s="71"/>
      <c r="DU38" s="71"/>
      <c r="DV38" s="71"/>
      <c r="DX38" s="71"/>
      <c r="EA38" s="71"/>
      <c r="EB38" s="71"/>
      <c r="EC38" s="71"/>
      <c r="ED38" s="366"/>
      <c r="EE38" s="365"/>
      <c r="EF38" s="71"/>
      <c r="EG38" s="71"/>
      <c r="EH38" s="71"/>
      <c r="EI38" s="71"/>
      <c r="EJ38" s="71"/>
      <c r="EK38" s="366"/>
      <c r="EL38" s="71"/>
      <c r="EM38" s="366"/>
      <c r="EN38" s="71"/>
      <c r="EO38" s="71"/>
      <c r="EP38" s="71"/>
      <c r="EQ38" s="71"/>
      <c r="ER38" s="71"/>
      <c r="ES38" s="71"/>
      <c r="ET38" s="71"/>
      <c r="EU38" s="71"/>
      <c r="EV38" s="71"/>
      <c r="EW38" s="71"/>
      <c r="EX38" s="71"/>
      <c r="EY38" s="71"/>
      <c r="EZ38" s="71"/>
      <c r="FA38" s="71"/>
      <c r="FB38" s="71"/>
      <c r="FC38" s="71"/>
      <c r="FD38" s="71"/>
      <c r="FE38" s="71"/>
      <c r="FF38" s="71"/>
      <c r="FG38" s="71"/>
      <c r="FH38" s="71"/>
      <c r="FI38" s="71"/>
      <c r="FJ38" s="71"/>
      <c r="FK38" s="71"/>
      <c r="FM38" s="71"/>
      <c r="FN38" s="71"/>
      <c r="FP38" s="71"/>
      <c r="FR38" s="71"/>
      <c r="FT38" s="71"/>
      <c r="FU38" s="71"/>
    </row>
    <row r="39" spans="1:177" s="34" customFormat="1" ht="18.75" x14ac:dyDescent="0.3">
      <c r="A39" s="237"/>
      <c r="B39" s="237"/>
      <c r="C39" s="237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401"/>
      <c r="AY39" s="401"/>
      <c r="AZ39" s="401"/>
      <c r="BA39" s="4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DN39" s="41"/>
      <c r="DR39" s="41"/>
      <c r="DS39" s="71"/>
      <c r="DT39" s="71"/>
      <c r="DU39" s="71"/>
      <c r="DV39" s="71"/>
      <c r="DX39" s="71"/>
      <c r="EA39" s="71"/>
      <c r="EB39" s="71"/>
      <c r="EC39" s="71"/>
      <c r="ED39" s="366"/>
      <c r="EE39" s="365"/>
      <c r="EF39" s="71"/>
      <c r="EG39" s="71"/>
      <c r="EH39" s="71"/>
      <c r="EI39" s="71"/>
      <c r="EJ39" s="71"/>
      <c r="EK39" s="366"/>
      <c r="EL39" s="71"/>
      <c r="EM39" s="366"/>
      <c r="EN39" s="71"/>
      <c r="EO39" s="71"/>
      <c r="EP39" s="71"/>
      <c r="EQ39" s="71"/>
      <c r="ER39" s="71"/>
      <c r="ES39" s="71"/>
      <c r="ET39" s="71"/>
      <c r="EU39" s="71"/>
      <c r="EV39" s="71"/>
      <c r="EW39" s="71"/>
      <c r="EX39" s="71"/>
      <c r="EY39" s="71"/>
      <c r="EZ39" s="71"/>
      <c r="FA39" s="71"/>
      <c r="FB39" s="71"/>
      <c r="FC39" s="71"/>
      <c r="FD39" s="71"/>
      <c r="FE39" s="71"/>
      <c r="FF39" s="71"/>
      <c r="FG39" s="71"/>
      <c r="FH39" s="71"/>
      <c r="FI39" s="71"/>
      <c r="FJ39" s="71"/>
      <c r="FK39" s="71"/>
      <c r="FM39" s="71"/>
      <c r="FN39" s="71"/>
      <c r="FP39" s="71"/>
      <c r="FR39" s="71"/>
      <c r="FT39" s="71"/>
      <c r="FU39" s="71"/>
    </row>
    <row r="40" spans="1:177" s="34" customFormat="1" ht="18.75" x14ac:dyDescent="0.3">
      <c r="A40" s="156" t="s">
        <v>247</v>
      </c>
      <c r="B40" s="370"/>
      <c r="C40" s="357">
        <v>43</v>
      </c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401"/>
      <c r="AY40" s="401"/>
      <c r="AZ40" s="401"/>
      <c r="BA40" s="4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DN40" s="41"/>
      <c r="DR40" s="41"/>
      <c r="DS40" s="71"/>
      <c r="DT40" s="71"/>
      <c r="DU40" s="71"/>
      <c r="DV40" s="71"/>
      <c r="DX40" s="71"/>
      <c r="EA40" s="71"/>
      <c r="EB40" s="71"/>
      <c r="EC40" s="71"/>
      <c r="ED40" s="366"/>
      <c r="EE40" s="365"/>
      <c r="EF40" s="71"/>
      <c r="EG40" s="71"/>
      <c r="EH40" s="71"/>
      <c r="EI40" s="71"/>
      <c r="EJ40" s="71"/>
      <c r="EK40" s="366"/>
      <c r="EL40" s="71"/>
      <c r="EM40" s="366"/>
      <c r="EN40" s="71"/>
      <c r="EO40" s="71"/>
      <c r="EP40" s="71"/>
      <c r="EQ40" s="71"/>
      <c r="ER40" s="71"/>
      <c r="ES40" s="71"/>
      <c r="ET40" s="71"/>
      <c r="EU40" s="71"/>
      <c r="EV40" s="71"/>
      <c r="EW40" s="71"/>
      <c r="EX40" s="71"/>
      <c r="EY40" s="71"/>
      <c r="EZ40" s="71"/>
      <c r="FA40" s="71"/>
      <c r="FB40" s="71"/>
      <c r="FC40" s="71"/>
      <c r="FD40" s="71"/>
      <c r="FE40" s="71"/>
      <c r="FF40" s="71"/>
      <c r="FG40" s="71"/>
      <c r="FH40" s="71"/>
      <c r="FI40" s="71"/>
      <c r="FJ40" s="71"/>
      <c r="FK40" s="71"/>
      <c r="FM40" s="71"/>
      <c r="FN40" s="71"/>
      <c r="FP40" s="71"/>
      <c r="FR40" s="71"/>
      <c r="FT40" s="71"/>
      <c r="FU40" s="71"/>
    </row>
    <row r="41" spans="1:177" s="34" customFormat="1" ht="18.75" x14ac:dyDescent="0.3">
      <c r="A41" s="237"/>
      <c r="B41" s="237"/>
      <c r="C41" s="237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01"/>
      <c r="AL41" s="401"/>
      <c r="AM41" s="401"/>
      <c r="AN41" s="401"/>
      <c r="AO41" s="401"/>
      <c r="AP41" s="401"/>
      <c r="AQ41" s="401"/>
      <c r="AR41" s="401"/>
      <c r="AS41" s="401"/>
      <c r="AT41" s="401"/>
      <c r="AU41" s="11"/>
      <c r="AV41" s="11"/>
      <c r="AW41" s="11"/>
      <c r="AX41" s="41"/>
      <c r="AY41" s="41"/>
      <c r="AZ41" s="41"/>
      <c r="BA41" s="41"/>
      <c r="BB41" s="11"/>
      <c r="BC41" s="11"/>
      <c r="BD41" s="11"/>
      <c r="BE41" s="11"/>
      <c r="BF41" s="11"/>
      <c r="BG41" s="11"/>
      <c r="BH41" s="11"/>
      <c r="BI41" s="41"/>
      <c r="BJ41" s="41"/>
      <c r="BK41" s="41"/>
      <c r="BL41" s="41"/>
      <c r="BM41" s="41"/>
      <c r="BN41" s="41"/>
      <c r="BO41" s="11"/>
      <c r="DN41" s="41"/>
      <c r="DR41" s="41"/>
      <c r="DS41" s="71"/>
      <c r="DT41" s="71"/>
      <c r="DU41" s="71"/>
      <c r="DV41" s="71"/>
      <c r="DX41" s="71"/>
      <c r="EA41" s="71"/>
      <c r="EB41" s="71"/>
      <c r="EC41" s="71"/>
      <c r="ED41" s="366"/>
      <c r="EE41" s="365"/>
      <c r="EF41" s="71"/>
      <c r="EG41" s="71"/>
      <c r="EH41" s="71"/>
      <c r="EI41" s="71"/>
      <c r="EJ41" s="71"/>
      <c r="EK41" s="366"/>
      <c r="EL41" s="71"/>
      <c r="EM41" s="366"/>
      <c r="EN41" s="71"/>
      <c r="EO41" s="71"/>
      <c r="EP41" s="71"/>
      <c r="EQ41" s="71"/>
      <c r="ER41" s="71"/>
      <c r="ES41" s="71"/>
      <c r="ET41" s="71"/>
      <c r="EU41" s="71"/>
      <c r="EV41" s="71"/>
      <c r="EW41" s="71"/>
      <c r="EX41" s="71"/>
      <c r="EY41" s="71"/>
      <c r="EZ41" s="71"/>
      <c r="FA41" s="71"/>
      <c r="FB41" s="71"/>
      <c r="FC41" s="71"/>
      <c r="FD41" s="71"/>
      <c r="FE41" s="71"/>
      <c r="FF41" s="71"/>
      <c r="FG41" s="71"/>
      <c r="FH41" s="71"/>
      <c r="FI41" s="71"/>
      <c r="FJ41" s="71"/>
      <c r="FK41" s="71"/>
      <c r="FM41" s="71"/>
      <c r="FN41" s="71"/>
      <c r="FP41" s="71"/>
      <c r="FR41" s="71"/>
      <c r="FT41" s="71"/>
      <c r="FU41" s="71"/>
    </row>
    <row r="42" spans="1:177" s="34" customFormat="1" ht="18.75" x14ac:dyDescent="0.3">
      <c r="A42" s="164"/>
      <c r="B42" s="370"/>
      <c r="C42" s="357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01"/>
      <c r="AL42" s="401"/>
      <c r="AM42" s="401"/>
      <c r="AN42" s="401"/>
      <c r="AO42" s="401"/>
      <c r="AP42" s="401"/>
      <c r="AQ42" s="401"/>
      <c r="AR42" s="401"/>
      <c r="AS42" s="401"/>
      <c r="AT42" s="401"/>
      <c r="AU42" s="11"/>
      <c r="AV42" s="11"/>
      <c r="AW42" s="11"/>
      <c r="AX42" s="41"/>
      <c r="AY42" s="41"/>
      <c r="AZ42" s="41"/>
      <c r="BA42" s="41"/>
      <c r="BB42" s="11"/>
      <c r="BC42" s="11"/>
      <c r="BD42" s="11"/>
      <c r="BE42" s="11"/>
      <c r="BF42" s="11"/>
      <c r="BG42" s="11"/>
      <c r="BH42" s="11"/>
      <c r="BI42" s="41"/>
      <c r="BJ42" s="41"/>
      <c r="BK42" s="41"/>
      <c r="BL42" s="41"/>
      <c r="BM42" s="41"/>
      <c r="BN42" s="41"/>
      <c r="BO42" s="11"/>
      <c r="DN42" s="41"/>
      <c r="DR42" s="41"/>
      <c r="DS42" s="71"/>
      <c r="DT42" s="71"/>
      <c r="DU42" s="71"/>
      <c r="DV42" s="71"/>
      <c r="DX42" s="71"/>
      <c r="EA42" s="71"/>
      <c r="EB42" s="71"/>
      <c r="EC42" s="71"/>
      <c r="ED42" s="366"/>
      <c r="EE42" s="365"/>
      <c r="EF42" s="71"/>
      <c r="EG42" s="71"/>
      <c r="EH42" s="71"/>
      <c r="EI42" s="71"/>
      <c r="EJ42" s="71"/>
      <c r="EK42" s="366"/>
      <c r="EL42" s="71"/>
      <c r="EM42" s="366"/>
      <c r="EN42" s="71"/>
      <c r="EO42" s="71"/>
      <c r="EP42" s="71"/>
      <c r="EQ42" s="71"/>
      <c r="ER42" s="71"/>
      <c r="ES42" s="71"/>
      <c r="ET42" s="71"/>
      <c r="EU42" s="71"/>
      <c r="EV42" s="71"/>
      <c r="EW42" s="71"/>
      <c r="EX42" s="71"/>
      <c r="EY42" s="71"/>
      <c r="EZ42" s="71"/>
      <c r="FA42" s="71"/>
      <c r="FB42" s="71"/>
      <c r="FC42" s="71"/>
      <c r="FD42" s="71"/>
      <c r="FE42" s="71"/>
      <c r="FF42" s="71"/>
      <c r="FG42" s="71"/>
      <c r="FH42" s="71"/>
      <c r="FI42" s="71"/>
      <c r="FJ42" s="71"/>
      <c r="FK42" s="71"/>
      <c r="FM42" s="71"/>
      <c r="FN42" s="71"/>
      <c r="FP42" s="71"/>
      <c r="FR42" s="71"/>
      <c r="FT42" s="71"/>
      <c r="FU42" s="71"/>
    </row>
    <row r="43" spans="1:177" s="34" customFormat="1" ht="18.75" x14ac:dyDescent="0.3">
      <c r="A43" s="164"/>
      <c r="B43" s="370"/>
      <c r="C43" s="357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11"/>
      <c r="AV43" s="11"/>
      <c r="AW43" s="11"/>
      <c r="AX43" s="41"/>
      <c r="AY43" s="41"/>
      <c r="AZ43" s="41"/>
      <c r="BA43" s="41"/>
      <c r="BB43" s="41"/>
      <c r="BC43" s="41"/>
      <c r="BD43" s="41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DN43" s="41"/>
      <c r="DR43" s="41"/>
      <c r="DS43" s="71"/>
      <c r="DT43" s="71"/>
      <c r="DU43" s="71"/>
      <c r="DV43" s="71"/>
      <c r="DX43" s="71"/>
      <c r="EA43" s="71"/>
      <c r="EB43" s="71"/>
      <c r="EC43" s="71"/>
      <c r="ED43" s="366"/>
      <c r="EE43" s="365"/>
      <c r="EF43" s="71"/>
      <c r="EG43" s="71"/>
      <c r="EH43" s="71"/>
      <c r="EI43" s="71"/>
      <c r="EJ43" s="71"/>
      <c r="EK43" s="366"/>
      <c r="EL43" s="71"/>
      <c r="EM43" s="366"/>
      <c r="EN43" s="71"/>
      <c r="EO43" s="71"/>
      <c r="EP43" s="71"/>
      <c r="EQ43" s="71"/>
      <c r="ER43" s="71"/>
      <c r="ES43" s="71"/>
      <c r="ET43" s="71"/>
      <c r="EU43" s="71"/>
      <c r="EV43" s="71"/>
      <c r="EW43" s="71"/>
      <c r="EX43" s="71"/>
      <c r="EY43" s="71"/>
      <c r="EZ43" s="71"/>
      <c r="FA43" s="71"/>
      <c r="FB43" s="71"/>
      <c r="FC43" s="71"/>
      <c r="FD43" s="71"/>
      <c r="FE43" s="71"/>
      <c r="FF43" s="71"/>
      <c r="FG43" s="71"/>
      <c r="FH43" s="71"/>
      <c r="FI43" s="71"/>
      <c r="FJ43" s="71"/>
      <c r="FK43" s="71"/>
      <c r="FM43" s="71"/>
      <c r="FN43" s="71"/>
      <c r="FP43" s="71"/>
      <c r="FR43" s="71"/>
      <c r="FT43" s="71"/>
      <c r="FU43" s="71"/>
    </row>
    <row r="44" spans="1:177" s="34" customFormat="1" ht="18.75" x14ac:dyDescent="0.3">
      <c r="A44" s="62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11"/>
      <c r="AV44" s="11"/>
      <c r="AW44" s="11"/>
      <c r="AX44" s="41"/>
      <c r="AY44" s="41"/>
      <c r="AZ44" s="41"/>
      <c r="BB44" s="41"/>
      <c r="BC44" s="41"/>
      <c r="BD44" s="41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</row>
    <row r="45" spans="1:177" ht="18.75" x14ac:dyDescent="0.3">
      <c r="A45" s="472" t="s">
        <v>177</v>
      </c>
      <c r="B45" s="467"/>
      <c r="C45" s="467"/>
      <c r="D45" s="469"/>
      <c r="F45" s="280">
        <v>46013</v>
      </c>
      <c r="G45" s="356">
        <v>46020</v>
      </c>
      <c r="H45" s="356">
        <v>46027</v>
      </c>
      <c r="I45" s="356">
        <v>46034</v>
      </c>
      <c r="J45" s="356">
        <v>46041</v>
      </c>
      <c r="K45" s="356">
        <v>46048</v>
      </c>
      <c r="L45" s="356">
        <v>46055</v>
      </c>
      <c r="M45" s="356">
        <v>46062</v>
      </c>
      <c r="N45" s="356">
        <v>46069</v>
      </c>
      <c r="O45" s="356">
        <v>46076</v>
      </c>
      <c r="P45" s="356">
        <v>46083</v>
      </c>
      <c r="Q45" s="356">
        <v>46090</v>
      </c>
      <c r="R45" s="356">
        <v>46097</v>
      </c>
      <c r="S45" s="356">
        <v>46104</v>
      </c>
      <c r="T45" s="356">
        <v>46111</v>
      </c>
      <c r="U45" s="356">
        <v>46118</v>
      </c>
      <c r="V45" s="356">
        <v>46125</v>
      </c>
      <c r="W45" s="356">
        <v>46132</v>
      </c>
      <c r="X45" s="356">
        <v>46139</v>
      </c>
      <c r="Y45" s="356">
        <v>46146</v>
      </c>
      <c r="Z45" s="356">
        <v>46154</v>
      </c>
      <c r="AA45" s="356">
        <v>46160</v>
      </c>
      <c r="AB45" s="356">
        <v>46161.480129328702</v>
      </c>
      <c r="AC45" s="356">
        <v>46161.480802928243</v>
      </c>
      <c r="AD45" s="356">
        <v>46161.482960277783</v>
      </c>
      <c r="AE45" s="356">
        <v>46161.483288899653</v>
      </c>
      <c r="AH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11"/>
      <c r="AV45" s="11"/>
      <c r="AW45" s="11"/>
      <c r="BB45" s="41"/>
      <c r="BC45" s="41"/>
      <c r="BD45" s="41"/>
      <c r="BE45" s="41"/>
      <c r="BF45" s="41"/>
      <c r="BG45" s="41"/>
      <c r="BH45" s="41"/>
      <c r="BO45" s="41"/>
    </row>
    <row r="46" spans="1:177" ht="18.75" x14ac:dyDescent="0.3">
      <c r="A46" s="470" t="s">
        <v>179</v>
      </c>
      <c r="B46" s="467"/>
      <c r="C46" s="467"/>
      <c r="D46" s="469"/>
      <c r="F46" s="282">
        <v>25</v>
      </c>
      <c r="G46" s="358">
        <v>25</v>
      </c>
      <c r="H46" s="358">
        <v>25</v>
      </c>
      <c r="I46" s="358">
        <v>25</v>
      </c>
      <c r="J46" s="358">
        <v>23</v>
      </c>
      <c r="K46" s="358">
        <v>20</v>
      </c>
      <c r="L46" s="358">
        <v>24</v>
      </c>
      <c r="M46" s="358">
        <v>24</v>
      </c>
      <c r="N46" s="358">
        <v>24</v>
      </c>
      <c r="O46" s="358">
        <v>24</v>
      </c>
      <c r="P46" s="358">
        <v>24</v>
      </c>
      <c r="Q46" s="358">
        <v>24</v>
      </c>
      <c r="R46" s="358">
        <v>24</v>
      </c>
      <c r="S46" s="358">
        <v>24</v>
      </c>
      <c r="T46" s="358">
        <v>24</v>
      </c>
      <c r="U46" s="358">
        <v>0</v>
      </c>
      <c r="V46" s="358">
        <v>17</v>
      </c>
      <c r="W46" s="358">
        <v>17</v>
      </c>
      <c r="X46" s="358">
        <v>17</v>
      </c>
      <c r="Y46" s="358">
        <v>17</v>
      </c>
      <c r="Z46" s="358">
        <v>17</v>
      </c>
      <c r="AA46" s="358"/>
      <c r="AB46" s="448"/>
      <c r="AC46" s="448"/>
      <c r="AD46" s="448"/>
      <c r="AE46" s="448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BB46" s="41"/>
      <c r="BC46" s="41"/>
      <c r="BD46" s="41"/>
      <c r="BE46" s="41"/>
      <c r="BF46" s="41"/>
      <c r="BG46" s="41"/>
      <c r="BH46" s="41"/>
      <c r="BO46" s="41"/>
    </row>
    <row r="47" spans="1:177" ht="18.75" x14ac:dyDescent="0.25">
      <c r="A47" s="470" t="s">
        <v>178</v>
      </c>
      <c r="B47" s="467"/>
      <c r="C47" s="467"/>
      <c r="D47" s="469"/>
      <c r="F47" s="282">
        <v>50</v>
      </c>
      <c r="G47" s="358">
        <v>50</v>
      </c>
      <c r="H47" s="358">
        <v>50</v>
      </c>
      <c r="I47" s="358">
        <v>50</v>
      </c>
      <c r="J47" s="358">
        <v>46</v>
      </c>
      <c r="K47" s="358">
        <v>42</v>
      </c>
      <c r="L47" s="358">
        <v>45</v>
      </c>
      <c r="M47" s="358">
        <v>45</v>
      </c>
      <c r="N47" s="358">
        <v>45</v>
      </c>
      <c r="O47" s="358">
        <v>45</v>
      </c>
      <c r="P47" s="358">
        <v>45</v>
      </c>
      <c r="Q47" s="358">
        <v>45</v>
      </c>
      <c r="R47" s="358">
        <v>45</v>
      </c>
      <c r="S47" s="358">
        <v>45</v>
      </c>
      <c r="T47" s="358">
        <v>45</v>
      </c>
      <c r="U47" s="358">
        <v>0</v>
      </c>
      <c r="V47" s="358">
        <v>32</v>
      </c>
      <c r="W47" s="358">
        <v>32</v>
      </c>
      <c r="X47" s="358">
        <v>32</v>
      </c>
      <c r="Y47" s="358">
        <v>32</v>
      </c>
      <c r="Z47" s="358">
        <v>32</v>
      </c>
      <c r="AA47" s="358"/>
      <c r="AB47" s="448"/>
      <c r="AC47" s="448"/>
      <c r="AD47" s="448"/>
      <c r="AE47" s="448"/>
    </row>
    <row r="48" spans="1:177" ht="18.75" x14ac:dyDescent="0.25">
      <c r="A48" s="470"/>
      <c r="B48" s="467"/>
      <c r="C48" s="467"/>
      <c r="D48" s="469"/>
      <c r="F48" s="282"/>
      <c r="G48" s="358"/>
      <c r="H48" s="358"/>
      <c r="I48" s="358"/>
      <c r="J48" s="358"/>
      <c r="K48" s="358"/>
      <c r="L48" s="358"/>
      <c r="M48" s="358"/>
      <c r="N48" s="358"/>
      <c r="O48" s="358"/>
      <c r="P48" s="358"/>
      <c r="Q48" s="358"/>
      <c r="R48" s="358"/>
      <c r="S48" s="358"/>
      <c r="T48" s="358"/>
      <c r="U48" s="358">
        <v>0</v>
      </c>
      <c r="V48" s="358">
        <v>37</v>
      </c>
      <c r="W48" s="358">
        <v>37</v>
      </c>
      <c r="X48" s="358">
        <v>37</v>
      </c>
      <c r="Y48" s="358">
        <v>37</v>
      </c>
      <c r="Z48" s="358">
        <v>37</v>
      </c>
      <c r="AA48" s="358"/>
      <c r="AB48" s="448"/>
      <c r="AC48" s="448"/>
      <c r="AD48" s="448"/>
      <c r="AE48" s="448"/>
    </row>
    <row r="49" spans="37:46" ht="18.75" x14ac:dyDescent="0.3">
      <c r="AK49" s="11"/>
      <c r="AL49" s="11"/>
      <c r="AM49" s="11"/>
      <c r="AN49" s="11"/>
      <c r="AO49" s="11"/>
      <c r="AP49" s="11"/>
      <c r="AQ49" s="11"/>
      <c r="AR49" s="11"/>
      <c r="AS49" s="11"/>
      <c r="AT49" s="11"/>
    </row>
  </sheetData>
  <mergeCells count="11">
    <mergeCell ref="B2:D2"/>
    <mergeCell ref="D5:D6"/>
    <mergeCell ref="A5:A6"/>
    <mergeCell ref="A45:D45"/>
    <mergeCell ref="AX7:BF7"/>
    <mergeCell ref="B3:D3"/>
    <mergeCell ref="A48:D48"/>
    <mergeCell ref="C5:C6"/>
    <mergeCell ref="A47:D47"/>
    <mergeCell ref="A46:D46"/>
    <mergeCell ref="B5:B6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69" fitToHeight="0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60">
    <tabColor theme="9"/>
  </sheetPr>
  <dimension ref="A1:FK49"/>
  <sheetViews>
    <sheetView showGridLines="0" zoomScale="80" zoomScaleNormal="80" zoomScalePageLayoutView="70" workbookViewId="0">
      <selection activeCell="AA14" activeCellId="1" sqref="AA8:AA11 AA14:AA17"/>
    </sheetView>
  </sheetViews>
  <sheetFormatPr defaultColWidth="9.140625" defaultRowHeight="18.75" x14ac:dyDescent="0.3"/>
  <cols>
    <col min="1" max="1" width="34" style="62" customWidth="1"/>
    <col min="2" max="2" width="8.7109375" style="11" customWidth="1"/>
    <col min="3" max="4" width="14.42578125" style="11" bestFit="1" customWidth="1"/>
    <col min="5" max="5" width="1.42578125" style="11" customWidth="1"/>
    <col min="6" max="24" width="9.28515625" style="11" hidden="1" customWidth="1"/>
    <col min="25" max="26" width="9.28515625" style="11" customWidth="1"/>
    <col min="27" max="27" width="9.7109375" style="11" customWidth="1"/>
    <col min="28" max="28" width="1.140625" style="11" customWidth="1"/>
    <col min="29" max="29" width="14.28515625" style="34" bestFit="1" customWidth="1"/>
    <col min="30" max="30" width="1.7109375" style="34" customWidth="1"/>
    <col min="31" max="31" width="15.85546875" style="34" bestFit="1" customWidth="1"/>
    <col min="32" max="32" width="2.140625" style="11" customWidth="1"/>
    <col min="33" max="36" width="8.7109375" style="71" customWidth="1"/>
    <col min="37" max="47" width="8.7109375" style="71" hidden="1" customWidth="1"/>
    <col min="48" max="48" width="9.140625" style="11" customWidth="1"/>
    <col min="49" max="49" width="21.85546875" style="11" bestFit="1" customWidth="1"/>
    <col min="50" max="50" width="9.140625" style="11" customWidth="1"/>
    <col min="51" max="54" width="13" style="11" hidden="1" customWidth="1"/>
    <col min="55" max="55" width="9.140625" style="11" customWidth="1"/>
    <col min="56" max="16384" width="9.140625" style="11"/>
  </cols>
  <sheetData>
    <row r="1" spans="1:57" ht="23.25" customHeight="1" x14ac:dyDescent="0.3">
      <c r="A1" s="353" t="s">
        <v>117</v>
      </c>
      <c r="B1" s="353"/>
      <c r="C1" s="353"/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3"/>
      <c r="P1" s="353"/>
      <c r="Q1" s="353"/>
      <c r="R1" s="353"/>
      <c r="S1" s="353"/>
      <c r="T1" s="353"/>
      <c r="U1" s="353"/>
      <c r="V1" s="353"/>
      <c r="W1" s="353"/>
      <c r="X1" s="353"/>
      <c r="Y1" s="353"/>
      <c r="Z1" s="353"/>
      <c r="AA1" s="353"/>
      <c r="AB1" s="353"/>
      <c r="AC1" s="353"/>
      <c r="AD1" s="353"/>
      <c r="AE1" s="353"/>
      <c r="AF1" s="353"/>
      <c r="AG1" s="353"/>
      <c r="AH1" s="353"/>
      <c r="AI1" s="353"/>
      <c r="AJ1" s="353"/>
      <c r="AK1" s="353"/>
      <c r="AL1" s="353"/>
      <c r="AM1" s="353"/>
      <c r="AN1" s="353"/>
      <c r="AO1" s="353"/>
      <c r="AP1" s="353"/>
      <c r="AQ1" s="353"/>
      <c r="AR1" s="353"/>
      <c r="AS1" s="353"/>
      <c r="AT1" s="353"/>
      <c r="AU1" s="353"/>
    </row>
    <row r="2" spans="1:57" x14ac:dyDescent="0.3">
      <c r="A2" s="63" t="s">
        <v>118</v>
      </c>
      <c r="B2" s="473" t="s">
        <v>244</v>
      </c>
      <c r="C2" s="463"/>
      <c r="D2" s="464"/>
      <c r="AC2" s="11"/>
      <c r="AD2" s="11"/>
      <c r="AE2" s="11"/>
    </row>
    <row r="3" spans="1:57" x14ac:dyDescent="0.3">
      <c r="A3" s="63" t="s">
        <v>120</v>
      </c>
      <c r="B3" s="465" t="s">
        <v>245</v>
      </c>
      <c r="C3" s="463"/>
      <c r="D3" s="464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11"/>
      <c r="AD3" s="7"/>
    </row>
    <row r="4" spans="1:57" x14ac:dyDescent="0.3">
      <c r="AD4" s="11"/>
      <c r="AE4" s="11"/>
      <c r="AF4" s="34"/>
      <c r="AG4" s="387"/>
      <c r="AH4" s="387"/>
      <c r="AI4" s="387"/>
      <c r="AJ4" s="387"/>
      <c r="AK4" s="387"/>
      <c r="AL4" s="387"/>
      <c r="AM4" s="387"/>
      <c r="AN4" s="387"/>
      <c r="AO4" s="387"/>
      <c r="AP4" s="387"/>
      <c r="AQ4" s="387"/>
      <c r="AR4" s="387"/>
      <c r="AS4" s="387"/>
      <c r="AT4" s="387"/>
      <c r="AU4" s="387"/>
    </row>
    <row r="5" spans="1:57" ht="18.75" customHeight="1" x14ac:dyDescent="0.3">
      <c r="A5" s="476" t="s">
        <v>122</v>
      </c>
      <c r="B5" s="471" t="s">
        <v>123</v>
      </c>
      <c r="C5" s="471" t="s">
        <v>124</v>
      </c>
      <c r="D5" s="474" t="s">
        <v>125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115"/>
      <c r="AC5" s="29" t="s">
        <v>126</v>
      </c>
      <c r="AD5" s="11"/>
      <c r="AE5" s="9" t="s">
        <v>127</v>
      </c>
      <c r="AG5" s="363"/>
      <c r="AH5" s="363">
        <v>46114</v>
      </c>
      <c r="AI5" s="409">
        <v>46065</v>
      </c>
      <c r="AJ5" s="363">
        <v>46107</v>
      </c>
      <c r="AK5" s="363">
        <v>46099</v>
      </c>
      <c r="AL5" s="363">
        <v>46092</v>
      </c>
      <c r="AM5" s="363">
        <v>46077</v>
      </c>
      <c r="AN5" s="363">
        <v>46071</v>
      </c>
      <c r="AO5" s="363">
        <v>46048</v>
      </c>
      <c r="AP5" s="363">
        <v>46043</v>
      </c>
      <c r="AQ5" s="363">
        <v>46035</v>
      </c>
      <c r="AR5" s="363">
        <v>46017</v>
      </c>
      <c r="AS5" s="363">
        <v>46007</v>
      </c>
      <c r="AT5" s="363">
        <v>45994</v>
      </c>
      <c r="AU5" s="363">
        <v>45965</v>
      </c>
    </row>
    <row r="6" spans="1:57" s="3" customFormat="1" ht="19.5" customHeight="1" x14ac:dyDescent="0.3">
      <c r="A6" s="461"/>
      <c r="B6" s="461"/>
      <c r="C6" s="461"/>
      <c r="D6" s="461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35" t="s">
        <v>129</v>
      </c>
      <c r="AB6" s="116"/>
      <c r="AC6" s="180"/>
      <c r="AD6" s="31"/>
      <c r="AE6" s="179">
        <v>46155</v>
      </c>
      <c r="AF6" s="31"/>
      <c r="AG6" s="363"/>
      <c r="AH6" s="363">
        <v>46125</v>
      </c>
      <c r="AI6" s="409">
        <v>46112</v>
      </c>
      <c r="AJ6" s="363">
        <v>46112</v>
      </c>
      <c r="AK6" s="363">
        <v>46106</v>
      </c>
      <c r="AL6" s="363">
        <v>46100</v>
      </c>
      <c r="AM6" s="363">
        <v>46084</v>
      </c>
      <c r="AN6" s="363">
        <v>46077</v>
      </c>
      <c r="AO6" s="363">
        <v>46056</v>
      </c>
      <c r="AP6" s="363">
        <v>46049</v>
      </c>
      <c r="AQ6" s="363">
        <v>46038</v>
      </c>
      <c r="AR6" s="363">
        <v>46028</v>
      </c>
      <c r="AS6" s="363">
        <v>46014</v>
      </c>
      <c r="AT6" s="363">
        <v>46010</v>
      </c>
      <c r="AU6" s="363">
        <v>45975</v>
      </c>
      <c r="AW6" s="11"/>
      <c r="AX6" s="11"/>
      <c r="AY6" s="11"/>
      <c r="AZ6" s="11"/>
      <c r="BA6" s="11"/>
      <c r="BB6" s="11"/>
      <c r="BC6" s="11"/>
      <c r="BD6" s="11"/>
      <c r="BE6" s="11"/>
    </row>
    <row r="7" spans="1:57" s="3" customFormat="1" ht="21.75" customHeight="1" x14ac:dyDescent="0.3">
      <c r="A7" s="68" t="s">
        <v>130</v>
      </c>
      <c r="B7" s="5"/>
      <c r="C7" s="5"/>
      <c r="D7" s="233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341"/>
      <c r="AC7" s="84"/>
      <c r="AE7" s="132"/>
      <c r="AF7" s="11"/>
      <c r="AG7" s="12"/>
      <c r="AH7" s="12"/>
      <c r="AI7" s="12" t="s">
        <v>131</v>
      </c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W7" s="475" t="s">
        <v>180</v>
      </c>
      <c r="AX7" s="467"/>
      <c r="AY7" s="467"/>
      <c r="AZ7" s="467"/>
      <c r="BA7" s="467"/>
      <c r="BB7" s="467"/>
      <c r="BC7" s="467"/>
      <c r="BD7" s="467"/>
      <c r="BE7" s="469"/>
    </row>
    <row r="8" spans="1:57" s="3" customFormat="1" x14ac:dyDescent="0.3">
      <c r="A8" s="21" t="s">
        <v>132</v>
      </c>
      <c r="B8" s="6">
        <v>300</v>
      </c>
      <c r="C8" s="82">
        <v>187.12</v>
      </c>
      <c r="D8" s="234">
        <v>200</v>
      </c>
      <c r="E8" s="11"/>
      <c r="F8" s="39">
        <f>160+AS8</f>
        <v>460</v>
      </c>
      <c r="G8" s="39">
        <v>435</v>
      </c>
      <c r="H8" s="39">
        <v>335</v>
      </c>
      <c r="I8" s="39">
        <v>300</v>
      </c>
      <c r="J8" s="39">
        <v>183</v>
      </c>
      <c r="K8" s="39">
        <f>300+AP8</f>
        <v>600</v>
      </c>
      <c r="L8" s="39">
        <v>600</v>
      </c>
      <c r="M8" s="39">
        <v>600</v>
      </c>
      <c r="N8" s="39">
        <v>600</v>
      </c>
      <c r="O8" s="39">
        <v>600</v>
      </c>
      <c r="P8" s="39">
        <v>300</v>
      </c>
      <c r="Q8" s="39">
        <v>300</v>
      </c>
      <c r="R8" s="39">
        <v>300</v>
      </c>
      <c r="S8" s="39">
        <v>300</v>
      </c>
      <c r="T8" s="39">
        <v>300</v>
      </c>
      <c r="U8" s="39">
        <v>300</v>
      </c>
      <c r="V8" s="39">
        <v>300</v>
      </c>
      <c r="W8" s="39">
        <v>300</v>
      </c>
      <c r="X8" s="39">
        <v>240</v>
      </c>
      <c r="Y8" s="39">
        <v>240</v>
      </c>
      <c r="Z8" s="39">
        <v>240</v>
      </c>
      <c r="AA8" s="372">
        <f ca="1">Y8+IF(NOT(ISBLANK(OFFSET(AA8,0,6))),N(OFFSET(AA8,0,6)),N(OFFSET(AA8,0,7)))-Z8</f>
        <v>0</v>
      </c>
      <c r="AB8" s="2"/>
      <c r="AC8" s="78"/>
      <c r="AE8" s="32"/>
      <c r="AF8" s="11"/>
      <c r="AG8" s="19">
        <v>0</v>
      </c>
      <c r="AH8" s="19"/>
      <c r="AI8" s="19"/>
      <c r="AJ8" s="19"/>
      <c r="AK8" s="19"/>
      <c r="AL8" s="19"/>
      <c r="AM8" s="19"/>
      <c r="AN8" s="19"/>
      <c r="AO8" s="19"/>
      <c r="AP8" s="19">
        <v>300</v>
      </c>
      <c r="AQ8" s="19"/>
      <c r="AR8" s="19"/>
      <c r="AS8" s="19">
        <v>300</v>
      </c>
      <c r="AT8" s="19"/>
      <c r="AU8" s="19"/>
      <c r="AW8" s="389" t="s">
        <v>130</v>
      </c>
      <c r="AX8" s="376" t="s">
        <v>123</v>
      </c>
      <c r="AY8" s="13">
        <v>46118</v>
      </c>
      <c r="AZ8" s="13">
        <v>46125</v>
      </c>
      <c r="BA8" s="13">
        <v>46132</v>
      </c>
      <c r="BB8" s="13">
        <v>46139</v>
      </c>
      <c r="BC8" s="13">
        <v>46146</v>
      </c>
      <c r="BD8" s="13">
        <v>46154</v>
      </c>
      <c r="BE8" s="35" t="s">
        <v>129</v>
      </c>
    </row>
    <row r="9" spans="1:57" s="3" customFormat="1" ht="18" customHeight="1" x14ac:dyDescent="0.3">
      <c r="A9" s="21" t="s">
        <v>134</v>
      </c>
      <c r="B9" s="6">
        <v>200</v>
      </c>
      <c r="C9" s="82">
        <v>193.08</v>
      </c>
      <c r="D9" s="234">
        <v>500</v>
      </c>
      <c r="E9" s="11"/>
      <c r="F9" s="39">
        <f>200+AS9</f>
        <v>600</v>
      </c>
      <c r="G9" s="39">
        <v>400</v>
      </c>
      <c r="H9" s="39">
        <f>200+AR9</f>
        <v>600</v>
      </c>
      <c r="I9" s="39">
        <v>400</v>
      </c>
      <c r="J9" s="39">
        <v>400</v>
      </c>
      <c r="K9" s="39">
        <v>350</v>
      </c>
      <c r="L9" s="39">
        <f>350+AO9</f>
        <v>950</v>
      </c>
      <c r="M9" s="39">
        <v>800</v>
      </c>
      <c r="N9" s="39">
        <v>600</v>
      </c>
      <c r="O9" s="39">
        <f>400+AN9</f>
        <v>600</v>
      </c>
      <c r="P9" s="39">
        <v>400</v>
      </c>
      <c r="Q9" s="39">
        <v>400</v>
      </c>
      <c r="R9" s="39">
        <v>200</v>
      </c>
      <c r="S9" s="39">
        <f>0+AK9</f>
        <v>400</v>
      </c>
      <c r="T9" s="39">
        <f>200+AJ9</f>
        <v>400</v>
      </c>
      <c r="U9" s="39">
        <v>600</v>
      </c>
      <c r="V9" s="39">
        <v>600</v>
      </c>
      <c r="W9" s="39">
        <v>600</v>
      </c>
      <c r="X9" s="39">
        <v>600</v>
      </c>
      <c r="Y9" s="39">
        <v>600</v>
      </c>
      <c r="Z9" s="39">
        <v>400</v>
      </c>
      <c r="AA9" s="372">
        <f ca="1">Y9+IF(NOT(ISBLANK(OFFSET(AA9,0,6))),N(OFFSET(AA9,0,6)),N(OFFSET(AA9,0,7)))-Z9</f>
        <v>200</v>
      </c>
      <c r="AB9" s="2"/>
      <c r="AC9" s="78"/>
      <c r="AE9" s="32"/>
      <c r="AF9" s="11"/>
      <c r="AG9" s="19">
        <v>0</v>
      </c>
      <c r="AH9" s="19">
        <v>200</v>
      </c>
      <c r="AI9" s="117">
        <v>400</v>
      </c>
      <c r="AJ9" s="19">
        <v>200</v>
      </c>
      <c r="AK9" s="19">
        <v>400</v>
      </c>
      <c r="AL9" s="19"/>
      <c r="AM9" s="19"/>
      <c r="AN9" s="19">
        <v>200</v>
      </c>
      <c r="AO9" s="19">
        <v>600</v>
      </c>
      <c r="AP9" s="19"/>
      <c r="AQ9" s="19">
        <v>200</v>
      </c>
      <c r="AR9" s="19">
        <v>400</v>
      </c>
      <c r="AS9" s="19">
        <v>400</v>
      </c>
      <c r="AT9" s="19">
        <v>400</v>
      </c>
      <c r="AU9" s="19">
        <v>200</v>
      </c>
      <c r="AW9" s="364" t="s">
        <v>136</v>
      </c>
      <c r="AX9" s="135">
        <v>200</v>
      </c>
      <c r="AY9" s="39">
        <f>AI9</f>
        <v>400</v>
      </c>
      <c r="AZ9" s="39">
        <v>400</v>
      </c>
      <c r="BA9" s="39">
        <v>200</v>
      </c>
      <c r="BB9" s="39">
        <v>120</v>
      </c>
      <c r="BC9" s="39">
        <v>120</v>
      </c>
      <c r="BD9" s="39">
        <v>120</v>
      </c>
      <c r="BE9" s="26">
        <f ca="1">BC9+IF(NOT(ISBLANK(OFFSET(BE9,0,6))),N(OFFSET(BE9,0,6)),N(OFFSET(BE9,0,7)))-BD9</f>
        <v>0</v>
      </c>
    </row>
    <row r="10" spans="1:57" s="3" customFormat="1" x14ac:dyDescent="0.3">
      <c r="A10" s="21" t="s">
        <v>137</v>
      </c>
      <c r="B10" s="6">
        <v>200</v>
      </c>
      <c r="C10" s="82">
        <v>253.83</v>
      </c>
      <c r="D10" s="234">
        <v>350</v>
      </c>
      <c r="E10" s="11"/>
      <c r="F10" s="39">
        <v>400</v>
      </c>
      <c r="G10" s="39">
        <v>200</v>
      </c>
      <c r="H10" s="39">
        <f>200+AR10</f>
        <v>400</v>
      </c>
      <c r="I10" s="39">
        <v>400</v>
      </c>
      <c r="J10" s="39">
        <v>200</v>
      </c>
      <c r="K10" s="39">
        <f>200+AP10</f>
        <v>400</v>
      </c>
      <c r="L10" s="39">
        <v>400</v>
      </c>
      <c r="M10" s="39">
        <v>400</v>
      </c>
      <c r="N10" s="39">
        <v>400</v>
      </c>
      <c r="O10" s="39">
        <v>400</v>
      </c>
      <c r="P10" s="39">
        <v>400</v>
      </c>
      <c r="Q10" s="39">
        <v>200</v>
      </c>
      <c r="R10" s="39">
        <v>200</v>
      </c>
      <c r="S10" s="39">
        <v>0</v>
      </c>
      <c r="T10" s="39">
        <f>0+AJ10</f>
        <v>400</v>
      </c>
      <c r="U10" s="39">
        <v>600</v>
      </c>
      <c r="V10" s="39">
        <v>600</v>
      </c>
      <c r="W10" s="39">
        <v>600</v>
      </c>
      <c r="X10" s="39">
        <v>600</v>
      </c>
      <c r="Y10" s="39">
        <v>600</v>
      </c>
      <c r="Z10" s="39">
        <v>400</v>
      </c>
      <c r="AA10" s="372">
        <f ca="1">Y10+IF(NOT(ISBLANK(OFFSET(AA10,0,6))),N(OFFSET(AA10,0,6)),N(OFFSET(AA10,0,7)))-Z10</f>
        <v>200</v>
      </c>
      <c r="AB10" s="2"/>
      <c r="AC10" s="78"/>
      <c r="AD10" s="2"/>
      <c r="AE10" s="32"/>
      <c r="AF10" s="11"/>
      <c r="AG10" s="19">
        <v>0</v>
      </c>
      <c r="AH10" s="19"/>
      <c r="AI10" s="117">
        <v>400</v>
      </c>
      <c r="AJ10" s="19">
        <v>400</v>
      </c>
      <c r="AK10" s="19"/>
      <c r="AL10" s="19"/>
      <c r="AM10" s="19"/>
      <c r="AN10" s="19"/>
      <c r="AO10" s="19"/>
      <c r="AP10" s="19">
        <v>200</v>
      </c>
      <c r="AQ10" s="19"/>
      <c r="AR10" s="19">
        <v>200</v>
      </c>
      <c r="AS10" s="19"/>
      <c r="AT10" s="19"/>
      <c r="AU10" s="19"/>
      <c r="AW10" s="21" t="s">
        <v>138</v>
      </c>
      <c r="AX10" s="6">
        <v>200</v>
      </c>
      <c r="AY10" s="39">
        <f>AI10</f>
        <v>400</v>
      </c>
      <c r="AZ10" s="39">
        <v>400</v>
      </c>
      <c r="BA10" s="39">
        <v>400</v>
      </c>
      <c r="BB10" s="39">
        <v>350</v>
      </c>
      <c r="BC10" s="39">
        <v>350</v>
      </c>
      <c r="BD10" s="39">
        <v>150</v>
      </c>
      <c r="BE10" s="26">
        <f ca="1">BC10+IF(NOT(ISBLANK(OFFSET(BE10,0,6))),N(OFFSET(BE10,0,6)),N(OFFSET(BE10,0,7)))-BD10</f>
        <v>200</v>
      </c>
    </row>
    <row r="11" spans="1:57" s="3" customFormat="1" x14ac:dyDescent="0.3">
      <c r="A11" s="22" t="s">
        <v>139</v>
      </c>
      <c r="B11" s="6">
        <v>100</v>
      </c>
      <c r="C11" s="82">
        <v>184.57</v>
      </c>
      <c r="D11" s="234">
        <v>20</v>
      </c>
      <c r="E11" s="11"/>
      <c r="F11" s="39">
        <v>32</v>
      </c>
      <c r="G11" s="39">
        <v>32</v>
      </c>
      <c r="H11" s="39">
        <v>32</v>
      </c>
      <c r="I11" s="39">
        <v>32</v>
      </c>
      <c r="J11" s="39">
        <v>32</v>
      </c>
      <c r="K11" s="39">
        <v>32</v>
      </c>
      <c r="L11" s="39">
        <v>0</v>
      </c>
      <c r="M11" s="39">
        <v>0</v>
      </c>
      <c r="N11" s="39">
        <v>0</v>
      </c>
      <c r="O11" s="39">
        <v>0</v>
      </c>
      <c r="P11" s="39">
        <v>0</v>
      </c>
      <c r="Q11" s="39">
        <v>0</v>
      </c>
      <c r="R11" s="39">
        <v>0</v>
      </c>
      <c r="S11" s="39">
        <v>0</v>
      </c>
      <c r="T11" s="39">
        <v>0</v>
      </c>
      <c r="U11" s="39">
        <v>0</v>
      </c>
      <c r="V11" s="39">
        <v>0</v>
      </c>
      <c r="W11" s="39">
        <v>0</v>
      </c>
      <c r="X11" s="39">
        <v>0</v>
      </c>
      <c r="Y11" s="39">
        <v>0</v>
      </c>
      <c r="Z11" s="39">
        <v>0</v>
      </c>
      <c r="AA11" s="372">
        <f ca="1">Y11+IF(NOT(ISBLANK(OFFSET(AA11,0,6))),N(OFFSET(AA11,0,6)),N(OFFSET(AA11,0,7)))-Z11</f>
        <v>0</v>
      </c>
      <c r="AB11" s="2"/>
      <c r="AC11" s="78"/>
      <c r="AD11" s="2"/>
      <c r="AE11" s="32"/>
      <c r="AF11" s="11"/>
      <c r="AG11" s="19">
        <v>0</v>
      </c>
      <c r="AH11" s="19"/>
      <c r="AI11" s="117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W11" s="22" t="s">
        <v>140</v>
      </c>
      <c r="AX11" s="6">
        <v>100</v>
      </c>
      <c r="AY11" s="39">
        <v>0</v>
      </c>
      <c r="AZ11" s="39">
        <v>50</v>
      </c>
      <c r="BA11" s="39">
        <v>50</v>
      </c>
      <c r="BB11" s="39">
        <v>49</v>
      </c>
      <c r="BC11" s="39">
        <v>49</v>
      </c>
      <c r="BD11" s="39">
        <v>49</v>
      </c>
      <c r="BE11" s="26">
        <f ca="1">BC11+IF(NOT(ISBLANK(OFFSET(BE11,0,6))),N(OFFSET(BE11,0,6)),N(OFFSET(BE11,0,7)))-BD11</f>
        <v>0</v>
      </c>
    </row>
    <row r="12" spans="1:57" s="3" customFormat="1" ht="16.5" customHeight="1" x14ac:dyDescent="0.3">
      <c r="A12" s="23"/>
      <c r="B12" s="1"/>
      <c r="C12" s="64"/>
      <c r="D12" s="235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342"/>
      <c r="AD12" s="2"/>
      <c r="AE12" s="33"/>
      <c r="AF12" s="11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W12" s="23"/>
      <c r="AX12" s="1"/>
      <c r="AY12" s="2"/>
      <c r="AZ12" s="2"/>
      <c r="BA12" s="2"/>
      <c r="BB12" s="2"/>
      <c r="BC12" s="2"/>
      <c r="BD12" s="2"/>
    </row>
    <row r="13" spans="1:57" s="3" customFormat="1" x14ac:dyDescent="0.3">
      <c r="A13" s="24" t="s">
        <v>141</v>
      </c>
      <c r="B13" s="12"/>
      <c r="C13" s="65"/>
      <c r="D13" s="395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35" t="s">
        <v>129</v>
      </c>
      <c r="AB13" s="116"/>
      <c r="AC13" s="29" t="s">
        <v>126</v>
      </c>
      <c r="AD13" s="11"/>
      <c r="AE13" s="9" t="s">
        <v>127</v>
      </c>
      <c r="AF13" s="7"/>
      <c r="AG13" s="363"/>
      <c r="AH13" s="363">
        <v>46114</v>
      </c>
      <c r="AI13" s="409">
        <v>46065</v>
      </c>
      <c r="AJ13" s="363">
        <v>46107</v>
      </c>
      <c r="AK13" s="363">
        <v>46099</v>
      </c>
      <c r="AL13" s="363">
        <v>46092</v>
      </c>
      <c r="AM13" s="363">
        <v>46077</v>
      </c>
      <c r="AN13" s="363">
        <v>46071</v>
      </c>
      <c r="AO13" s="363">
        <v>46048</v>
      </c>
      <c r="AP13" s="363">
        <v>46043</v>
      </c>
      <c r="AQ13" s="363">
        <v>46035</v>
      </c>
      <c r="AR13" s="363">
        <v>46017</v>
      </c>
      <c r="AS13" s="363">
        <v>46007</v>
      </c>
      <c r="AT13" s="363">
        <v>45994</v>
      </c>
      <c r="AU13" s="363">
        <v>45965</v>
      </c>
      <c r="AW13" s="389" t="s">
        <v>141</v>
      </c>
      <c r="AX13" s="376" t="s">
        <v>123</v>
      </c>
      <c r="AY13" s="13">
        <v>46118</v>
      </c>
      <c r="AZ13" s="13">
        <v>46125</v>
      </c>
      <c r="BA13" s="13">
        <v>46132</v>
      </c>
      <c r="BB13" s="13">
        <v>46139</v>
      </c>
      <c r="BC13" s="13">
        <v>46146</v>
      </c>
      <c r="BD13" s="13">
        <v>46154</v>
      </c>
      <c r="BE13" s="35" t="s">
        <v>129</v>
      </c>
    </row>
    <row r="14" spans="1:57" s="3" customFormat="1" x14ac:dyDescent="0.3">
      <c r="A14" s="25" t="s">
        <v>224</v>
      </c>
      <c r="B14" s="6">
        <v>500</v>
      </c>
      <c r="C14" s="66">
        <v>99.26</v>
      </c>
      <c r="D14" s="234">
        <v>1</v>
      </c>
      <c r="E14" s="7"/>
      <c r="F14" s="380">
        <f>2+AS14</f>
        <v>4</v>
      </c>
      <c r="G14" s="380">
        <v>3</v>
      </c>
      <c r="H14" s="380">
        <v>3</v>
      </c>
      <c r="I14" s="380">
        <v>3</v>
      </c>
      <c r="J14" s="380">
        <v>3</v>
      </c>
      <c r="K14" s="380">
        <v>2</v>
      </c>
      <c r="L14" s="380">
        <f>1+AO14</f>
        <v>3</v>
      </c>
      <c r="M14" s="380">
        <v>2</v>
      </c>
      <c r="N14" s="380">
        <v>2</v>
      </c>
      <c r="O14" s="380">
        <v>2</v>
      </c>
      <c r="P14" s="380">
        <v>2</v>
      </c>
      <c r="Q14" s="380">
        <v>1</v>
      </c>
      <c r="R14" s="380">
        <v>0</v>
      </c>
      <c r="S14" s="380">
        <f>0+AK14</f>
        <v>5</v>
      </c>
      <c r="T14" s="380">
        <v>3</v>
      </c>
      <c r="U14" s="380">
        <v>3</v>
      </c>
      <c r="V14" s="380">
        <v>6</v>
      </c>
      <c r="W14" s="380">
        <v>4</v>
      </c>
      <c r="X14" s="380">
        <v>3</v>
      </c>
      <c r="Y14" s="380">
        <v>3</v>
      </c>
      <c r="Z14" s="380">
        <v>2</v>
      </c>
      <c r="AA14" s="372">
        <f ca="1">Y14+IF(NOT(ISBLANK(OFFSET(AA14,0,6))),N(OFFSET(AA14,0,6)),N(OFFSET(AA14,0,7)))-Z14</f>
        <v>1</v>
      </c>
      <c r="AB14" s="2"/>
      <c r="AC14" s="78"/>
      <c r="AD14" s="2"/>
      <c r="AE14" s="32"/>
      <c r="AF14" s="2"/>
      <c r="AG14" s="19">
        <v>0</v>
      </c>
      <c r="AH14" s="19">
        <v>3</v>
      </c>
      <c r="AI14" s="117">
        <v>3</v>
      </c>
      <c r="AJ14" s="19"/>
      <c r="AK14" s="19">
        <v>5</v>
      </c>
      <c r="AL14" s="19"/>
      <c r="AM14" s="19"/>
      <c r="AN14" s="19"/>
      <c r="AO14" s="19">
        <v>2</v>
      </c>
      <c r="AP14" s="19"/>
      <c r="AQ14" s="19"/>
      <c r="AR14" s="19"/>
      <c r="AS14" s="19">
        <v>2</v>
      </c>
      <c r="AT14" s="19"/>
      <c r="AU14" s="19">
        <v>2</v>
      </c>
      <c r="AW14" s="364" t="s">
        <v>143</v>
      </c>
      <c r="AX14" s="135">
        <v>200</v>
      </c>
      <c r="AY14" s="39">
        <f>AI14</f>
        <v>3</v>
      </c>
      <c r="AZ14" s="39">
        <v>3</v>
      </c>
      <c r="BA14" s="39">
        <v>3</v>
      </c>
      <c r="BB14" s="39">
        <v>2</v>
      </c>
      <c r="BC14" s="39">
        <v>2</v>
      </c>
      <c r="BD14" s="39">
        <v>0</v>
      </c>
      <c r="BE14" s="26">
        <f ca="1">BC14+IF(NOT(ISBLANK(OFFSET(BE14,0,6))),N(OFFSET(BE14,0,6)),N(OFFSET(BE14,0,7)))-BD14</f>
        <v>2</v>
      </c>
    </row>
    <row r="15" spans="1:57" s="3" customFormat="1" x14ac:dyDescent="0.3">
      <c r="A15" s="25" t="s">
        <v>225</v>
      </c>
      <c r="B15" s="6">
        <v>2000</v>
      </c>
      <c r="C15" s="66">
        <v>55.36</v>
      </c>
      <c r="D15" s="234">
        <v>1</v>
      </c>
      <c r="E15" s="7"/>
      <c r="F15" s="380">
        <v>4</v>
      </c>
      <c r="G15" s="380">
        <v>4</v>
      </c>
      <c r="H15" s="380">
        <v>4</v>
      </c>
      <c r="I15" s="380">
        <v>4</v>
      </c>
      <c r="J15" s="380">
        <v>4</v>
      </c>
      <c r="K15" s="380">
        <v>4</v>
      </c>
      <c r="L15" s="380">
        <v>4</v>
      </c>
      <c r="M15" s="380">
        <v>4</v>
      </c>
      <c r="N15" s="380">
        <v>4</v>
      </c>
      <c r="O15" s="380">
        <v>4</v>
      </c>
      <c r="P15" s="380">
        <v>4</v>
      </c>
      <c r="Q15" s="380">
        <v>4</v>
      </c>
      <c r="R15" s="380">
        <v>4</v>
      </c>
      <c r="S15" s="380">
        <v>3</v>
      </c>
      <c r="T15" s="380">
        <v>3</v>
      </c>
      <c r="U15" s="380">
        <v>3</v>
      </c>
      <c r="V15" s="380">
        <v>3</v>
      </c>
      <c r="W15" s="380">
        <v>3</v>
      </c>
      <c r="X15" s="380">
        <v>3</v>
      </c>
      <c r="Y15" s="380">
        <v>3</v>
      </c>
      <c r="Z15" s="380">
        <v>2</v>
      </c>
      <c r="AA15" s="372">
        <f ca="1">Y15+IF(NOT(ISBLANK(OFFSET(AA15,0,6))),N(OFFSET(AA15,0,6)),N(OFFSET(AA15,0,7)))-Z15</f>
        <v>1</v>
      </c>
      <c r="AB15" s="2"/>
      <c r="AC15" s="78"/>
      <c r="AD15" s="2"/>
      <c r="AE15" s="32"/>
      <c r="AF15" s="7"/>
      <c r="AG15" s="19">
        <v>0</v>
      </c>
      <c r="AH15" s="19"/>
      <c r="AI15" s="117">
        <v>1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>
        <v>3</v>
      </c>
      <c r="AU15" s="19">
        <v>2</v>
      </c>
      <c r="AW15" s="21" t="s">
        <v>146</v>
      </c>
      <c r="AX15" s="6">
        <v>200</v>
      </c>
      <c r="AY15" s="39">
        <f>AI15</f>
        <v>1</v>
      </c>
      <c r="AZ15" s="39">
        <v>1</v>
      </c>
      <c r="BA15" s="39">
        <v>1</v>
      </c>
      <c r="BB15" s="39">
        <v>0</v>
      </c>
      <c r="BC15" s="39">
        <v>0</v>
      </c>
      <c r="BD15" s="39">
        <v>0</v>
      </c>
      <c r="BE15" s="26">
        <f ca="1">BC15+IF(NOT(ISBLANK(OFFSET(BE15,0,6))),N(OFFSET(BE15,0,6)),N(OFFSET(BE15,0,7)))-BD15</f>
        <v>0</v>
      </c>
    </row>
    <row r="16" spans="1:57" s="3" customFormat="1" x14ac:dyDescent="0.25">
      <c r="A16" s="25" t="s">
        <v>147</v>
      </c>
      <c r="B16" s="6">
        <v>200</v>
      </c>
      <c r="C16" s="66">
        <v>10.28</v>
      </c>
      <c r="D16" s="234">
        <v>2</v>
      </c>
      <c r="E16" s="1"/>
      <c r="F16" s="357">
        <v>4</v>
      </c>
      <c r="G16" s="357">
        <v>3</v>
      </c>
      <c r="H16" s="357">
        <v>3</v>
      </c>
      <c r="I16" s="357">
        <v>3</v>
      </c>
      <c r="J16" s="357">
        <v>3</v>
      </c>
      <c r="K16" s="357">
        <v>3</v>
      </c>
      <c r="L16" s="357">
        <v>2</v>
      </c>
      <c r="M16" s="357">
        <v>1</v>
      </c>
      <c r="N16" s="357">
        <v>0</v>
      </c>
      <c r="O16" s="357">
        <f>0+AN16</f>
        <v>2</v>
      </c>
      <c r="P16" s="357">
        <v>2</v>
      </c>
      <c r="Q16" s="357">
        <v>2</v>
      </c>
      <c r="R16" s="357">
        <v>2</v>
      </c>
      <c r="S16" s="357">
        <v>1</v>
      </c>
      <c r="T16" s="357">
        <f>1+AJ16</f>
        <v>2</v>
      </c>
      <c r="U16" s="357">
        <v>2</v>
      </c>
      <c r="V16" s="357">
        <v>4</v>
      </c>
      <c r="W16" s="357">
        <v>4</v>
      </c>
      <c r="X16" s="357">
        <v>4</v>
      </c>
      <c r="Y16" s="357">
        <v>4</v>
      </c>
      <c r="Z16" s="357">
        <v>2</v>
      </c>
      <c r="AA16" s="372">
        <f ca="1">Y16+IF(NOT(ISBLANK(OFFSET(AA16,0,6))),N(OFFSET(AA16,0,6)),N(OFFSET(AA16,0,7)))-Z16</f>
        <v>2</v>
      </c>
      <c r="AB16" s="2"/>
      <c r="AC16" s="78"/>
      <c r="AD16" s="2"/>
      <c r="AE16" s="32"/>
      <c r="AF16" s="1"/>
      <c r="AG16" s="19">
        <v>0</v>
      </c>
      <c r="AH16" s="19"/>
      <c r="AI16" s="19"/>
      <c r="AJ16" s="19">
        <v>1</v>
      </c>
      <c r="AK16" s="19"/>
      <c r="AL16" s="19"/>
      <c r="AM16" s="19"/>
      <c r="AN16" s="19">
        <v>2</v>
      </c>
      <c r="AO16" s="19"/>
      <c r="AP16" s="19"/>
      <c r="AQ16" s="19"/>
      <c r="AR16" s="19"/>
      <c r="AS16" s="19"/>
      <c r="AT16" s="19">
        <v>3</v>
      </c>
      <c r="AU16" s="19">
        <v>2</v>
      </c>
    </row>
    <row r="17" spans="1:57" s="3" customFormat="1" x14ac:dyDescent="0.25">
      <c r="A17" s="25" t="s">
        <v>148</v>
      </c>
      <c r="B17" s="6">
        <v>3000</v>
      </c>
      <c r="C17" s="66">
        <v>71.8</v>
      </c>
      <c r="D17" s="234">
        <v>1</v>
      </c>
      <c r="E17" s="1"/>
      <c r="F17" s="380">
        <v>2</v>
      </c>
      <c r="G17" s="380">
        <v>1</v>
      </c>
      <c r="H17" s="380">
        <f>1+AR17</f>
        <v>2</v>
      </c>
      <c r="I17" s="380">
        <v>1</v>
      </c>
      <c r="J17" s="380">
        <v>3</v>
      </c>
      <c r="K17" s="380">
        <v>4</v>
      </c>
      <c r="L17" s="380">
        <v>4</v>
      </c>
      <c r="M17" s="380">
        <v>4</v>
      </c>
      <c r="N17" s="380">
        <v>4</v>
      </c>
      <c r="O17" s="380">
        <v>4</v>
      </c>
      <c r="P17" s="380">
        <v>4</v>
      </c>
      <c r="Q17" s="380">
        <v>4</v>
      </c>
      <c r="R17" s="380">
        <v>4</v>
      </c>
      <c r="S17" s="380">
        <v>3</v>
      </c>
      <c r="T17" s="380">
        <v>1</v>
      </c>
      <c r="U17" s="380">
        <v>1</v>
      </c>
      <c r="V17" s="380">
        <v>2</v>
      </c>
      <c r="W17" s="380">
        <v>2</v>
      </c>
      <c r="X17" s="380">
        <v>2</v>
      </c>
      <c r="Y17" s="380">
        <v>2</v>
      </c>
      <c r="Z17" s="380">
        <v>2</v>
      </c>
      <c r="AA17" s="372">
        <f ca="1">Y17+IF(NOT(ISBLANK(OFFSET(AA17,0,6))),N(OFFSET(AA17,0,6)),N(OFFSET(AA17,0,7)))-Z17</f>
        <v>0</v>
      </c>
      <c r="AB17" s="2"/>
      <c r="AC17" s="78"/>
      <c r="AD17" s="2"/>
      <c r="AE17" s="32"/>
      <c r="AF17" s="1"/>
      <c r="AG17" s="19">
        <v>0</v>
      </c>
      <c r="AH17" s="19">
        <v>1</v>
      </c>
      <c r="AI17" s="19"/>
      <c r="AJ17" s="19"/>
      <c r="AK17" s="19"/>
      <c r="AL17" s="19"/>
      <c r="AM17" s="19"/>
      <c r="AN17" s="19"/>
      <c r="AO17" s="19"/>
      <c r="AP17" s="19"/>
      <c r="AQ17" s="19">
        <v>2</v>
      </c>
      <c r="AR17" s="19">
        <v>1</v>
      </c>
      <c r="AS17" s="19"/>
      <c r="AT17" s="19">
        <v>1</v>
      </c>
      <c r="AU17" s="19">
        <v>1</v>
      </c>
    </row>
    <row r="18" spans="1:57" s="3" customFormat="1" ht="14.25" customHeight="1" x14ac:dyDescent="0.25">
      <c r="A18" s="23"/>
      <c r="C18" s="67"/>
      <c r="D18" s="235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390"/>
      <c r="AE18" s="344"/>
      <c r="AF18" s="16"/>
      <c r="AG18" s="388"/>
      <c r="AH18" s="388"/>
      <c r="AI18" s="388"/>
      <c r="AJ18" s="388"/>
      <c r="AK18" s="388"/>
      <c r="AL18" s="388"/>
      <c r="AM18" s="388"/>
      <c r="AN18" s="388"/>
      <c r="AO18" s="388"/>
      <c r="AP18" s="388"/>
      <c r="AQ18" s="388"/>
      <c r="AR18" s="388"/>
      <c r="AS18" s="388"/>
      <c r="AT18" s="388"/>
      <c r="AU18" s="388"/>
    </row>
    <row r="19" spans="1:57" s="3" customFormat="1" x14ac:dyDescent="0.3">
      <c r="A19" s="24" t="s">
        <v>150</v>
      </c>
      <c r="B19" s="12"/>
      <c r="C19" s="61"/>
      <c r="D19" s="395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35" t="s">
        <v>129</v>
      </c>
      <c r="AB19" s="116"/>
      <c r="AC19" s="29" t="s">
        <v>126</v>
      </c>
      <c r="AD19" s="11"/>
      <c r="AE19" s="9" t="s">
        <v>127</v>
      </c>
      <c r="AF19" s="1"/>
      <c r="AG19" s="363"/>
      <c r="AH19" s="363">
        <v>46114</v>
      </c>
      <c r="AI19" s="409">
        <v>46065</v>
      </c>
      <c r="AJ19" s="363">
        <v>46107</v>
      </c>
      <c r="AK19" s="363">
        <v>46099</v>
      </c>
      <c r="AL19" s="363">
        <v>46092</v>
      </c>
      <c r="AM19" s="363">
        <v>46077</v>
      </c>
      <c r="AN19" s="363">
        <v>46071</v>
      </c>
      <c r="AO19" s="363">
        <v>46048</v>
      </c>
      <c r="AP19" s="363">
        <v>46043</v>
      </c>
      <c r="AQ19" s="363">
        <v>46035</v>
      </c>
      <c r="AR19" s="363">
        <v>46017</v>
      </c>
      <c r="AS19" s="363">
        <v>46007</v>
      </c>
      <c r="AT19" s="363">
        <v>45994</v>
      </c>
      <c r="AU19" s="363">
        <v>45965</v>
      </c>
      <c r="AW19" s="389" t="s">
        <v>150</v>
      </c>
      <c r="AX19" s="376" t="s">
        <v>123</v>
      </c>
      <c r="AY19" s="13">
        <v>46118</v>
      </c>
      <c r="AZ19" s="13">
        <v>46125</v>
      </c>
      <c r="BA19" s="13">
        <v>46132</v>
      </c>
      <c r="BB19" s="13">
        <v>46139</v>
      </c>
      <c r="BC19" s="13">
        <v>46146</v>
      </c>
      <c r="BD19" s="13">
        <v>46154</v>
      </c>
      <c r="BE19" s="35" t="s">
        <v>129</v>
      </c>
    </row>
    <row r="20" spans="1:57" s="3" customFormat="1" x14ac:dyDescent="0.25">
      <c r="A20" s="25" t="s">
        <v>153</v>
      </c>
      <c r="B20" s="6">
        <v>150</v>
      </c>
      <c r="C20" s="82">
        <v>334.31</v>
      </c>
      <c r="D20" s="234">
        <v>70</v>
      </c>
      <c r="E20" s="1"/>
      <c r="F20" s="27">
        <v>31</v>
      </c>
      <c r="G20" s="27">
        <v>25</v>
      </c>
      <c r="H20" s="27">
        <v>14</v>
      </c>
      <c r="I20" s="27">
        <v>12</v>
      </c>
      <c r="J20" s="27">
        <v>5</v>
      </c>
      <c r="K20" s="27">
        <f>0+AP20</f>
        <v>150</v>
      </c>
      <c r="L20" s="27">
        <v>143</v>
      </c>
      <c r="M20" s="27">
        <v>129</v>
      </c>
      <c r="N20" s="27">
        <v>117</v>
      </c>
      <c r="O20" s="27">
        <v>102</v>
      </c>
      <c r="P20" s="27">
        <v>87</v>
      </c>
      <c r="Q20" s="27">
        <v>72</v>
      </c>
      <c r="R20" s="27">
        <f>46+AL20</f>
        <v>196</v>
      </c>
      <c r="S20" s="27">
        <v>185</v>
      </c>
      <c r="T20" s="27">
        <v>175</v>
      </c>
      <c r="U20" s="27"/>
      <c r="V20" s="27"/>
      <c r="W20" s="27"/>
      <c r="X20" s="27">
        <v>152</v>
      </c>
      <c r="Y20" s="27">
        <v>147</v>
      </c>
      <c r="Z20" s="27">
        <v>111</v>
      </c>
      <c r="AA20" s="372">
        <f ca="1">Y20+IF(NOT(ISBLANK(OFFSET(AA20,0,6))),N(OFFSET(AA20,0,6)),N(OFFSET(AA20,0,7)))-Z20</f>
        <v>36</v>
      </c>
      <c r="AB20" s="2"/>
      <c r="AC20" s="78"/>
      <c r="AD20" s="2"/>
      <c r="AE20" s="32"/>
      <c r="AF20" s="1"/>
      <c r="AG20" s="19">
        <v>0</v>
      </c>
      <c r="AH20" s="19"/>
      <c r="AI20" s="117"/>
      <c r="AJ20" s="19"/>
      <c r="AK20" s="19"/>
      <c r="AL20" s="19">
        <v>150</v>
      </c>
      <c r="AM20" s="19"/>
      <c r="AN20" s="19"/>
      <c r="AO20" s="19"/>
      <c r="AP20" s="19">
        <v>150</v>
      </c>
      <c r="AQ20" s="19"/>
      <c r="AR20" s="19"/>
      <c r="AS20" s="19"/>
      <c r="AT20" s="19"/>
      <c r="AU20" s="19"/>
      <c r="AW20" s="364" t="s">
        <v>154</v>
      </c>
      <c r="AX20" s="135">
        <v>150</v>
      </c>
      <c r="AY20" s="39">
        <v>0</v>
      </c>
      <c r="AZ20" s="39"/>
      <c r="BA20" s="39"/>
      <c r="BB20" s="39">
        <v>1</v>
      </c>
      <c r="BC20" s="39">
        <v>1</v>
      </c>
      <c r="BD20" s="39">
        <v>0</v>
      </c>
      <c r="BE20" s="26">
        <f ca="1">BC20+IF(NOT(ISBLANK(OFFSET(BE20,0,6))),N(OFFSET(BE20,0,6)),N(OFFSET(BE20,0,7)))-BD20</f>
        <v>1</v>
      </c>
    </row>
    <row r="21" spans="1:57" s="3" customFormat="1" x14ac:dyDescent="0.25">
      <c r="A21" s="25" t="s">
        <v>155</v>
      </c>
      <c r="B21" s="6">
        <v>100</v>
      </c>
      <c r="C21" s="81">
        <v>292.25</v>
      </c>
      <c r="D21" s="236">
        <v>70</v>
      </c>
      <c r="E21" s="1"/>
      <c r="F21" s="27">
        <v>26</v>
      </c>
      <c r="G21" s="27">
        <v>21</v>
      </c>
      <c r="H21" s="27">
        <v>20</v>
      </c>
      <c r="I21" s="27">
        <v>15</v>
      </c>
      <c r="J21" s="27">
        <v>10</v>
      </c>
      <c r="K21" s="27">
        <f>2+AP21</f>
        <v>102</v>
      </c>
      <c r="L21" s="27">
        <v>105</v>
      </c>
      <c r="M21" s="290">
        <v>50</v>
      </c>
      <c r="N21" s="27">
        <v>42</v>
      </c>
      <c r="O21" s="27">
        <v>29</v>
      </c>
      <c r="P21" s="27">
        <f>19+AM21</f>
        <v>119</v>
      </c>
      <c r="Q21" s="27">
        <v>99</v>
      </c>
      <c r="R21" s="27">
        <v>88</v>
      </c>
      <c r="S21" s="27">
        <v>75</v>
      </c>
      <c r="T21" s="27">
        <v>67</v>
      </c>
      <c r="U21" s="27"/>
      <c r="V21" s="27"/>
      <c r="W21" s="27"/>
      <c r="X21" s="27">
        <v>40</v>
      </c>
      <c r="Y21" s="27">
        <v>38</v>
      </c>
      <c r="Z21" s="27">
        <v>41</v>
      </c>
      <c r="AA21" s="372">
        <f ca="1">Y21+IF(NOT(ISBLANK(OFFSET(AA21,0,6))),N(OFFSET(AA21,0,6)),N(OFFSET(AA21,0,7)))-Z21</f>
        <v>-3</v>
      </c>
      <c r="AB21" s="2"/>
      <c r="AC21" s="78"/>
      <c r="AD21" s="2"/>
      <c r="AE21" s="32"/>
      <c r="AF21" s="1"/>
      <c r="AG21" s="19">
        <v>0</v>
      </c>
      <c r="AH21" s="19"/>
      <c r="AI21" s="117"/>
      <c r="AJ21" s="19"/>
      <c r="AK21" s="19"/>
      <c r="AL21" s="19"/>
      <c r="AM21" s="19">
        <v>100</v>
      </c>
      <c r="AN21" s="19"/>
      <c r="AO21" s="19"/>
      <c r="AP21" s="19">
        <v>100</v>
      </c>
      <c r="AQ21" s="19"/>
      <c r="AR21" s="19"/>
      <c r="AS21" s="19"/>
      <c r="AT21" s="19"/>
      <c r="AU21" s="19"/>
      <c r="AW21" s="21" t="s">
        <v>156</v>
      </c>
      <c r="AX21" s="6">
        <v>100</v>
      </c>
      <c r="AY21" s="39">
        <v>0</v>
      </c>
      <c r="AZ21" s="39"/>
      <c r="BA21" s="39"/>
      <c r="BB21" s="39">
        <v>9</v>
      </c>
      <c r="BC21" s="39">
        <v>3</v>
      </c>
      <c r="BD21" s="39">
        <v>2</v>
      </c>
      <c r="BE21" s="26">
        <f ca="1">BC21+IF(NOT(ISBLANK(OFFSET(BE21,0,6))),N(OFFSET(BE21,0,6)),N(OFFSET(BE21,0,7)))-BD21</f>
        <v>1</v>
      </c>
    </row>
    <row r="22" spans="1:57" s="3" customFormat="1" x14ac:dyDescent="0.3">
      <c r="A22" s="25" t="s">
        <v>157</v>
      </c>
      <c r="B22" s="6">
        <v>75</v>
      </c>
      <c r="C22" s="66">
        <v>425.38</v>
      </c>
      <c r="D22" s="234">
        <v>15</v>
      </c>
      <c r="E22" s="7"/>
      <c r="F22" s="27">
        <v>12</v>
      </c>
      <c r="G22" s="27">
        <v>12</v>
      </c>
      <c r="H22" s="27">
        <v>12</v>
      </c>
      <c r="I22" s="27">
        <v>12</v>
      </c>
      <c r="J22" s="27">
        <v>12</v>
      </c>
      <c r="K22" s="27">
        <v>12</v>
      </c>
      <c r="L22" s="27">
        <v>12</v>
      </c>
      <c r="M22" s="27">
        <v>12</v>
      </c>
      <c r="N22" s="27">
        <v>12</v>
      </c>
      <c r="O22" s="27">
        <v>12</v>
      </c>
      <c r="P22" s="27">
        <v>12</v>
      </c>
      <c r="Q22" s="27">
        <v>12</v>
      </c>
      <c r="R22" s="27">
        <v>12</v>
      </c>
      <c r="S22" s="27">
        <v>12</v>
      </c>
      <c r="T22" s="27">
        <v>12</v>
      </c>
      <c r="U22" s="27">
        <v>12</v>
      </c>
      <c r="V22" s="27">
        <v>12</v>
      </c>
      <c r="W22" s="27">
        <v>12</v>
      </c>
      <c r="X22" s="27">
        <v>12</v>
      </c>
      <c r="Y22" s="27">
        <v>10</v>
      </c>
      <c r="Z22" s="27">
        <v>12</v>
      </c>
      <c r="AA22" s="372">
        <f ca="1">Y22+IF(NOT(ISBLANK(OFFSET(AA22,0,6))),N(OFFSET(AA22,0,6)),N(OFFSET(AA22,0,7)))-Z22</f>
        <v>-2</v>
      </c>
      <c r="AB22" s="2"/>
      <c r="AC22" s="78"/>
      <c r="AD22" s="2"/>
      <c r="AE22" s="32"/>
      <c r="AF22" s="7"/>
      <c r="AG22" s="19">
        <v>0</v>
      </c>
      <c r="AH22" s="19"/>
      <c r="AI22" s="117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W22" s="22" t="s">
        <v>158</v>
      </c>
      <c r="AX22" s="6">
        <v>200</v>
      </c>
      <c r="AY22" s="39">
        <v>0</v>
      </c>
      <c r="AZ22" s="39"/>
      <c r="BA22" s="39"/>
      <c r="BB22" s="39">
        <v>20</v>
      </c>
      <c r="BC22" s="39">
        <v>20</v>
      </c>
      <c r="BD22" s="39">
        <v>2</v>
      </c>
      <c r="BE22" s="26">
        <f ca="1">BC22+IF(NOT(ISBLANK(OFFSET(BE22,0,6))),N(OFFSET(BE22,0,6)),N(OFFSET(BE22,0,7)))-BD22</f>
        <v>18</v>
      </c>
    </row>
    <row r="23" spans="1:57" x14ac:dyDescent="0.3">
      <c r="A23" s="25" t="s">
        <v>159</v>
      </c>
      <c r="B23" s="6">
        <v>150</v>
      </c>
      <c r="C23" s="66">
        <v>427.5</v>
      </c>
      <c r="D23" s="234">
        <v>150</v>
      </c>
      <c r="R23" s="6">
        <v>0</v>
      </c>
      <c r="S23" s="6">
        <v>0</v>
      </c>
      <c r="T23" s="6">
        <v>0</v>
      </c>
      <c r="U23" s="6">
        <v>0</v>
      </c>
      <c r="V23" s="6">
        <v>0</v>
      </c>
      <c r="W23" s="6">
        <v>0</v>
      </c>
      <c r="X23" s="6">
        <v>0</v>
      </c>
      <c r="Y23" s="6">
        <v>0</v>
      </c>
      <c r="Z23" s="373">
        <v>2</v>
      </c>
      <c r="AA23" s="372">
        <f ca="1">Y23+IF(NOT(ISBLANK(OFFSET(AA23,0,6))),N(OFFSET(AA23,0,6)),N(OFFSET(AA23,0,7)))-Z23</f>
        <v>-2</v>
      </c>
      <c r="AC23" s="347"/>
      <c r="AT23" s="11"/>
      <c r="AU23" s="11"/>
      <c r="AW23" s="22" t="s">
        <v>160</v>
      </c>
      <c r="AX23" s="6">
        <v>150</v>
      </c>
      <c r="AY23" s="39">
        <v>0</v>
      </c>
      <c r="AZ23" s="39"/>
      <c r="BA23" s="39"/>
      <c r="BB23" s="39">
        <v>50</v>
      </c>
      <c r="BC23" s="39">
        <v>47</v>
      </c>
      <c r="BD23" s="39">
        <v>1</v>
      </c>
      <c r="BE23" s="26">
        <f ca="1">BC23+IF(NOT(ISBLANK(OFFSET(BE23,0,6))),N(OFFSET(BE23,0,6)),N(OFFSET(BE23,0,7)))-BD23</f>
        <v>46</v>
      </c>
    </row>
    <row r="24" spans="1:57" x14ac:dyDescent="0.3">
      <c r="AC24" s="347"/>
      <c r="AT24" s="11"/>
      <c r="AU24" s="11"/>
      <c r="AW24" s="23"/>
      <c r="AX24" s="1"/>
      <c r="AY24" s="2"/>
      <c r="AZ24" s="2"/>
      <c r="BA24" s="2"/>
      <c r="BB24" s="2"/>
      <c r="BC24" s="2"/>
    </row>
    <row r="25" spans="1:57" x14ac:dyDescent="0.3">
      <c r="A25" s="378" t="s">
        <v>161</v>
      </c>
      <c r="B25" s="379" t="s">
        <v>123</v>
      </c>
      <c r="C25" s="379" t="s">
        <v>124</v>
      </c>
      <c r="D25" s="379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35" t="s">
        <v>129</v>
      </c>
      <c r="AC25" s="347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</row>
    <row r="26" spans="1:57" x14ac:dyDescent="0.3">
      <c r="A26" s="384" t="s">
        <v>162</v>
      </c>
      <c r="B26" s="385">
        <v>100</v>
      </c>
      <c r="C26" s="199">
        <v>790</v>
      </c>
      <c r="D26" s="396"/>
      <c r="F26" s="39">
        <v>10</v>
      </c>
      <c r="G26" s="39">
        <v>10</v>
      </c>
      <c r="H26" s="39">
        <v>10</v>
      </c>
      <c r="I26" s="39">
        <v>19</v>
      </c>
      <c r="J26" s="39">
        <v>10</v>
      </c>
      <c r="K26" s="39">
        <v>10</v>
      </c>
      <c r="L26" s="39">
        <v>19</v>
      </c>
      <c r="M26" s="39">
        <v>19</v>
      </c>
      <c r="N26" s="39">
        <v>19</v>
      </c>
      <c r="O26" s="39">
        <v>19</v>
      </c>
      <c r="P26" s="39">
        <v>19</v>
      </c>
      <c r="Q26" s="39">
        <v>19</v>
      </c>
      <c r="R26" s="39">
        <v>19</v>
      </c>
      <c r="S26" s="39">
        <v>19</v>
      </c>
      <c r="T26" s="39">
        <v>19</v>
      </c>
      <c r="U26" s="39">
        <v>19</v>
      </c>
      <c r="V26" s="39">
        <v>19</v>
      </c>
      <c r="W26" s="39">
        <v>19</v>
      </c>
      <c r="X26" s="39">
        <v>19</v>
      </c>
      <c r="Y26" s="39">
        <v>19</v>
      </c>
      <c r="Z26" s="39">
        <v>18</v>
      </c>
      <c r="AA26" s="372">
        <f t="shared" ref="AA26:AA33" ca="1" si="0">Y26+IF(NOT(ISBLANK(OFFSET(AA26,0,6))),N(OFFSET(AA26,0,6)),N(OFFSET(AA26,0,7)))-Z26</f>
        <v>1</v>
      </c>
      <c r="AC26" s="347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</row>
    <row r="27" spans="1:57" ht="18.75" hidden="1" customHeight="1" x14ac:dyDescent="0.3">
      <c r="A27" s="386" t="s">
        <v>163</v>
      </c>
      <c r="B27" s="159">
        <v>100</v>
      </c>
      <c r="C27" s="200">
        <v>295</v>
      </c>
      <c r="D27" s="396"/>
      <c r="F27" s="39">
        <v>4</v>
      </c>
      <c r="G27" s="39">
        <v>4</v>
      </c>
      <c r="H27" s="39">
        <v>4</v>
      </c>
      <c r="I27" s="39">
        <v>4</v>
      </c>
      <c r="J27" s="39">
        <v>0</v>
      </c>
      <c r="K27" s="39">
        <v>0</v>
      </c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72">
        <f t="shared" ca="1" si="0"/>
        <v>0</v>
      </c>
      <c r="AC27" s="347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</row>
    <row r="28" spans="1:57" hidden="1" x14ac:dyDescent="0.3">
      <c r="A28" s="25" t="s">
        <v>169</v>
      </c>
      <c r="B28" s="6">
        <v>150</v>
      </c>
      <c r="C28" s="77">
        <v>805.35</v>
      </c>
      <c r="D28" s="396"/>
      <c r="F28" s="6">
        <v>36</v>
      </c>
      <c r="G28" s="6">
        <v>11</v>
      </c>
      <c r="H28" s="6">
        <v>9</v>
      </c>
      <c r="I28" s="6">
        <v>7</v>
      </c>
      <c r="J28" s="6">
        <v>0</v>
      </c>
      <c r="K28" s="6">
        <v>0</v>
      </c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372">
        <f t="shared" ca="1" si="0"/>
        <v>0</v>
      </c>
      <c r="AC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</row>
    <row r="29" spans="1:57" hidden="1" x14ac:dyDescent="0.3">
      <c r="A29" s="25" t="s">
        <v>170</v>
      </c>
      <c r="B29" s="6">
        <v>100</v>
      </c>
      <c r="C29" s="77">
        <v>792.2</v>
      </c>
      <c r="D29" s="396"/>
      <c r="F29" s="6">
        <v>42</v>
      </c>
      <c r="G29" s="6">
        <v>22</v>
      </c>
      <c r="H29" s="6">
        <v>18</v>
      </c>
      <c r="I29" s="6">
        <v>12</v>
      </c>
      <c r="J29" s="6">
        <v>7</v>
      </c>
      <c r="K29" s="6">
        <v>7</v>
      </c>
      <c r="L29" s="6">
        <v>5</v>
      </c>
      <c r="M29" s="6">
        <v>5</v>
      </c>
      <c r="N29" s="6">
        <v>5</v>
      </c>
      <c r="O29" s="6">
        <v>0</v>
      </c>
      <c r="P29" s="6">
        <v>0</v>
      </c>
      <c r="Q29" s="6">
        <v>0</v>
      </c>
      <c r="R29" s="6">
        <v>0</v>
      </c>
      <c r="S29" s="6">
        <v>0</v>
      </c>
      <c r="T29" s="6"/>
      <c r="U29" s="6"/>
      <c r="V29" s="6"/>
      <c r="W29" s="6"/>
      <c r="X29" s="6"/>
      <c r="Y29" s="6"/>
      <c r="Z29" s="6"/>
      <c r="AA29" s="372">
        <f t="shared" ca="1" si="0"/>
        <v>0</v>
      </c>
      <c r="AC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</row>
    <row r="30" spans="1:57" hidden="1" x14ac:dyDescent="0.3">
      <c r="A30" s="25" t="s">
        <v>171</v>
      </c>
      <c r="B30" s="6">
        <v>200</v>
      </c>
      <c r="C30" s="77">
        <v>487.2</v>
      </c>
      <c r="D30" s="396"/>
      <c r="F30" s="6">
        <v>64</v>
      </c>
      <c r="G30" s="6">
        <v>5</v>
      </c>
      <c r="H30" s="6">
        <v>5</v>
      </c>
      <c r="I30" s="6">
        <v>5</v>
      </c>
      <c r="J30" s="6">
        <v>0</v>
      </c>
      <c r="K30" s="6">
        <v>0</v>
      </c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372">
        <f t="shared" ca="1" si="0"/>
        <v>0</v>
      </c>
      <c r="AC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</row>
    <row r="31" spans="1:57" hidden="1" x14ac:dyDescent="0.3">
      <c r="A31" s="25" t="s">
        <v>172</v>
      </c>
      <c r="B31" s="6">
        <v>150</v>
      </c>
      <c r="C31" s="77">
        <v>460.35</v>
      </c>
      <c r="D31" s="396"/>
      <c r="F31" s="6">
        <v>110</v>
      </c>
      <c r="G31" s="6">
        <v>6</v>
      </c>
      <c r="H31" s="6">
        <v>5</v>
      </c>
      <c r="I31" s="6">
        <v>5</v>
      </c>
      <c r="J31" s="6">
        <v>0</v>
      </c>
      <c r="K31" s="6">
        <v>0</v>
      </c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372">
        <f t="shared" ca="1" si="0"/>
        <v>0</v>
      </c>
      <c r="AC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</row>
    <row r="32" spans="1:57" hidden="1" x14ac:dyDescent="0.3">
      <c r="A32" s="25" t="s">
        <v>173</v>
      </c>
      <c r="B32" s="6">
        <v>10</v>
      </c>
      <c r="C32" s="77">
        <v>120</v>
      </c>
      <c r="D32" s="396"/>
      <c r="F32" s="39">
        <v>5</v>
      </c>
      <c r="G32" s="39">
        <v>5</v>
      </c>
      <c r="H32" s="39">
        <v>5</v>
      </c>
      <c r="I32" s="39">
        <v>5</v>
      </c>
      <c r="J32" s="39">
        <v>5</v>
      </c>
      <c r="K32" s="39">
        <v>5</v>
      </c>
      <c r="L32" s="39">
        <v>5</v>
      </c>
      <c r="M32" s="39">
        <v>5</v>
      </c>
      <c r="N32" s="39">
        <v>5</v>
      </c>
      <c r="O32" s="39">
        <v>0</v>
      </c>
      <c r="P32" s="39">
        <v>0</v>
      </c>
      <c r="Q32" s="39">
        <v>0</v>
      </c>
      <c r="R32" s="39">
        <v>0</v>
      </c>
      <c r="S32" s="39">
        <v>0</v>
      </c>
      <c r="T32" s="39"/>
      <c r="U32" s="39"/>
      <c r="V32" s="39"/>
      <c r="W32" s="39"/>
      <c r="X32" s="39"/>
      <c r="Y32" s="39"/>
      <c r="AA32" s="372">
        <f t="shared" ca="1" si="0"/>
        <v>0</v>
      </c>
      <c r="AC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</row>
    <row r="33" spans="1:167" x14ac:dyDescent="0.3">
      <c r="A33" s="283" t="s">
        <v>168</v>
      </c>
      <c r="B33" s="284">
        <v>100</v>
      </c>
      <c r="C33" s="285">
        <v>1490</v>
      </c>
      <c r="D33" s="396"/>
      <c r="R33" s="6">
        <v>5</v>
      </c>
      <c r="S33" s="6">
        <v>5</v>
      </c>
      <c r="T33" s="6">
        <v>5</v>
      </c>
      <c r="U33" s="6">
        <v>5</v>
      </c>
      <c r="V33" s="6">
        <v>5</v>
      </c>
      <c r="W33" s="6">
        <v>5</v>
      </c>
      <c r="X33" s="6">
        <v>5</v>
      </c>
      <c r="Y33" s="6">
        <v>5</v>
      </c>
      <c r="Z33" s="6">
        <v>5</v>
      </c>
      <c r="AA33" s="372">
        <f t="shared" ca="1" si="0"/>
        <v>0</v>
      </c>
      <c r="AC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</row>
    <row r="34" spans="1:167" x14ac:dyDescent="0.3">
      <c r="AC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</row>
    <row r="35" spans="1:167" ht="22.5" customHeight="1" x14ac:dyDescent="0.3">
      <c r="A35" s="394" t="s">
        <v>174</v>
      </c>
      <c r="B35" s="394"/>
      <c r="C35" s="394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</row>
    <row r="36" spans="1:167" x14ac:dyDescent="0.3">
      <c r="A36" s="361" t="s">
        <v>175</v>
      </c>
      <c r="B36" s="361" t="s">
        <v>246</v>
      </c>
      <c r="C36" s="361" t="s">
        <v>176</v>
      </c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</row>
    <row r="37" spans="1:167" s="34" customFormat="1" x14ac:dyDescent="0.3">
      <c r="A37" s="152"/>
      <c r="B37" s="370"/>
      <c r="C37" s="357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11"/>
      <c r="AA37" s="41"/>
      <c r="AB37" s="41"/>
      <c r="AC37" s="41"/>
      <c r="AD37" s="41"/>
      <c r="AE37" s="41"/>
      <c r="AF37" s="4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41"/>
      <c r="AW37" s="11"/>
      <c r="AX37" s="11"/>
      <c r="AY37" s="11"/>
      <c r="AZ37" s="11"/>
      <c r="BA37" s="11"/>
      <c r="BB37" s="11"/>
      <c r="BC37" s="11"/>
      <c r="BD37" s="11"/>
      <c r="BE37" s="11"/>
      <c r="DD37" s="41"/>
      <c r="DH37" s="41"/>
      <c r="DI37" s="71"/>
      <c r="DJ37" s="71"/>
      <c r="DK37" s="71"/>
      <c r="DL37" s="71"/>
      <c r="DN37" s="71"/>
      <c r="DQ37" s="71"/>
      <c r="DR37" s="71"/>
      <c r="DS37" s="71"/>
      <c r="DT37" s="366"/>
      <c r="DU37" s="365"/>
      <c r="DV37" s="71"/>
      <c r="DW37" s="71"/>
      <c r="DX37" s="71"/>
      <c r="DY37" s="71"/>
      <c r="DZ37" s="71"/>
      <c r="EA37" s="366"/>
      <c r="EB37" s="71"/>
      <c r="EC37" s="366"/>
      <c r="ED37" s="71"/>
      <c r="EE37" s="71"/>
      <c r="EF37" s="71"/>
      <c r="EG37" s="71"/>
      <c r="EH37" s="71"/>
      <c r="EI37" s="71"/>
      <c r="EJ37" s="71"/>
      <c r="EK37" s="71"/>
      <c r="EL37" s="71"/>
      <c r="EM37" s="71"/>
      <c r="EN37" s="71"/>
      <c r="EO37" s="71"/>
      <c r="EP37" s="71"/>
      <c r="EQ37" s="71"/>
      <c r="ER37" s="71"/>
      <c r="ES37" s="71"/>
      <c r="ET37" s="71"/>
      <c r="EU37" s="71"/>
      <c r="EV37" s="71"/>
      <c r="EW37" s="71"/>
      <c r="EX37" s="71"/>
      <c r="EY37" s="71"/>
      <c r="EZ37" s="71"/>
      <c r="FA37" s="71"/>
      <c r="FC37" s="71"/>
      <c r="FD37" s="71"/>
      <c r="FF37" s="71"/>
      <c r="FH37" s="71"/>
      <c r="FJ37" s="71"/>
      <c r="FK37" s="71"/>
    </row>
    <row r="38" spans="1:167" s="34" customFormat="1" x14ac:dyDescent="0.3">
      <c r="A38" s="152"/>
      <c r="B38" s="370"/>
      <c r="C38" s="357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41"/>
      <c r="AW38" s="11"/>
      <c r="AX38" s="11"/>
      <c r="AY38" s="11"/>
      <c r="AZ38" s="11"/>
      <c r="BA38" s="11"/>
      <c r="BB38" s="11"/>
      <c r="BC38" s="11"/>
      <c r="BD38" s="11"/>
      <c r="BE38" s="11"/>
      <c r="DD38" s="41"/>
      <c r="DH38" s="41"/>
      <c r="DI38" s="71"/>
      <c r="DJ38" s="71"/>
      <c r="DK38" s="71"/>
      <c r="DL38" s="71"/>
      <c r="DN38" s="71"/>
      <c r="DQ38" s="71"/>
      <c r="DR38" s="71"/>
      <c r="DS38" s="71"/>
      <c r="DT38" s="366"/>
      <c r="DU38" s="365"/>
      <c r="DV38" s="71"/>
      <c r="DW38" s="71"/>
      <c r="DX38" s="71"/>
      <c r="DY38" s="71"/>
      <c r="DZ38" s="71"/>
      <c r="EA38" s="366"/>
      <c r="EB38" s="71"/>
      <c r="EC38" s="366"/>
      <c r="ED38" s="71"/>
      <c r="EE38" s="71"/>
      <c r="EF38" s="71"/>
      <c r="EG38" s="71"/>
      <c r="EH38" s="71"/>
      <c r="EI38" s="71"/>
      <c r="EJ38" s="71"/>
      <c r="EK38" s="71"/>
      <c r="EL38" s="71"/>
      <c r="EM38" s="71"/>
      <c r="EN38" s="71"/>
      <c r="EO38" s="71"/>
      <c r="EP38" s="71"/>
      <c r="EQ38" s="71"/>
      <c r="ER38" s="71"/>
      <c r="ES38" s="71"/>
      <c r="ET38" s="71"/>
      <c r="EU38" s="71"/>
      <c r="EV38" s="71"/>
      <c r="EW38" s="71"/>
      <c r="EX38" s="71"/>
      <c r="EY38" s="71"/>
      <c r="EZ38" s="71"/>
      <c r="FA38" s="71"/>
      <c r="FC38" s="71"/>
      <c r="FD38" s="71"/>
      <c r="FF38" s="71"/>
      <c r="FH38" s="71"/>
      <c r="FJ38" s="71"/>
      <c r="FK38" s="71"/>
    </row>
    <row r="39" spans="1:167" s="34" customFormat="1" x14ac:dyDescent="0.3">
      <c r="A39" s="237"/>
      <c r="B39" s="237"/>
      <c r="C39" s="237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401"/>
      <c r="AT39" s="401"/>
      <c r="AU39" s="401"/>
      <c r="AV39" s="41"/>
      <c r="AW39" s="11"/>
      <c r="AX39" s="11"/>
      <c r="AY39" s="11"/>
      <c r="AZ39" s="11"/>
      <c r="BA39" s="11"/>
      <c r="BB39" s="11"/>
      <c r="BC39" s="11"/>
      <c r="BD39" s="11"/>
      <c r="BE39" s="11"/>
      <c r="DD39" s="41"/>
      <c r="DH39" s="41"/>
      <c r="DI39" s="71"/>
      <c r="DJ39" s="71"/>
      <c r="DK39" s="71"/>
      <c r="DL39" s="71"/>
      <c r="DN39" s="71"/>
      <c r="DQ39" s="71"/>
      <c r="DR39" s="71"/>
      <c r="DS39" s="71"/>
      <c r="DT39" s="366"/>
      <c r="DU39" s="365"/>
      <c r="DV39" s="71"/>
      <c r="DW39" s="71"/>
      <c r="DX39" s="71"/>
      <c r="DY39" s="71"/>
      <c r="DZ39" s="71"/>
      <c r="EA39" s="366"/>
      <c r="EB39" s="71"/>
      <c r="EC39" s="366"/>
      <c r="ED39" s="71"/>
      <c r="EE39" s="71"/>
      <c r="EF39" s="71"/>
      <c r="EG39" s="71"/>
      <c r="EH39" s="71"/>
      <c r="EI39" s="71"/>
      <c r="EJ39" s="71"/>
      <c r="EK39" s="71"/>
      <c r="EL39" s="71"/>
      <c r="EM39" s="71"/>
      <c r="EN39" s="71"/>
      <c r="EO39" s="71"/>
      <c r="EP39" s="71"/>
      <c r="EQ39" s="71"/>
      <c r="ER39" s="71"/>
      <c r="ES39" s="71"/>
      <c r="ET39" s="71"/>
      <c r="EU39" s="71"/>
      <c r="EV39" s="71"/>
      <c r="EW39" s="71"/>
      <c r="EX39" s="71"/>
      <c r="EY39" s="71"/>
      <c r="EZ39" s="71"/>
      <c r="FA39" s="71"/>
      <c r="FC39" s="71"/>
      <c r="FD39" s="71"/>
      <c r="FF39" s="71"/>
      <c r="FH39" s="71"/>
      <c r="FJ39" s="71"/>
      <c r="FK39" s="71"/>
    </row>
    <row r="40" spans="1:167" s="34" customFormat="1" x14ac:dyDescent="0.3">
      <c r="A40" s="156" t="s">
        <v>247</v>
      </c>
      <c r="B40" s="370"/>
      <c r="C40" s="357">
        <v>43</v>
      </c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401"/>
      <c r="AT40" s="401"/>
      <c r="AU40" s="401"/>
      <c r="AV40" s="41"/>
      <c r="AW40" s="11"/>
      <c r="AX40" s="11"/>
      <c r="AY40" s="11"/>
      <c r="AZ40" s="11"/>
      <c r="BA40" s="11"/>
      <c r="BB40" s="11"/>
      <c r="BC40" s="11"/>
      <c r="BD40" s="11"/>
      <c r="BE40" s="11"/>
      <c r="DD40" s="41"/>
      <c r="DH40" s="41"/>
      <c r="DI40" s="71"/>
      <c r="DJ40" s="71"/>
      <c r="DK40" s="71"/>
      <c r="DL40" s="71"/>
      <c r="DN40" s="71"/>
      <c r="DQ40" s="71"/>
      <c r="DR40" s="71"/>
      <c r="DS40" s="71"/>
      <c r="DT40" s="366"/>
      <c r="DU40" s="365"/>
      <c r="DV40" s="71"/>
      <c r="DW40" s="71"/>
      <c r="DX40" s="71"/>
      <c r="DY40" s="71"/>
      <c r="DZ40" s="71"/>
      <c r="EA40" s="366"/>
      <c r="EB40" s="71"/>
      <c r="EC40" s="366"/>
      <c r="ED40" s="71"/>
      <c r="EE40" s="71"/>
      <c r="EF40" s="71"/>
      <c r="EG40" s="71"/>
      <c r="EH40" s="71"/>
      <c r="EI40" s="71"/>
      <c r="EJ40" s="71"/>
      <c r="EK40" s="71"/>
      <c r="EL40" s="71"/>
      <c r="EM40" s="71"/>
      <c r="EN40" s="71"/>
      <c r="EO40" s="71"/>
      <c r="EP40" s="71"/>
      <c r="EQ40" s="71"/>
      <c r="ER40" s="71"/>
      <c r="ES40" s="71"/>
      <c r="ET40" s="71"/>
      <c r="EU40" s="71"/>
      <c r="EV40" s="71"/>
      <c r="EW40" s="71"/>
      <c r="EX40" s="71"/>
      <c r="EY40" s="71"/>
      <c r="EZ40" s="71"/>
      <c r="FA40" s="71"/>
      <c r="FC40" s="71"/>
      <c r="FD40" s="71"/>
      <c r="FF40" s="71"/>
      <c r="FH40" s="71"/>
      <c r="FJ40" s="71"/>
      <c r="FK40" s="71"/>
    </row>
    <row r="41" spans="1:167" s="34" customFormat="1" x14ac:dyDescent="0.3">
      <c r="A41" s="237"/>
      <c r="B41" s="237"/>
      <c r="C41" s="237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01"/>
      <c r="AH41" s="401"/>
      <c r="AI41" s="401"/>
      <c r="AJ41" s="401"/>
      <c r="AK41" s="401"/>
      <c r="AL41" s="401"/>
      <c r="AM41" s="401"/>
      <c r="AN41" s="401"/>
      <c r="AO41" s="401"/>
      <c r="AP41" s="11"/>
      <c r="AQ41" s="11"/>
      <c r="AR41" s="11"/>
      <c r="AS41" s="41"/>
      <c r="AT41" s="41"/>
      <c r="AU41" s="41"/>
      <c r="AV41" s="41"/>
      <c r="AW41" s="11"/>
      <c r="AX41" s="11"/>
      <c r="AY41" s="11"/>
      <c r="AZ41" s="11"/>
      <c r="BA41" s="11"/>
      <c r="BB41" s="11"/>
      <c r="BC41" s="11"/>
      <c r="BD41" s="41"/>
      <c r="BE41" s="11"/>
      <c r="DD41" s="41"/>
      <c r="DH41" s="41"/>
      <c r="DI41" s="71"/>
      <c r="DJ41" s="71"/>
      <c r="DK41" s="71"/>
      <c r="DL41" s="71"/>
      <c r="DN41" s="71"/>
      <c r="DQ41" s="71"/>
      <c r="DR41" s="71"/>
      <c r="DS41" s="71"/>
      <c r="DT41" s="366"/>
      <c r="DU41" s="365"/>
      <c r="DV41" s="71"/>
      <c r="DW41" s="71"/>
      <c r="DX41" s="71"/>
      <c r="DY41" s="71"/>
      <c r="DZ41" s="71"/>
      <c r="EA41" s="366"/>
      <c r="EB41" s="71"/>
      <c r="EC41" s="366"/>
      <c r="ED41" s="71"/>
      <c r="EE41" s="71"/>
      <c r="EF41" s="71"/>
      <c r="EG41" s="71"/>
      <c r="EH41" s="71"/>
      <c r="EI41" s="71"/>
      <c r="EJ41" s="71"/>
      <c r="EK41" s="71"/>
      <c r="EL41" s="71"/>
      <c r="EM41" s="71"/>
      <c r="EN41" s="71"/>
      <c r="EO41" s="71"/>
      <c r="EP41" s="71"/>
      <c r="EQ41" s="71"/>
      <c r="ER41" s="71"/>
      <c r="ES41" s="71"/>
      <c r="ET41" s="71"/>
      <c r="EU41" s="71"/>
      <c r="EV41" s="71"/>
      <c r="EW41" s="71"/>
      <c r="EX41" s="71"/>
      <c r="EY41" s="71"/>
      <c r="EZ41" s="71"/>
      <c r="FA41" s="71"/>
      <c r="FC41" s="71"/>
      <c r="FD41" s="71"/>
      <c r="FF41" s="71"/>
      <c r="FH41" s="71"/>
      <c r="FJ41" s="71"/>
      <c r="FK41" s="71"/>
    </row>
    <row r="42" spans="1:167" s="34" customFormat="1" x14ac:dyDescent="0.3">
      <c r="A42" s="164"/>
      <c r="B42" s="370"/>
      <c r="C42" s="357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01"/>
      <c r="AH42" s="401"/>
      <c r="AI42" s="401"/>
      <c r="AJ42" s="401"/>
      <c r="AK42" s="401"/>
      <c r="AL42" s="401"/>
      <c r="AM42" s="401"/>
      <c r="AN42" s="401"/>
      <c r="AO42" s="401"/>
      <c r="AP42" s="11"/>
      <c r="AQ42" s="11"/>
      <c r="AR42" s="11"/>
      <c r="AS42" s="41"/>
      <c r="AT42" s="41"/>
      <c r="AU42" s="41"/>
      <c r="AV42" s="41"/>
      <c r="AW42" s="11"/>
      <c r="AX42" s="11"/>
      <c r="AY42" s="11"/>
      <c r="AZ42" s="11"/>
      <c r="BA42" s="11"/>
      <c r="BB42" s="11"/>
      <c r="BC42" s="11"/>
      <c r="BD42" s="41"/>
      <c r="BE42" s="11"/>
      <c r="DD42" s="41"/>
      <c r="DH42" s="41"/>
      <c r="DI42" s="71"/>
      <c r="DJ42" s="71"/>
      <c r="DK42" s="71"/>
      <c r="DL42" s="71"/>
      <c r="DN42" s="71"/>
      <c r="DQ42" s="71"/>
      <c r="DR42" s="71"/>
      <c r="DS42" s="71"/>
      <c r="DT42" s="366"/>
      <c r="DU42" s="365"/>
      <c r="DV42" s="71"/>
      <c r="DW42" s="71"/>
      <c r="DX42" s="71"/>
      <c r="DY42" s="71"/>
      <c r="DZ42" s="71"/>
      <c r="EA42" s="366"/>
      <c r="EB42" s="71"/>
      <c r="EC42" s="366"/>
      <c r="ED42" s="71"/>
      <c r="EE42" s="71"/>
      <c r="EF42" s="71"/>
      <c r="EG42" s="71"/>
      <c r="EH42" s="71"/>
      <c r="EI42" s="71"/>
      <c r="EJ42" s="71"/>
      <c r="EK42" s="71"/>
      <c r="EL42" s="71"/>
      <c r="EM42" s="71"/>
      <c r="EN42" s="71"/>
      <c r="EO42" s="71"/>
      <c r="EP42" s="71"/>
      <c r="EQ42" s="71"/>
      <c r="ER42" s="71"/>
      <c r="ES42" s="71"/>
      <c r="ET42" s="71"/>
      <c r="EU42" s="71"/>
      <c r="EV42" s="71"/>
      <c r="EW42" s="71"/>
      <c r="EX42" s="71"/>
      <c r="EY42" s="71"/>
      <c r="EZ42" s="71"/>
      <c r="FA42" s="71"/>
      <c r="FC42" s="71"/>
      <c r="FD42" s="71"/>
      <c r="FF42" s="71"/>
      <c r="FH42" s="71"/>
      <c r="FJ42" s="71"/>
      <c r="FK42" s="71"/>
    </row>
    <row r="43" spans="1:167" s="34" customFormat="1" x14ac:dyDescent="0.3">
      <c r="A43" s="164"/>
      <c r="B43" s="370"/>
      <c r="C43" s="357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11"/>
      <c r="AQ43" s="11"/>
      <c r="AR43" s="11"/>
      <c r="AS43" s="41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DD43" s="41"/>
      <c r="DH43" s="41"/>
      <c r="DI43" s="71"/>
      <c r="DJ43" s="71"/>
      <c r="DK43" s="71"/>
      <c r="DL43" s="71"/>
      <c r="DN43" s="71"/>
      <c r="DQ43" s="71"/>
      <c r="DR43" s="71"/>
      <c r="DS43" s="71"/>
      <c r="DT43" s="366"/>
      <c r="DU43" s="365"/>
      <c r="DV43" s="71"/>
      <c r="DW43" s="71"/>
      <c r="DX43" s="71"/>
      <c r="DY43" s="71"/>
      <c r="DZ43" s="71"/>
      <c r="EA43" s="366"/>
      <c r="EB43" s="71"/>
      <c r="EC43" s="366"/>
      <c r="ED43" s="71"/>
      <c r="EE43" s="71"/>
      <c r="EF43" s="71"/>
      <c r="EG43" s="71"/>
      <c r="EH43" s="71"/>
      <c r="EI43" s="71"/>
      <c r="EJ43" s="71"/>
      <c r="EK43" s="71"/>
      <c r="EL43" s="71"/>
      <c r="EM43" s="71"/>
      <c r="EN43" s="71"/>
      <c r="EO43" s="71"/>
      <c r="EP43" s="71"/>
      <c r="EQ43" s="71"/>
      <c r="ER43" s="71"/>
      <c r="ES43" s="71"/>
      <c r="ET43" s="71"/>
      <c r="EU43" s="71"/>
      <c r="EV43" s="71"/>
      <c r="EW43" s="71"/>
      <c r="EX43" s="71"/>
      <c r="EY43" s="71"/>
      <c r="EZ43" s="71"/>
      <c r="FA43" s="71"/>
      <c r="FC43" s="71"/>
      <c r="FD43" s="71"/>
      <c r="FF43" s="71"/>
      <c r="FH43" s="71"/>
      <c r="FJ43" s="71"/>
      <c r="FK43" s="71"/>
    </row>
    <row r="44" spans="1:167" s="34" customFormat="1" x14ac:dyDescent="0.3">
      <c r="A44" s="62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11"/>
      <c r="AQ44" s="11"/>
      <c r="AR44" s="11"/>
      <c r="AS44" s="41"/>
      <c r="AT44" s="41"/>
      <c r="AU44" s="41"/>
      <c r="AW44" s="41"/>
      <c r="AX44" s="41"/>
      <c r="AY44" s="41"/>
      <c r="AZ44" s="41"/>
      <c r="BA44" s="41"/>
      <c r="BB44" s="41"/>
      <c r="BC44" s="41"/>
      <c r="BD44" s="41"/>
      <c r="BE44" s="41"/>
    </row>
    <row r="45" spans="1:167" x14ac:dyDescent="0.3">
      <c r="A45" s="472" t="s">
        <v>177</v>
      </c>
      <c r="B45" s="467"/>
      <c r="C45" s="467"/>
      <c r="D45" s="469"/>
      <c r="F45" s="280">
        <v>46013</v>
      </c>
      <c r="G45" s="356">
        <v>46020</v>
      </c>
      <c r="H45" s="356">
        <v>46027</v>
      </c>
      <c r="I45" s="356">
        <v>46034</v>
      </c>
      <c r="J45" s="356">
        <v>46041</v>
      </c>
      <c r="K45" s="356">
        <v>46048</v>
      </c>
      <c r="L45" s="356">
        <v>46055</v>
      </c>
      <c r="M45" s="356">
        <v>46062</v>
      </c>
      <c r="N45" s="356">
        <v>46069</v>
      </c>
      <c r="O45" s="356">
        <v>46076</v>
      </c>
      <c r="P45" s="356">
        <v>46083</v>
      </c>
      <c r="Q45" s="356">
        <v>46090</v>
      </c>
      <c r="R45" s="356">
        <v>46097</v>
      </c>
      <c r="S45" s="356">
        <v>46104</v>
      </c>
      <c r="T45" s="356">
        <v>46111</v>
      </c>
      <c r="U45" s="356">
        <v>46118</v>
      </c>
      <c r="V45" s="356">
        <v>46125</v>
      </c>
      <c r="W45" s="356">
        <v>46132</v>
      </c>
      <c r="X45" s="356">
        <v>46139</v>
      </c>
      <c r="Y45" s="356">
        <v>46146</v>
      </c>
      <c r="Z45" s="356">
        <v>46154</v>
      </c>
      <c r="AC45" s="41"/>
      <c r="AG45" s="41"/>
      <c r="AH45" s="41"/>
      <c r="AI45" s="41"/>
      <c r="AJ45" s="41"/>
      <c r="AK45" s="41"/>
      <c r="AL45" s="41"/>
      <c r="AM45" s="41"/>
      <c r="AN45" s="41"/>
      <c r="AO45" s="41"/>
      <c r="AP45" s="11"/>
      <c r="AQ45" s="11"/>
      <c r="AR45" s="11"/>
      <c r="AW45" s="41"/>
      <c r="AX45" s="41"/>
      <c r="AY45" s="41"/>
      <c r="AZ45" s="41"/>
      <c r="BA45" s="41"/>
      <c r="BB45" s="41"/>
      <c r="BC45" s="41"/>
      <c r="BE45" s="41"/>
    </row>
    <row r="46" spans="1:167" x14ac:dyDescent="0.3">
      <c r="A46" s="470" t="s">
        <v>179</v>
      </c>
      <c r="B46" s="467"/>
      <c r="C46" s="467"/>
      <c r="D46" s="469"/>
      <c r="F46" s="282">
        <v>25</v>
      </c>
      <c r="G46" s="358">
        <v>25</v>
      </c>
      <c r="H46" s="358">
        <v>25</v>
      </c>
      <c r="I46" s="358">
        <v>25</v>
      </c>
      <c r="J46" s="358">
        <v>23</v>
      </c>
      <c r="K46" s="358">
        <v>20</v>
      </c>
      <c r="L46" s="358">
        <v>24</v>
      </c>
      <c r="M46" s="358">
        <v>24</v>
      </c>
      <c r="N46" s="358">
        <v>24</v>
      </c>
      <c r="O46" s="358">
        <v>24</v>
      </c>
      <c r="P46" s="358">
        <v>24</v>
      </c>
      <c r="Q46" s="358">
        <v>24</v>
      </c>
      <c r="R46" s="358">
        <v>24</v>
      </c>
      <c r="S46" s="358">
        <v>24</v>
      </c>
      <c r="T46" s="358">
        <v>24</v>
      </c>
      <c r="U46" s="358">
        <v>0</v>
      </c>
      <c r="V46" s="358">
        <v>17</v>
      </c>
      <c r="W46" s="358">
        <v>17</v>
      </c>
      <c r="X46" s="358">
        <v>17</v>
      </c>
      <c r="Y46" s="358">
        <v>17</v>
      </c>
      <c r="Z46" s="358">
        <v>17</v>
      </c>
      <c r="AG46" s="41"/>
      <c r="AH46" s="41"/>
      <c r="AI46" s="41"/>
      <c r="AJ46" s="41"/>
      <c r="AK46" s="41"/>
      <c r="AL46" s="41"/>
      <c r="AM46" s="41"/>
      <c r="AN46" s="41"/>
      <c r="AO46" s="41"/>
      <c r="AW46" s="41"/>
      <c r="AX46" s="41"/>
      <c r="AY46" s="41"/>
      <c r="AZ46" s="41"/>
      <c r="BA46" s="41"/>
      <c r="BB46" s="41"/>
      <c r="BC46" s="41"/>
      <c r="BE46" s="41"/>
    </row>
    <row r="47" spans="1:167" x14ac:dyDescent="0.3">
      <c r="A47" s="470" t="s">
        <v>178</v>
      </c>
      <c r="B47" s="467"/>
      <c r="C47" s="467"/>
      <c r="D47" s="469"/>
      <c r="F47" s="282">
        <v>50</v>
      </c>
      <c r="G47" s="358">
        <v>50</v>
      </c>
      <c r="H47" s="358">
        <v>50</v>
      </c>
      <c r="I47" s="358">
        <v>50</v>
      </c>
      <c r="J47" s="358">
        <v>46</v>
      </c>
      <c r="K47" s="358">
        <v>42</v>
      </c>
      <c r="L47" s="358">
        <v>45</v>
      </c>
      <c r="M47" s="358">
        <v>45</v>
      </c>
      <c r="N47" s="358">
        <v>45</v>
      </c>
      <c r="O47" s="358">
        <v>45</v>
      </c>
      <c r="P47" s="358">
        <v>45</v>
      </c>
      <c r="Q47" s="358">
        <v>45</v>
      </c>
      <c r="R47" s="358">
        <v>45</v>
      </c>
      <c r="S47" s="358">
        <v>45</v>
      </c>
      <c r="T47" s="358">
        <v>45</v>
      </c>
      <c r="U47" s="358">
        <v>0</v>
      </c>
      <c r="V47" s="358">
        <v>32</v>
      </c>
      <c r="W47" s="358">
        <v>32</v>
      </c>
      <c r="X47" s="358">
        <v>32</v>
      </c>
      <c r="Y47" s="358">
        <v>32</v>
      </c>
      <c r="Z47" s="358">
        <v>32</v>
      </c>
    </row>
    <row r="48" spans="1:167" x14ac:dyDescent="0.3">
      <c r="A48" s="470"/>
      <c r="B48" s="467"/>
      <c r="C48" s="467"/>
      <c r="D48" s="469"/>
      <c r="F48" s="282"/>
      <c r="G48" s="358"/>
      <c r="H48" s="358"/>
      <c r="I48" s="358"/>
      <c r="J48" s="358"/>
      <c r="K48" s="358"/>
      <c r="L48" s="358"/>
      <c r="M48" s="358"/>
      <c r="N48" s="358"/>
      <c r="O48" s="358"/>
      <c r="P48" s="358"/>
      <c r="Q48" s="358"/>
      <c r="R48" s="358"/>
      <c r="S48" s="358"/>
      <c r="T48" s="358"/>
      <c r="U48" s="358">
        <v>0</v>
      </c>
      <c r="V48" s="358">
        <v>37</v>
      </c>
      <c r="W48" s="358">
        <v>37</v>
      </c>
      <c r="X48" s="358">
        <v>37</v>
      </c>
      <c r="Y48" s="358">
        <v>37</v>
      </c>
      <c r="Z48" s="358">
        <v>37</v>
      </c>
    </row>
    <row r="49" spans="33:41" x14ac:dyDescent="0.3">
      <c r="AG49" s="11"/>
      <c r="AH49" s="11"/>
      <c r="AI49" s="11"/>
      <c r="AJ49" s="11"/>
      <c r="AK49" s="11"/>
      <c r="AL49" s="11"/>
      <c r="AM49" s="11"/>
      <c r="AN49" s="11"/>
      <c r="AO49" s="11"/>
    </row>
  </sheetData>
  <mergeCells count="11">
    <mergeCell ref="B2:D2"/>
    <mergeCell ref="D5:D6"/>
    <mergeCell ref="A5:A6"/>
    <mergeCell ref="A45:D45"/>
    <mergeCell ref="B3:D3"/>
    <mergeCell ref="A48:D48"/>
    <mergeCell ref="AW7:BE7"/>
    <mergeCell ref="C5:C6"/>
    <mergeCell ref="A47:D47"/>
    <mergeCell ref="A46:D46"/>
    <mergeCell ref="B5:B6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69" fitToHeight="0"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47">
    <tabColor theme="9"/>
  </sheetPr>
  <dimension ref="A1:BQ121"/>
  <sheetViews>
    <sheetView showGridLines="0" topLeftCell="A4" zoomScale="80" zoomScaleNormal="80" zoomScaleSheetLayoutView="70" workbookViewId="0">
      <selection activeCell="BG21" sqref="BG21:BH22"/>
    </sheetView>
  </sheetViews>
  <sheetFormatPr defaultColWidth="9.140625" defaultRowHeight="15" x14ac:dyDescent="0.25"/>
  <cols>
    <col min="1" max="1" width="26.7109375" customWidth="1"/>
    <col min="2" max="2" width="8.7109375" customWidth="1"/>
    <col min="3" max="3" width="15.28515625" customWidth="1"/>
    <col min="5" max="5" width="1.5703125" customWidth="1"/>
    <col min="6" max="6" width="9.28515625" hidden="1" customWidth="1"/>
    <col min="7" max="25" width="13" hidden="1" customWidth="1"/>
    <col min="26" max="26" width="9.28515625" hidden="1" customWidth="1"/>
    <col min="27" max="29" width="13" hidden="1" customWidth="1"/>
    <col min="30" max="31" width="13" customWidth="1"/>
    <col min="32" max="32" width="8.7109375" customWidth="1"/>
    <col min="33" max="33" width="1.7109375" customWidth="1"/>
    <col min="34" max="34" width="14.28515625" customWidth="1"/>
    <col min="35" max="35" width="1.28515625" customWidth="1"/>
    <col min="36" max="36" width="15.85546875" customWidth="1"/>
    <col min="37" max="37" width="1.7109375" customWidth="1"/>
    <col min="38" max="38" width="8.7109375" customWidth="1"/>
    <col min="39" max="39" width="13" customWidth="1"/>
    <col min="40" max="40" width="11.7109375" customWidth="1"/>
    <col min="41" max="41" width="8.7109375" hidden="1" customWidth="1"/>
    <col min="42" max="43" width="13" hidden="1" customWidth="1"/>
    <col min="44" max="44" width="8.7109375" hidden="1" customWidth="1"/>
    <col min="45" max="54" width="13" hidden="1" customWidth="1"/>
    <col min="55" max="55" width="9.140625" customWidth="1"/>
    <col min="56" max="56" width="21.85546875" customWidth="1"/>
    <col min="57" max="57" width="9.140625" customWidth="1"/>
    <col min="58" max="62" width="13" hidden="1" customWidth="1"/>
    <col min="63" max="63" width="9.140625" hidden="1" customWidth="1"/>
    <col min="64" max="66" width="13" hidden="1" customWidth="1"/>
    <col min="67" max="68" width="13" customWidth="1"/>
  </cols>
  <sheetData>
    <row r="1" spans="1:69" ht="23.25" customHeight="1" x14ac:dyDescent="0.25">
      <c r="A1" s="354" t="s">
        <v>117</v>
      </c>
      <c r="B1" s="354"/>
      <c r="C1" s="354"/>
      <c r="D1" s="354"/>
      <c r="E1" s="354"/>
      <c r="F1" s="353"/>
      <c r="G1" s="353"/>
      <c r="H1" s="353"/>
      <c r="I1" s="353"/>
      <c r="J1" s="353"/>
      <c r="K1" s="353"/>
      <c r="L1" s="353"/>
      <c r="M1" s="353"/>
      <c r="N1" s="353"/>
      <c r="O1" s="353"/>
      <c r="P1" s="353"/>
      <c r="Q1" s="353"/>
      <c r="R1" s="353"/>
      <c r="S1" s="353"/>
      <c r="T1" s="353"/>
      <c r="U1" s="353"/>
      <c r="V1" s="353"/>
      <c r="W1" s="353"/>
      <c r="X1" s="353"/>
      <c r="Y1" s="353"/>
      <c r="Z1" s="353"/>
      <c r="AA1" s="353"/>
      <c r="AB1" s="353"/>
      <c r="AC1" s="353"/>
      <c r="AD1" s="353"/>
      <c r="AE1" s="353"/>
      <c r="AF1" s="354"/>
      <c r="AG1" s="354"/>
      <c r="AH1" s="353"/>
      <c r="AI1" s="354"/>
      <c r="AJ1" s="354"/>
      <c r="AK1" s="353"/>
      <c r="AL1" s="353"/>
      <c r="AM1" s="353"/>
      <c r="AN1" s="353"/>
      <c r="AO1" s="353"/>
      <c r="AP1" s="353"/>
      <c r="AQ1" s="353"/>
      <c r="AR1" s="353"/>
      <c r="AS1" s="353"/>
      <c r="AT1" s="353"/>
      <c r="AU1" s="353"/>
      <c r="AV1" s="353"/>
      <c r="AW1" s="353"/>
      <c r="AX1" s="353"/>
      <c r="AY1" s="353"/>
      <c r="AZ1" s="353"/>
      <c r="BA1" s="353"/>
      <c r="BB1" s="353"/>
    </row>
    <row r="2" spans="1:69" ht="18.75" x14ac:dyDescent="0.3">
      <c r="A2" s="63" t="s">
        <v>118</v>
      </c>
      <c r="B2" s="473" t="s">
        <v>248</v>
      </c>
      <c r="C2" s="463"/>
      <c r="D2" s="464"/>
      <c r="AH2" s="11"/>
      <c r="AJ2" s="70"/>
    </row>
    <row r="3" spans="1:69" ht="18.75" x14ac:dyDescent="0.3">
      <c r="A3" s="63" t="s">
        <v>120</v>
      </c>
      <c r="B3" s="465" t="s">
        <v>249</v>
      </c>
      <c r="C3" s="463"/>
      <c r="D3" s="464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442"/>
      <c r="AC3" s="442"/>
      <c r="AD3" s="442"/>
      <c r="AE3" s="442"/>
      <c r="AF3" s="7"/>
      <c r="AG3" s="7"/>
      <c r="AH3" s="11"/>
      <c r="AI3" s="7"/>
    </row>
    <row r="4" spans="1:69" ht="18.75" x14ac:dyDescent="0.3">
      <c r="AI4" s="34"/>
      <c r="AJ4" s="70"/>
      <c r="AK4" s="154"/>
      <c r="AL4" s="387"/>
      <c r="AM4" s="387"/>
      <c r="AN4" s="387"/>
      <c r="AO4" s="387"/>
      <c r="AP4" s="387"/>
      <c r="AQ4" s="387"/>
      <c r="AR4" s="387"/>
      <c r="AS4" s="387"/>
      <c r="AT4" s="387"/>
      <c r="AU4" s="387"/>
      <c r="AV4" s="387"/>
      <c r="AW4" s="387"/>
      <c r="AX4" s="387"/>
      <c r="AY4" s="387"/>
      <c r="AZ4" s="387"/>
      <c r="BA4" s="387"/>
      <c r="BB4" s="387"/>
    </row>
    <row r="5" spans="1:69" ht="18.75" customHeight="1" x14ac:dyDescent="0.3">
      <c r="A5" s="460" t="s">
        <v>122</v>
      </c>
      <c r="B5" s="471" t="s">
        <v>123</v>
      </c>
      <c r="C5" s="471" t="s">
        <v>124</v>
      </c>
      <c r="D5" s="474" t="s">
        <v>125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H5" s="29" t="s">
        <v>126</v>
      </c>
      <c r="AJ5" s="9" t="s">
        <v>127</v>
      </c>
      <c r="AK5" s="363">
        <v>46161.48328923987</v>
      </c>
      <c r="AL5" s="363"/>
      <c r="AM5" s="363">
        <v>46142</v>
      </c>
      <c r="AN5" s="339" t="s">
        <v>128</v>
      </c>
      <c r="AO5" s="363">
        <v>46114</v>
      </c>
      <c r="AP5" s="409">
        <v>46065</v>
      </c>
      <c r="AQ5" s="363">
        <v>46092</v>
      </c>
      <c r="AR5" s="363">
        <v>46077</v>
      </c>
      <c r="AS5" s="363">
        <v>46056</v>
      </c>
      <c r="AT5" s="363">
        <v>46048</v>
      </c>
      <c r="AU5" s="363">
        <v>46043</v>
      </c>
      <c r="AV5" s="363">
        <v>46035</v>
      </c>
      <c r="AW5" s="363">
        <v>46024</v>
      </c>
      <c r="AX5" s="363">
        <v>46017</v>
      </c>
      <c r="AY5" s="363">
        <v>46007</v>
      </c>
      <c r="AZ5" s="363">
        <v>46001</v>
      </c>
      <c r="BA5" s="363">
        <v>45994</v>
      </c>
      <c r="BB5" s="363">
        <v>45986</v>
      </c>
    </row>
    <row r="6" spans="1:69" s="3" customFormat="1" ht="18.75" x14ac:dyDescent="0.3">
      <c r="A6" s="461"/>
      <c r="B6" s="461"/>
      <c r="C6" s="461"/>
      <c r="D6" s="461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13">
        <v>46160</v>
      </c>
      <c r="AB6" s="13">
        <v>46161.480130520831</v>
      </c>
      <c r="AC6" s="13">
        <v>46161.480804212973</v>
      </c>
      <c r="AD6" s="13">
        <v>46161.482961412039</v>
      </c>
      <c r="AE6" s="13">
        <v>46161.483290116819</v>
      </c>
      <c r="AF6" s="35" t="s">
        <v>129</v>
      </c>
      <c r="AG6" s="30"/>
      <c r="AH6" s="180"/>
      <c r="AI6" s="11"/>
      <c r="AJ6" s="179"/>
      <c r="AK6" s="363">
        <v>46161.483289240183</v>
      </c>
      <c r="AL6" s="363"/>
      <c r="AM6" s="363">
        <v>46149</v>
      </c>
      <c r="AN6" s="339">
        <v>46148</v>
      </c>
      <c r="AO6" s="363">
        <v>46126</v>
      </c>
      <c r="AP6" s="409">
        <v>46107</v>
      </c>
      <c r="AQ6" s="363">
        <v>46100</v>
      </c>
      <c r="AR6" s="363">
        <v>46084</v>
      </c>
      <c r="AS6" s="363">
        <v>46063</v>
      </c>
      <c r="AT6" s="363">
        <v>46056</v>
      </c>
      <c r="AU6" s="363">
        <v>46049</v>
      </c>
      <c r="AV6" s="363">
        <v>46042</v>
      </c>
      <c r="AW6" s="363">
        <v>46038</v>
      </c>
      <c r="AX6" s="363">
        <v>46028</v>
      </c>
      <c r="AY6" s="363">
        <v>46013</v>
      </c>
      <c r="AZ6" s="363">
        <v>46007</v>
      </c>
      <c r="BA6" s="363">
        <v>45999</v>
      </c>
      <c r="BB6" s="363">
        <v>45993</v>
      </c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</row>
    <row r="7" spans="1:69" s="3" customFormat="1" ht="21.75" customHeight="1" x14ac:dyDescent="0.3">
      <c r="A7" s="68" t="s">
        <v>130</v>
      </c>
      <c r="B7" s="5"/>
      <c r="C7" s="5"/>
      <c r="D7" s="233"/>
      <c r="E7" s="11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1"/>
      <c r="AH7" s="84"/>
      <c r="AI7" s="11"/>
      <c r="AJ7" s="124"/>
      <c r="AK7" s="12"/>
      <c r="AL7" s="12"/>
      <c r="AM7" s="12"/>
      <c r="AN7" s="12"/>
      <c r="AO7" s="12"/>
      <c r="AP7" s="12" t="s">
        <v>131</v>
      </c>
      <c r="AQ7" s="12"/>
      <c r="AR7" s="12"/>
      <c r="AS7" s="12"/>
      <c r="AT7" s="12"/>
      <c r="AU7" s="12"/>
      <c r="AV7" s="12"/>
      <c r="AW7" s="12"/>
      <c r="AX7" s="12"/>
      <c r="AY7" s="12"/>
      <c r="AZ7" s="466"/>
      <c r="BA7" s="466"/>
      <c r="BB7" s="467"/>
      <c r="BC7" s="467"/>
      <c r="BD7" s="467"/>
      <c r="BE7" s="467"/>
      <c r="BF7" s="467"/>
      <c r="BG7" s="467"/>
      <c r="BH7" s="467"/>
      <c r="BI7" s="447"/>
      <c r="BJ7" s="447"/>
      <c r="BK7" s="452"/>
      <c r="BL7" s="443"/>
      <c r="BM7" s="444"/>
      <c r="BN7" s="444"/>
      <c r="BO7" s="444"/>
      <c r="BP7" s="444"/>
      <c r="BQ7" s="412"/>
    </row>
    <row r="8" spans="1:69" s="3" customFormat="1" ht="19.5" customHeight="1" x14ac:dyDescent="0.3">
      <c r="A8" s="21" t="s">
        <v>132</v>
      </c>
      <c r="B8" s="6">
        <v>300</v>
      </c>
      <c r="C8" s="82">
        <v>187.12</v>
      </c>
      <c r="D8" s="234">
        <v>250</v>
      </c>
      <c r="E8" s="11"/>
      <c r="F8" s="39">
        <v>300</v>
      </c>
      <c r="G8" s="39">
        <v>140</v>
      </c>
      <c r="H8" s="39">
        <v>140</v>
      </c>
      <c r="I8" s="39">
        <v>140</v>
      </c>
      <c r="J8" s="39">
        <v>350</v>
      </c>
      <c r="K8" s="39">
        <v>350</v>
      </c>
      <c r="L8" s="39">
        <v>350</v>
      </c>
      <c r="M8" s="39">
        <v>350</v>
      </c>
      <c r="N8" s="39">
        <v>350</v>
      </c>
      <c r="O8" s="39">
        <v>300</v>
      </c>
      <c r="P8" s="39">
        <v>300</v>
      </c>
      <c r="Q8" s="39">
        <v>300</v>
      </c>
      <c r="R8" s="39">
        <v>245</v>
      </c>
      <c r="S8" s="39">
        <v>230</v>
      </c>
      <c r="T8" s="39">
        <v>80</v>
      </c>
      <c r="U8" s="39">
        <v>80</v>
      </c>
      <c r="V8" s="39">
        <f>0+AI8</f>
        <v>0</v>
      </c>
      <c r="W8" s="39">
        <v>600</v>
      </c>
      <c r="X8" s="39">
        <v>500</v>
      </c>
      <c r="Y8" s="39">
        <v>500</v>
      </c>
      <c r="Z8" s="39">
        <v>400</v>
      </c>
      <c r="AA8" s="39"/>
      <c r="AB8" s="6"/>
      <c r="AC8" s="6"/>
      <c r="AD8" s="6"/>
      <c r="AE8" s="6"/>
      <c r="AF8" s="372">
        <f ca="1">AD8+IF(NOT(ISBLANK(OFFSET(AF8,0,6))),N(OFFSET(AF8,0,6)),N(OFFSET(AF8,0,7)))-AE8</f>
        <v>0</v>
      </c>
      <c r="AG8" s="11"/>
      <c r="AH8" s="78"/>
      <c r="AI8" s="11"/>
      <c r="AJ8" s="345"/>
      <c r="AK8" s="445">
        <v>0</v>
      </c>
      <c r="AL8" s="19">
        <v>0</v>
      </c>
      <c r="AM8" s="19">
        <v>0</v>
      </c>
      <c r="AN8" s="296"/>
      <c r="AO8" s="19">
        <v>600</v>
      </c>
      <c r="AP8" s="19"/>
      <c r="AQ8" s="19"/>
      <c r="AR8" s="19"/>
      <c r="AS8" s="19"/>
      <c r="AT8" s="19"/>
      <c r="AU8" s="19"/>
      <c r="AV8" s="19"/>
      <c r="AW8" s="19">
        <v>300</v>
      </c>
      <c r="AX8" s="19"/>
      <c r="AY8" s="19"/>
      <c r="AZ8" s="19"/>
      <c r="BA8" s="19">
        <v>300</v>
      </c>
      <c r="BB8" s="19"/>
      <c r="BD8" s="389" t="s">
        <v>130</v>
      </c>
      <c r="BE8" s="376" t="s">
        <v>123</v>
      </c>
      <c r="BF8" s="13">
        <v>46118</v>
      </c>
      <c r="BG8" s="13">
        <v>46125</v>
      </c>
      <c r="BH8" s="13">
        <v>46132</v>
      </c>
      <c r="BI8" s="13">
        <v>46139</v>
      </c>
      <c r="BJ8" s="13">
        <v>46146</v>
      </c>
      <c r="BK8" s="13">
        <v>46154</v>
      </c>
      <c r="BL8" s="13">
        <v>46160</v>
      </c>
      <c r="BM8" s="13">
        <v>46161.48012980324</v>
      </c>
      <c r="BN8" s="13">
        <v>46161.480803460647</v>
      </c>
      <c r="BO8" s="13">
        <v>46161.482960740737</v>
      </c>
      <c r="BP8" s="13">
        <v>46161.483289382872</v>
      </c>
      <c r="BQ8" s="35" t="s">
        <v>129</v>
      </c>
    </row>
    <row r="9" spans="1:69" s="3" customFormat="1" ht="19.5" customHeight="1" x14ac:dyDescent="0.3">
      <c r="A9" s="21" t="s">
        <v>134</v>
      </c>
      <c r="B9" s="6">
        <v>200</v>
      </c>
      <c r="C9" s="82">
        <v>193.08</v>
      </c>
      <c r="D9" s="234">
        <v>400</v>
      </c>
      <c r="E9" s="11"/>
      <c r="F9" s="39">
        <v>400</v>
      </c>
      <c r="G9" s="39">
        <v>100</v>
      </c>
      <c r="H9" s="39">
        <f>0+AT9</f>
        <v>400</v>
      </c>
      <c r="I9" s="39">
        <v>90</v>
      </c>
      <c r="J9" s="39">
        <f>400+AR9</f>
        <v>600</v>
      </c>
      <c r="K9" s="39">
        <v>400</v>
      </c>
      <c r="L9" s="39">
        <f>400+AP9</f>
        <v>1000</v>
      </c>
      <c r="M9" s="39">
        <v>600</v>
      </c>
      <c r="N9" s="39">
        <v>440</v>
      </c>
      <c r="O9" s="39">
        <v>400</v>
      </c>
      <c r="P9" s="39">
        <f>400+AN9</f>
        <v>400</v>
      </c>
      <c r="Q9" s="39">
        <v>310</v>
      </c>
      <c r="R9" s="39">
        <v>100</v>
      </c>
      <c r="S9" s="39">
        <v>480</v>
      </c>
      <c r="T9" s="39">
        <v>400</v>
      </c>
      <c r="U9" s="39">
        <v>200</v>
      </c>
      <c r="V9" s="39">
        <f>0+AI9</f>
        <v>0</v>
      </c>
      <c r="W9" s="39">
        <v>370</v>
      </c>
      <c r="X9" s="39">
        <v>320</v>
      </c>
      <c r="Y9" s="39">
        <f>290+AI9</f>
        <v>290</v>
      </c>
      <c r="Z9" s="39">
        <v>450</v>
      </c>
      <c r="AA9" s="39"/>
      <c r="AB9" s="6"/>
      <c r="AC9" s="6"/>
      <c r="AD9" s="6"/>
      <c r="AE9" s="6"/>
      <c r="AF9" s="372">
        <f ca="1">AD9+IF(NOT(ISBLANK(OFFSET(AF9,0,6))),N(OFFSET(AF9,0,6)),N(OFFSET(AF9,0,7)))-AE9</f>
        <v>0</v>
      </c>
      <c r="AG9" s="11"/>
      <c r="AH9" s="78"/>
      <c r="AI9" s="11"/>
      <c r="AJ9" s="345"/>
      <c r="AK9" s="446">
        <v>0</v>
      </c>
      <c r="AL9" s="296">
        <v>0</v>
      </c>
      <c r="AM9" s="296">
        <v>400</v>
      </c>
      <c r="AN9" s="296"/>
      <c r="AO9" s="19">
        <v>200</v>
      </c>
      <c r="AP9" s="117">
        <v>600</v>
      </c>
      <c r="AQ9" s="19">
        <v>400</v>
      </c>
      <c r="AR9" s="19">
        <v>200</v>
      </c>
      <c r="AS9" s="19"/>
      <c r="AT9" s="19">
        <v>400</v>
      </c>
      <c r="AU9" s="19"/>
      <c r="AV9" s="19">
        <v>200</v>
      </c>
      <c r="AW9" s="19">
        <v>400</v>
      </c>
      <c r="AX9" s="19">
        <v>200</v>
      </c>
      <c r="AY9" s="19">
        <v>400</v>
      </c>
      <c r="AZ9" s="19">
        <v>400</v>
      </c>
      <c r="BA9" s="19"/>
      <c r="BB9" s="19"/>
      <c r="BD9" s="364" t="s">
        <v>136</v>
      </c>
      <c r="BE9" s="135">
        <v>200</v>
      </c>
      <c r="BF9" s="39">
        <f>AL9</f>
        <v>0</v>
      </c>
      <c r="BG9" s="39">
        <v>600</v>
      </c>
      <c r="BH9" s="39">
        <v>350</v>
      </c>
      <c r="BI9" s="39">
        <v>250</v>
      </c>
      <c r="BJ9" s="39">
        <v>100</v>
      </c>
      <c r="BK9" s="39">
        <v>0</v>
      </c>
      <c r="BL9" s="39"/>
      <c r="BM9" s="6"/>
      <c r="BN9" s="6"/>
      <c r="BO9" s="6"/>
      <c r="BP9" s="6"/>
      <c r="BQ9" s="26">
        <f ca="1">BO9+IF(NOT(ISBLANK(OFFSET(BQ9,0,6))),N(OFFSET(BQ9,0,6)),N(OFFSET(BQ9,0,7)))-BP9</f>
        <v>0</v>
      </c>
    </row>
    <row r="10" spans="1:69" s="3" customFormat="1" ht="19.5" customHeight="1" x14ac:dyDescent="0.3">
      <c r="A10" s="21" t="s">
        <v>137</v>
      </c>
      <c r="B10" s="6">
        <v>200</v>
      </c>
      <c r="C10" s="82">
        <v>253.83</v>
      </c>
      <c r="D10" s="234">
        <v>150</v>
      </c>
      <c r="E10" s="11"/>
      <c r="F10" s="39">
        <v>200</v>
      </c>
      <c r="G10" s="39">
        <v>74</v>
      </c>
      <c r="H10" s="39">
        <f>74+AT10</f>
        <v>74</v>
      </c>
      <c r="I10" s="39">
        <v>174</v>
      </c>
      <c r="J10" s="39">
        <f>150+AR10</f>
        <v>150</v>
      </c>
      <c r="K10" s="39">
        <v>320</v>
      </c>
      <c r="L10" s="39">
        <v>200</v>
      </c>
      <c r="M10" s="39">
        <f>200+AO10</f>
        <v>400</v>
      </c>
      <c r="N10" s="39">
        <v>400</v>
      </c>
      <c r="O10" s="39">
        <v>400</v>
      </c>
      <c r="P10" s="39">
        <v>350</v>
      </c>
      <c r="Q10" s="39">
        <v>350</v>
      </c>
      <c r="R10" s="39">
        <v>310</v>
      </c>
      <c r="S10" s="39">
        <v>310</v>
      </c>
      <c r="T10" s="39">
        <v>200</v>
      </c>
      <c r="U10" s="39">
        <v>200</v>
      </c>
      <c r="V10" s="39">
        <f>200+AI10</f>
        <v>200</v>
      </c>
      <c r="W10" s="39">
        <v>400</v>
      </c>
      <c r="X10" s="39">
        <v>350</v>
      </c>
      <c r="Y10" s="39">
        <v>350</v>
      </c>
      <c r="Z10" s="39">
        <v>350</v>
      </c>
      <c r="AA10" s="39"/>
      <c r="AB10" s="6"/>
      <c r="AC10" s="6"/>
      <c r="AD10" s="6"/>
      <c r="AE10" s="6"/>
      <c r="AF10" s="372">
        <f ca="1">AD10+IF(NOT(ISBLANK(OFFSET(AF10,0,6))),N(OFFSET(AF10,0,6)),N(OFFSET(AF10,0,7)))-AE10</f>
        <v>0</v>
      </c>
      <c r="AG10" s="11"/>
      <c r="AH10" s="78"/>
      <c r="AI10" s="11"/>
      <c r="AJ10" s="345"/>
      <c r="AK10" s="446">
        <v>0</v>
      </c>
      <c r="AL10" s="296">
        <v>0</v>
      </c>
      <c r="AM10" s="296">
        <v>0</v>
      </c>
      <c r="AN10" s="296"/>
      <c r="AO10" s="19">
        <v>200</v>
      </c>
      <c r="AP10" s="117">
        <v>400</v>
      </c>
      <c r="AQ10" s="19"/>
      <c r="AR10" s="19"/>
      <c r="AS10" s="19">
        <v>200</v>
      </c>
      <c r="AT10" s="19"/>
      <c r="AU10" s="19"/>
      <c r="AV10" s="19">
        <v>200</v>
      </c>
      <c r="AW10" s="19"/>
      <c r="AX10" s="19">
        <v>200</v>
      </c>
      <c r="AY10" s="19">
        <v>200</v>
      </c>
      <c r="AZ10" s="19">
        <v>200</v>
      </c>
      <c r="BA10" s="19"/>
      <c r="BB10" s="19"/>
      <c r="BD10" s="21" t="s">
        <v>138</v>
      </c>
      <c r="BE10" s="6">
        <v>200</v>
      </c>
      <c r="BF10" s="39">
        <f>AL10</f>
        <v>0</v>
      </c>
      <c r="BG10" s="39">
        <v>400</v>
      </c>
      <c r="BH10" s="39">
        <v>300</v>
      </c>
      <c r="BI10" s="39">
        <v>270</v>
      </c>
      <c r="BJ10" s="39">
        <v>230</v>
      </c>
      <c r="BK10" s="39">
        <v>0</v>
      </c>
      <c r="BL10" s="39"/>
      <c r="BM10" s="6"/>
      <c r="BN10" s="6"/>
      <c r="BO10" s="6"/>
      <c r="BP10" s="6"/>
      <c r="BQ10" s="26">
        <f ca="1">BO10+IF(NOT(ISBLANK(OFFSET(BQ10,0,6))),N(OFFSET(BQ10,0,6)),N(OFFSET(BQ10,0,7)))-BP10</f>
        <v>0</v>
      </c>
    </row>
    <row r="11" spans="1:69" s="3" customFormat="1" ht="19.5" customHeight="1" x14ac:dyDescent="0.3">
      <c r="A11" s="22" t="s">
        <v>139</v>
      </c>
      <c r="B11" s="6">
        <v>100</v>
      </c>
      <c r="C11" s="82">
        <v>184.57</v>
      </c>
      <c r="D11" s="234">
        <v>30</v>
      </c>
      <c r="E11" s="11"/>
      <c r="F11" s="39">
        <v>80</v>
      </c>
      <c r="G11" s="39">
        <v>0</v>
      </c>
      <c r="H11" s="39">
        <v>0</v>
      </c>
      <c r="I11" s="39">
        <v>0</v>
      </c>
      <c r="J11" s="39">
        <v>100</v>
      </c>
      <c r="K11" s="39">
        <v>100</v>
      </c>
      <c r="L11" s="39">
        <v>100</v>
      </c>
      <c r="M11" s="39">
        <v>100</v>
      </c>
      <c r="N11" s="39">
        <v>100</v>
      </c>
      <c r="O11" s="39">
        <v>0</v>
      </c>
      <c r="P11" s="39">
        <f>0+AN11</f>
        <v>0</v>
      </c>
      <c r="Q11" s="39">
        <v>100</v>
      </c>
      <c r="R11" s="39">
        <v>100</v>
      </c>
      <c r="S11" s="39">
        <v>100</v>
      </c>
      <c r="T11" s="39">
        <v>100</v>
      </c>
      <c r="U11" s="39">
        <v>100</v>
      </c>
      <c r="V11" s="39">
        <v>80</v>
      </c>
      <c r="W11" s="39">
        <v>80</v>
      </c>
      <c r="X11" s="39">
        <v>80</v>
      </c>
      <c r="Y11" s="39">
        <v>80</v>
      </c>
      <c r="Z11" s="39">
        <v>0</v>
      </c>
      <c r="AA11" s="39"/>
      <c r="AB11" s="6"/>
      <c r="AC11" s="6"/>
      <c r="AD11" s="6"/>
      <c r="AE11" s="6"/>
      <c r="AF11" s="372">
        <f ca="1">AD11+IF(NOT(ISBLANK(OFFSET(AF11,0,6))),N(OFFSET(AF11,0,6)),N(OFFSET(AF11,0,7)))-AE11</f>
        <v>0</v>
      </c>
      <c r="AG11" s="11"/>
      <c r="AH11" s="78" t="s">
        <v>250</v>
      </c>
      <c r="AI11" s="11"/>
      <c r="AJ11" s="345"/>
      <c r="AK11" s="446">
        <v>0</v>
      </c>
      <c r="AL11" s="296">
        <v>0</v>
      </c>
      <c r="AM11" s="296">
        <v>0</v>
      </c>
      <c r="AN11" s="296"/>
      <c r="AO11" s="19"/>
      <c r="AP11" s="117">
        <v>100</v>
      </c>
      <c r="AQ11" s="19"/>
      <c r="AR11" s="19">
        <v>100</v>
      </c>
      <c r="AS11" s="19"/>
      <c r="AT11" s="19"/>
      <c r="AU11" s="19"/>
      <c r="AV11" s="19"/>
      <c r="AW11" s="19">
        <v>100</v>
      </c>
      <c r="AX11" s="19"/>
      <c r="AY11" s="19"/>
      <c r="AZ11" s="19"/>
      <c r="BA11" s="19"/>
      <c r="BB11" s="19"/>
      <c r="BD11" s="22" t="s">
        <v>140</v>
      </c>
      <c r="BE11" s="6">
        <v>100</v>
      </c>
      <c r="BF11" s="39">
        <f>AL11</f>
        <v>0</v>
      </c>
      <c r="BG11" s="39">
        <v>100</v>
      </c>
      <c r="BH11" s="39">
        <v>0</v>
      </c>
      <c r="BI11" s="39">
        <v>0</v>
      </c>
      <c r="BJ11" s="39">
        <v>0</v>
      </c>
      <c r="BK11" s="39">
        <v>0</v>
      </c>
      <c r="BL11" s="39"/>
      <c r="BM11" s="6"/>
      <c r="BN11" s="6"/>
      <c r="BO11" s="6"/>
      <c r="BP11" s="6"/>
      <c r="BQ11" s="26">
        <f ca="1">BO11+IF(NOT(ISBLANK(OFFSET(BQ11,0,6))),N(OFFSET(BQ11,0,6)),N(OFFSET(BQ11,0,7)))-BP11</f>
        <v>0</v>
      </c>
    </row>
    <row r="12" spans="1:69" s="3" customFormat="1" ht="16.5" customHeight="1" x14ac:dyDescent="0.3">
      <c r="A12" s="23"/>
      <c r="B12" s="1"/>
      <c r="C12" s="64"/>
      <c r="D12" s="235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1"/>
      <c r="AC12" s="1"/>
      <c r="AD12" s="1"/>
      <c r="AE12" s="1"/>
      <c r="AF12" s="2"/>
      <c r="AG12" s="11"/>
      <c r="AH12" s="342"/>
      <c r="AI12" s="11"/>
      <c r="AJ12" s="351"/>
      <c r="AK12" s="388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A12" s="75"/>
      <c r="BB12" s="75"/>
      <c r="BD12" s="23"/>
      <c r="BE12" s="1"/>
      <c r="BF12" s="2"/>
      <c r="BG12" s="2"/>
      <c r="BH12" s="2"/>
      <c r="BI12" s="2"/>
      <c r="BJ12" s="2"/>
      <c r="BK12" s="2"/>
      <c r="BL12" s="2"/>
      <c r="BM12" s="1"/>
      <c r="BN12" s="1"/>
      <c r="BO12" s="1"/>
      <c r="BP12" s="1"/>
    </row>
    <row r="13" spans="1:69" s="3" customFormat="1" ht="18.75" x14ac:dyDescent="0.3">
      <c r="A13" s="24" t="s">
        <v>141</v>
      </c>
      <c r="B13" s="12"/>
      <c r="C13" s="65"/>
      <c r="D13" s="395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13">
        <v>46160</v>
      </c>
      <c r="AB13" s="13">
        <v>46161.480130520831</v>
      </c>
      <c r="AC13" s="13">
        <v>46161.480804212973</v>
      </c>
      <c r="AD13" s="13">
        <v>46161.482961412039</v>
      </c>
      <c r="AE13" s="13">
        <v>46161.483290117161</v>
      </c>
      <c r="AF13" s="35" t="s">
        <v>129</v>
      </c>
      <c r="AG13" s="7"/>
      <c r="AH13" s="29" t="s">
        <v>126</v>
      </c>
      <c r="AI13" s="11"/>
      <c r="AJ13" s="9" t="s">
        <v>127</v>
      </c>
      <c r="AK13" s="449">
        <v>46161.483289240598</v>
      </c>
      <c r="AL13" s="363"/>
      <c r="AM13" s="363">
        <v>46142</v>
      </c>
      <c r="AN13" s="339">
        <v>46148</v>
      </c>
      <c r="AO13" s="363">
        <v>46114</v>
      </c>
      <c r="AP13" s="409">
        <v>46065</v>
      </c>
      <c r="AQ13" s="363">
        <v>46092</v>
      </c>
      <c r="AR13" s="363">
        <v>46077</v>
      </c>
      <c r="AS13" s="363">
        <v>46056</v>
      </c>
      <c r="AT13" s="363">
        <v>46048</v>
      </c>
      <c r="AU13" s="363">
        <v>46043</v>
      </c>
      <c r="AV13" s="363">
        <v>46035</v>
      </c>
      <c r="AW13" s="363">
        <v>46024</v>
      </c>
      <c r="AX13" s="363">
        <v>46017</v>
      </c>
      <c r="AY13" s="363">
        <v>46007</v>
      </c>
      <c r="AZ13" s="363">
        <v>46001</v>
      </c>
      <c r="BA13" s="363">
        <v>45994</v>
      </c>
      <c r="BB13" s="363">
        <v>45986</v>
      </c>
      <c r="BD13" s="389" t="s">
        <v>141</v>
      </c>
      <c r="BE13" s="376" t="s">
        <v>123</v>
      </c>
      <c r="BF13" s="13">
        <v>46118</v>
      </c>
      <c r="BG13" s="13">
        <v>46125</v>
      </c>
      <c r="BH13" s="13">
        <v>46132</v>
      </c>
      <c r="BI13" s="13">
        <v>46139</v>
      </c>
      <c r="BJ13" s="13">
        <v>46146</v>
      </c>
      <c r="BK13" s="13">
        <v>46154</v>
      </c>
      <c r="BL13" s="13">
        <v>46160</v>
      </c>
      <c r="BM13" s="13">
        <v>46161.48012980324</v>
      </c>
      <c r="BN13" s="13">
        <v>46161.480803460647</v>
      </c>
      <c r="BO13" s="13">
        <v>46161.482960740737</v>
      </c>
      <c r="BP13" s="13">
        <v>46161.483289383163</v>
      </c>
      <c r="BQ13" s="35" t="s">
        <v>129</v>
      </c>
    </row>
    <row r="14" spans="1:69" s="3" customFormat="1" ht="18.75" x14ac:dyDescent="0.3">
      <c r="A14" s="25" t="s">
        <v>224</v>
      </c>
      <c r="B14" s="6">
        <v>500</v>
      </c>
      <c r="C14" s="66">
        <v>99.26</v>
      </c>
      <c r="D14" s="234">
        <v>2</v>
      </c>
      <c r="E14" s="7"/>
      <c r="F14" s="357">
        <v>7</v>
      </c>
      <c r="G14" s="357">
        <v>3</v>
      </c>
      <c r="H14" s="357">
        <f>3+AT14</f>
        <v>3</v>
      </c>
      <c r="I14" s="357">
        <v>5</v>
      </c>
      <c r="J14" s="357">
        <v>7</v>
      </c>
      <c r="K14" s="357">
        <v>7</v>
      </c>
      <c r="L14" s="357">
        <v>6</v>
      </c>
      <c r="M14" s="357">
        <v>6</v>
      </c>
      <c r="N14" s="357">
        <v>5</v>
      </c>
      <c r="O14" s="357">
        <v>4</v>
      </c>
      <c r="P14" s="357">
        <f>4+AN14</f>
        <v>4</v>
      </c>
      <c r="Q14" s="357">
        <v>3</v>
      </c>
      <c r="R14" s="357">
        <v>3</v>
      </c>
      <c r="S14" s="357">
        <v>5</v>
      </c>
      <c r="T14" s="357">
        <v>4</v>
      </c>
      <c r="U14" s="357">
        <v>4</v>
      </c>
      <c r="V14" s="357">
        <f>3+AI14</f>
        <v>3</v>
      </c>
      <c r="W14" s="357">
        <v>4</v>
      </c>
      <c r="X14" s="357">
        <v>4</v>
      </c>
      <c r="Y14" s="357">
        <f>3+AI14</f>
        <v>3</v>
      </c>
      <c r="Z14" s="357">
        <v>5</v>
      </c>
      <c r="AA14" s="357"/>
      <c r="AB14" s="455"/>
      <c r="AC14" s="455"/>
      <c r="AD14" s="455"/>
      <c r="AE14" s="455"/>
      <c r="AF14" s="372">
        <f ca="1">AD14+IF(NOT(ISBLANK(OFFSET(AF14,0,6))),N(OFFSET(AF14,0,6)),N(OFFSET(AF14,0,7)))-AE14</f>
        <v>0</v>
      </c>
      <c r="AG14" s="7"/>
      <c r="AH14" s="78"/>
      <c r="AI14" s="7"/>
      <c r="AJ14" s="345"/>
      <c r="AK14" s="450">
        <v>0</v>
      </c>
      <c r="AL14" s="296">
        <v>0</v>
      </c>
      <c r="AM14" s="296">
        <v>2</v>
      </c>
      <c r="AN14" s="296"/>
      <c r="AO14" s="19">
        <v>1</v>
      </c>
      <c r="AP14" s="117">
        <v>5</v>
      </c>
      <c r="AQ14" s="19">
        <v>2</v>
      </c>
      <c r="AR14" s="19">
        <v>1</v>
      </c>
      <c r="AS14" s="19"/>
      <c r="AT14" s="19"/>
      <c r="AU14" s="19"/>
      <c r="AV14" s="19"/>
      <c r="AW14" s="19">
        <v>3</v>
      </c>
      <c r="AX14" s="19">
        <v>2</v>
      </c>
      <c r="AY14" s="19">
        <v>3</v>
      </c>
      <c r="AZ14" s="19">
        <v>1</v>
      </c>
      <c r="BA14" s="19"/>
      <c r="BB14" s="19">
        <v>1</v>
      </c>
      <c r="BD14" s="364" t="s">
        <v>143</v>
      </c>
      <c r="BE14" s="135">
        <v>200</v>
      </c>
      <c r="BF14" s="39">
        <f>AL14</f>
        <v>0</v>
      </c>
      <c r="BG14" s="39">
        <v>4</v>
      </c>
      <c r="BH14" s="39">
        <v>4</v>
      </c>
      <c r="BI14" s="39">
        <v>3</v>
      </c>
      <c r="BJ14" s="39">
        <v>3</v>
      </c>
      <c r="BK14" s="39">
        <v>0</v>
      </c>
      <c r="BL14" s="39"/>
      <c r="BM14" s="6"/>
      <c r="BN14" s="6"/>
      <c r="BO14" s="6"/>
      <c r="BP14" s="6"/>
      <c r="BQ14" s="26">
        <f ca="1">BO14+IF(NOT(ISBLANK(OFFSET(BQ14,0,6))),N(OFFSET(BQ14,0,6)),N(OFFSET(BQ14,0,7)))-BP14</f>
        <v>0</v>
      </c>
    </row>
    <row r="15" spans="1:69" s="3" customFormat="1" ht="18.75" x14ac:dyDescent="0.3">
      <c r="A15" s="25" t="s">
        <v>225</v>
      </c>
      <c r="B15" s="6">
        <v>2000</v>
      </c>
      <c r="C15" s="66">
        <v>55.36</v>
      </c>
      <c r="D15" s="234">
        <v>1</v>
      </c>
      <c r="E15" s="7"/>
      <c r="F15" s="357">
        <v>4</v>
      </c>
      <c r="G15" s="357">
        <v>3</v>
      </c>
      <c r="H15" s="357">
        <f>3+AT15</f>
        <v>3</v>
      </c>
      <c r="I15" s="357">
        <v>5</v>
      </c>
      <c r="J15" s="357">
        <v>5</v>
      </c>
      <c r="K15" s="357">
        <v>5</v>
      </c>
      <c r="L15" s="357">
        <v>5</v>
      </c>
      <c r="M15" s="357">
        <v>5</v>
      </c>
      <c r="N15" s="357">
        <v>5</v>
      </c>
      <c r="O15" s="357">
        <v>5</v>
      </c>
      <c r="P15" s="357">
        <v>5</v>
      </c>
      <c r="Q15" s="357">
        <v>5</v>
      </c>
      <c r="R15" s="357">
        <v>5</v>
      </c>
      <c r="S15" s="357">
        <v>4</v>
      </c>
      <c r="T15" s="357">
        <v>4</v>
      </c>
      <c r="U15" s="357">
        <v>3</v>
      </c>
      <c r="V15" s="357">
        <v>3</v>
      </c>
      <c r="W15" s="357">
        <v>2</v>
      </c>
      <c r="X15" s="357">
        <v>2</v>
      </c>
      <c r="Y15" s="357">
        <v>2</v>
      </c>
      <c r="Z15" s="357">
        <v>2</v>
      </c>
      <c r="AA15" s="357"/>
      <c r="AB15" s="455"/>
      <c r="AC15" s="455"/>
      <c r="AD15" s="455"/>
      <c r="AE15" s="455"/>
      <c r="AF15" s="372">
        <f ca="1">AD15+IF(NOT(ISBLANK(OFFSET(AF15,0,6))),N(OFFSET(AF15,0,6)),N(OFFSET(AF15,0,7)))-AE15</f>
        <v>0</v>
      </c>
      <c r="AG15" s="7"/>
      <c r="AH15" s="78"/>
      <c r="AI15" s="7"/>
      <c r="AJ15" s="345"/>
      <c r="AK15" s="450">
        <v>0</v>
      </c>
      <c r="AL15" s="296">
        <v>0</v>
      </c>
      <c r="AM15" s="296">
        <v>0</v>
      </c>
      <c r="AN15" s="296"/>
      <c r="AO15" s="19"/>
      <c r="AP15" s="117">
        <v>1</v>
      </c>
      <c r="AQ15" s="19"/>
      <c r="AR15" s="19"/>
      <c r="AS15" s="19"/>
      <c r="AT15" s="19"/>
      <c r="AU15" s="19"/>
      <c r="AV15" s="19"/>
      <c r="AW15" s="19"/>
      <c r="AX15" s="19">
        <v>2</v>
      </c>
      <c r="AY15" s="19"/>
      <c r="AZ15" s="19">
        <v>2</v>
      </c>
      <c r="BA15" s="19"/>
      <c r="BB15" s="19">
        <v>1</v>
      </c>
      <c r="BD15" s="21" t="s">
        <v>146</v>
      </c>
      <c r="BE15" s="6">
        <v>200</v>
      </c>
      <c r="BF15" s="39">
        <f>AL15</f>
        <v>0</v>
      </c>
      <c r="BG15" s="39">
        <v>1</v>
      </c>
      <c r="BH15" s="39">
        <v>1</v>
      </c>
      <c r="BI15" s="39">
        <v>1</v>
      </c>
      <c r="BJ15" s="39">
        <v>0</v>
      </c>
      <c r="BK15" s="39">
        <v>0</v>
      </c>
      <c r="BL15" s="39"/>
      <c r="BM15" s="6"/>
      <c r="BN15" s="6"/>
      <c r="BO15" s="6"/>
      <c r="BP15" s="6"/>
      <c r="BQ15" s="26">
        <f ca="1">BO15+IF(NOT(ISBLANK(OFFSET(BQ15,0,6))),N(OFFSET(BQ15,0,6)),N(OFFSET(BQ15,0,7)))-BP15</f>
        <v>0</v>
      </c>
    </row>
    <row r="16" spans="1:69" s="3" customFormat="1" ht="18.75" x14ac:dyDescent="0.25">
      <c r="A16" s="25" t="s">
        <v>147</v>
      </c>
      <c r="B16" s="6">
        <v>200</v>
      </c>
      <c r="C16" s="66">
        <v>10.28</v>
      </c>
      <c r="D16" s="234">
        <v>2</v>
      </c>
      <c r="E16" s="1"/>
      <c r="F16" s="357">
        <v>4</v>
      </c>
      <c r="G16" s="357">
        <v>3</v>
      </c>
      <c r="H16" s="357">
        <f>3+AT16</f>
        <v>3</v>
      </c>
      <c r="I16" s="357">
        <v>2</v>
      </c>
      <c r="J16" s="357">
        <f>4+AR16</f>
        <v>4</v>
      </c>
      <c r="K16" s="357">
        <v>7</v>
      </c>
      <c r="L16" s="357">
        <v>7</v>
      </c>
      <c r="M16" s="357">
        <v>7</v>
      </c>
      <c r="N16" s="357">
        <v>7</v>
      </c>
      <c r="O16" s="357">
        <v>7</v>
      </c>
      <c r="P16" s="357">
        <v>7</v>
      </c>
      <c r="Q16" s="357">
        <v>7</v>
      </c>
      <c r="R16" s="357">
        <v>7</v>
      </c>
      <c r="S16" s="357">
        <v>7</v>
      </c>
      <c r="T16" s="357">
        <v>7</v>
      </c>
      <c r="U16" s="357">
        <v>6</v>
      </c>
      <c r="V16" s="357">
        <v>6</v>
      </c>
      <c r="W16" s="357">
        <v>6</v>
      </c>
      <c r="X16" s="357">
        <v>6</v>
      </c>
      <c r="Y16" s="357">
        <f>6-4</f>
        <v>2</v>
      </c>
      <c r="Z16" s="357">
        <v>2</v>
      </c>
      <c r="AA16" s="357"/>
      <c r="AB16" s="455"/>
      <c r="AC16" s="455"/>
      <c r="AD16" s="455"/>
      <c r="AE16" s="455"/>
      <c r="AF16" s="372">
        <f ca="1">AD16+IF(NOT(ISBLANK(OFFSET(AF16,0,6))),N(OFFSET(AF16,0,6)),N(OFFSET(AF16,0,7)))-AE16</f>
        <v>0</v>
      </c>
      <c r="AG16" s="1"/>
      <c r="AH16" s="78"/>
      <c r="AI16" s="1"/>
      <c r="AJ16" s="345"/>
      <c r="AK16" s="445">
        <v>0</v>
      </c>
      <c r="AL16" s="19">
        <v>0</v>
      </c>
      <c r="AM16" s="19">
        <v>0</v>
      </c>
      <c r="AN16" s="253" t="s">
        <v>251</v>
      </c>
      <c r="AO16" s="19"/>
      <c r="AP16" s="19"/>
      <c r="AQ16" s="19"/>
      <c r="AR16" s="19"/>
      <c r="AS16" s="19"/>
      <c r="AT16" s="19"/>
      <c r="AU16" s="19"/>
      <c r="AV16" s="19">
        <v>3</v>
      </c>
      <c r="AW16" s="19"/>
      <c r="AX16" s="19">
        <v>3</v>
      </c>
      <c r="AY16" s="19">
        <v>4</v>
      </c>
      <c r="AZ16" s="19"/>
      <c r="BA16" s="19">
        <v>3</v>
      </c>
      <c r="BB16" s="19"/>
    </row>
    <row r="17" spans="1:69" s="3" customFormat="1" ht="18.75" x14ac:dyDescent="0.25">
      <c r="A17" s="25" t="s">
        <v>148</v>
      </c>
      <c r="B17" s="6">
        <v>3000</v>
      </c>
      <c r="C17" s="66">
        <v>71.8</v>
      </c>
      <c r="D17" s="234">
        <v>1</v>
      </c>
      <c r="E17" s="1"/>
      <c r="F17" s="357">
        <v>3</v>
      </c>
      <c r="G17" s="357">
        <v>3</v>
      </c>
      <c r="H17" s="357">
        <v>3</v>
      </c>
      <c r="I17" s="357">
        <v>3</v>
      </c>
      <c r="J17" s="357">
        <v>3</v>
      </c>
      <c r="K17" s="357">
        <v>3</v>
      </c>
      <c r="L17" s="357">
        <v>2</v>
      </c>
      <c r="M17" s="357">
        <f>2+AO17</f>
        <v>2</v>
      </c>
      <c r="N17" s="357">
        <v>3</v>
      </c>
      <c r="O17" s="357">
        <v>3</v>
      </c>
      <c r="P17" s="357">
        <v>3</v>
      </c>
      <c r="Q17" s="357">
        <v>3</v>
      </c>
      <c r="R17" s="357">
        <v>3</v>
      </c>
      <c r="S17" s="357">
        <v>2</v>
      </c>
      <c r="T17" s="357">
        <v>1</v>
      </c>
      <c r="U17" s="357">
        <v>2</v>
      </c>
      <c r="V17" s="357">
        <v>2</v>
      </c>
      <c r="W17" s="357">
        <v>2</v>
      </c>
      <c r="X17" s="357">
        <v>1</v>
      </c>
      <c r="Y17" s="357">
        <f>1+AI17</f>
        <v>1</v>
      </c>
      <c r="Z17" s="357">
        <v>2</v>
      </c>
      <c r="AA17" s="357"/>
      <c r="AB17" s="455"/>
      <c r="AC17" s="455"/>
      <c r="AD17" s="455"/>
      <c r="AE17" s="455"/>
      <c r="AF17" s="372">
        <f ca="1">AD17+IF(NOT(ISBLANK(OFFSET(AF17,0,6))),N(OFFSET(AF17,0,6)),N(OFFSET(AF17,0,7)))-AE17</f>
        <v>0</v>
      </c>
      <c r="AG17" s="1"/>
      <c r="AH17" s="78"/>
      <c r="AI17" s="1"/>
      <c r="AJ17" s="345"/>
      <c r="AK17" s="445">
        <v>0</v>
      </c>
      <c r="AL17" s="19">
        <v>0</v>
      </c>
      <c r="AM17" s="19">
        <v>1</v>
      </c>
      <c r="AN17" s="19"/>
      <c r="AO17" s="19"/>
      <c r="AP17" s="19"/>
      <c r="AQ17" s="19"/>
      <c r="AR17" s="19"/>
      <c r="AS17" s="19">
        <v>1</v>
      </c>
      <c r="AT17" s="19"/>
      <c r="AU17" s="19"/>
      <c r="AV17" s="19"/>
      <c r="AW17" s="19"/>
      <c r="AX17" s="19"/>
      <c r="AY17" s="19">
        <v>1</v>
      </c>
      <c r="AZ17" s="19"/>
      <c r="BA17" s="19"/>
      <c r="BB17" s="19">
        <v>3</v>
      </c>
    </row>
    <row r="18" spans="1:69" s="3" customFormat="1" ht="14.25" customHeight="1" x14ac:dyDescent="0.25">
      <c r="A18" s="23"/>
      <c r="D18" s="235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1"/>
      <c r="AC18" s="1"/>
      <c r="AD18" s="1"/>
      <c r="AE18" s="1"/>
      <c r="AF18" s="2"/>
      <c r="AH18" s="390"/>
      <c r="AJ18" s="352"/>
      <c r="AK18" s="388"/>
      <c r="AL18" s="388"/>
      <c r="AM18" s="388"/>
      <c r="AN18" s="388"/>
      <c r="AO18" s="388"/>
      <c r="AP18" s="388"/>
      <c r="AQ18" s="388"/>
      <c r="AR18" s="388"/>
      <c r="AS18" s="388"/>
      <c r="AT18" s="388"/>
      <c r="AU18" s="388"/>
      <c r="AV18" s="388"/>
      <c r="AW18" s="388"/>
      <c r="AX18" s="388"/>
      <c r="AY18" s="388"/>
      <c r="AZ18" s="388"/>
      <c r="BA18" s="388"/>
      <c r="BB18" s="388"/>
    </row>
    <row r="19" spans="1:69" s="3" customFormat="1" ht="18.75" x14ac:dyDescent="0.3">
      <c r="A19" s="24" t="s">
        <v>150</v>
      </c>
      <c r="B19" s="8"/>
      <c r="C19" s="61"/>
      <c r="D19" s="395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13">
        <v>46160</v>
      </c>
      <c r="AB19" s="13">
        <v>46161.480130520831</v>
      </c>
      <c r="AC19" s="13">
        <v>46161.480804212973</v>
      </c>
      <c r="AD19" s="13">
        <v>46161.482961412039</v>
      </c>
      <c r="AE19" s="13">
        <v>46161.483290117329</v>
      </c>
      <c r="AF19" s="35" t="s">
        <v>129</v>
      </c>
      <c r="AG19" s="11"/>
      <c r="AH19" s="29" t="s">
        <v>126</v>
      </c>
      <c r="AI19" s="11"/>
      <c r="AJ19" s="9" t="s">
        <v>127</v>
      </c>
      <c r="AK19" s="363">
        <v>46161.483289240998</v>
      </c>
      <c r="AL19" s="363"/>
      <c r="AM19" s="363">
        <v>46142</v>
      </c>
      <c r="AN19" s="339">
        <v>46148</v>
      </c>
      <c r="AO19" s="363">
        <v>46114</v>
      </c>
      <c r="AP19" s="409">
        <v>46065</v>
      </c>
      <c r="AQ19" s="363">
        <v>46092</v>
      </c>
      <c r="AR19" s="363">
        <v>46077</v>
      </c>
      <c r="AS19" s="363">
        <v>46056</v>
      </c>
      <c r="AT19" s="363">
        <v>46048</v>
      </c>
      <c r="AU19" s="363">
        <v>46043</v>
      </c>
      <c r="AV19" s="363">
        <v>46035</v>
      </c>
      <c r="AW19" s="363">
        <v>46024</v>
      </c>
      <c r="AX19" s="363">
        <v>46017</v>
      </c>
      <c r="AY19" s="363">
        <v>46007</v>
      </c>
      <c r="AZ19" s="363">
        <v>46001</v>
      </c>
      <c r="BA19" s="363">
        <v>45994</v>
      </c>
      <c r="BB19" s="363">
        <v>45986</v>
      </c>
      <c r="BD19" s="389" t="s">
        <v>150</v>
      </c>
      <c r="BE19" s="376" t="s">
        <v>123</v>
      </c>
      <c r="BF19" s="13">
        <v>46118</v>
      </c>
      <c r="BG19" s="13">
        <v>46125</v>
      </c>
      <c r="BH19" s="13">
        <v>46132</v>
      </c>
      <c r="BI19" s="13">
        <v>46139</v>
      </c>
      <c r="BJ19" s="13">
        <v>46146</v>
      </c>
      <c r="BK19" s="13">
        <v>46154</v>
      </c>
      <c r="BL19" s="13">
        <v>46160</v>
      </c>
      <c r="BM19" s="13">
        <v>46161.48012980324</v>
      </c>
      <c r="BN19" s="13">
        <v>46161.480803460647</v>
      </c>
      <c r="BO19" s="13">
        <v>46161.482960740737</v>
      </c>
      <c r="BP19" s="13">
        <v>46161.483289383308</v>
      </c>
      <c r="BQ19" s="35" t="s">
        <v>129</v>
      </c>
    </row>
    <row r="20" spans="1:69" s="3" customFormat="1" ht="18.75" x14ac:dyDescent="0.3">
      <c r="A20" s="25" t="s">
        <v>153</v>
      </c>
      <c r="B20" s="6">
        <v>150</v>
      </c>
      <c r="C20" s="82">
        <v>334.31</v>
      </c>
      <c r="D20" s="234">
        <v>70</v>
      </c>
      <c r="E20" s="1"/>
      <c r="F20" s="27">
        <v>43</v>
      </c>
      <c r="G20" s="27">
        <v>42</v>
      </c>
      <c r="H20" s="27">
        <v>38</v>
      </c>
      <c r="I20" s="27">
        <v>37</v>
      </c>
      <c r="J20" s="27">
        <v>29</v>
      </c>
      <c r="K20" s="27">
        <f>29+AQ20</f>
        <v>29</v>
      </c>
      <c r="L20" s="27">
        <v>179</v>
      </c>
      <c r="M20" s="27">
        <v>166</v>
      </c>
      <c r="N20" s="27">
        <v>165</v>
      </c>
      <c r="O20" s="27">
        <v>160</v>
      </c>
      <c r="P20" s="27">
        <v>152</v>
      </c>
      <c r="Q20" s="27">
        <v>145</v>
      </c>
      <c r="R20" s="27">
        <v>136</v>
      </c>
      <c r="S20" s="27">
        <v>122</v>
      </c>
      <c r="T20" s="27">
        <v>117</v>
      </c>
      <c r="U20" s="27"/>
      <c r="V20" s="27"/>
      <c r="W20" s="27"/>
      <c r="X20" s="27">
        <v>99</v>
      </c>
      <c r="Y20" s="27">
        <v>97</v>
      </c>
      <c r="Z20" s="27">
        <v>90</v>
      </c>
      <c r="AA20" s="27">
        <v>80</v>
      </c>
      <c r="AB20" s="451">
        <v>80</v>
      </c>
      <c r="AC20" s="451">
        <v>80</v>
      </c>
      <c r="AD20" s="451">
        <v>80</v>
      </c>
      <c r="AE20" s="451">
        <v>80</v>
      </c>
      <c r="AF20" s="372">
        <f ca="1">AD20+IF(NOT(ISBLANK(OFFSET(AF20,0,6))),N(OFFSET(AF20,0,6)),N(OFFSET(AF20,0,7)))-AE20</f>
        <v>0</v>
      </c>
      <c r="AG20" s="11"/>
      <c r="AH20" s="78"/>
      <c r="AI20" s="1"/>
      <c r="AJ20" s="345"/>
      <c r="AK20" s="445">
        <v>0</v>
      </c>
      <c r="AL20" s="19">
        <v>0</v>
      </c>
      <c r="AM20" s="19">
        <v>0</v>
      </c>
      <c r="AN20" s="19"/>
      <c r="AO20" s="19"/>
      <c r="AP20" s="117"/>
      <c r="AQ20" s="19"/>
      <c r="AR20" s="19"/>
      <c r="AS20" s="19"/>
      <c r="AT20" s="19"/>
      <c r="AU20" s="19">
        <v>150</v>
      </c>
      <c r="AV20" s="19"/>
      <c r="AW20" s="19"/>
      <c r="AX20" s="19"/>
      <c r="AY20" s="19"/>
      <c r="AZ20" s="19"/>
      <c r="BA20" s="19"/>
      <c r="BB20" s="19"/>
      <c r="BD20" s="364" t="s">
        <v>154</v>
      </c>
      <c r="BE20" s="135">
        <v>150</v>
      </c>
      <c r="BF20" s="39">
        <v>0</v>
      </c>
      <c r="BG20" s="39"/>
      <c r="BH20" s="39"/>
      <c r="BI20" s="39">
        <v>36</v>
      </c>
      <c r="BJ20" s="39">
        <v>33</v>
      </c>
      <c r="BK20" s="39">
        <v>0</v>
      </c>
      <c r="BL20" s="39">
        <v>0</v>
      </c>
      <c r="BM20" s="6"/>
      <c r="BN20" s="6"/>
      <c r="BO20" s="6"/>
      <c r="BP20" s="6"/>
      <c r="BQ20" s="26">
        <f ca="1">BO20+IF(NOT(ISBLANK(OFFSET(BQ20,0,6))),N(OFFSET(BQ20,0,6)),N(OFFSET(BQ20,0,7)))-BP20</f>
        <v>0</v>
      </c>
    </row>
    <row r="21" spans="1:69" s="3" customFormat="1" ht="18.75" x14ac:dyDescent="0.3">
      <c r="A21" s="25" t="s">
        <v>155</v>
      </c>
      <c r="B21" s="6">
        <v>100</v>
      </c>
      <c r="C21" s="81">
        <v>292.25</v>
      </c>
      <c r="D21" s="236">
        <v>70</v>
      </c>
      <c r="E21" s="1"/>
      <c r="F21" s="27">
        <v>62</v>
      </c>
      <c r="G21" s="27">
        <v>58</v>
      </c>
      <c r="H21" s="27">
        <v>40</v>
      </c>
      <c r="I21" s="27">
        <v>35</v>
      </c>
      <c r="J21" s="27">
        <v>33</v>
      </c>
      <c r="K21" s="27">
        <f>45+AQ21</f>
        <v>45</v>
      </c>
      <c r="L21" s="27">
        <v>136</v>
      </c>
      <c r="M21" s="27">
        <v>129</v>
      </c>
      <c r="N21" s="27">
        <v>129</v>
      </c>
      <c r="O21" s="27">
        <v>122</v>
      </c>
      <c r="P21" s="27">
        <v>119</v>
      </c>
      <c r="Q21" s="27">
        <v>106</v>
      </c>
      <c r="R21" s="27">
        <v>92</v>
      </c>
      <c r="S21" s="27">
        <v>83</v>
      </c>
      <c r="T21" s="27">
        <v>82</v>
      </c>
      <c r="U21" s="27"/>
      <c r="V21" s="27"/>
      <c r="W21" s="27"/>
      <c r="X21" s="27">
        <v>62</v>
      </c>
      <c r="Y21" s="27">
        <v>62</v>
      </c>
      <c r="Z21" s="27">
        <v>82</v>
      </c>
      <c r="AA21" s="27">
        <v>76</v>
      </c>
      <c r="AB21" s="451">
        <v>76</v>
      </c>
      <c r="AC21" s="451">
        <v>76</v>
      </c>
      <c r="AD21" s="451">
        <v>76</v>
      </c>
      <c r="AE21" s="451">
        <v>76</v>
      </c>
      <c r="AF21" s="372">
        <f ca="1">AD21+IF(NOT(ISBLANK(OFFSET(AF21,0,6))),N(OFFSET(AF21,0,6)),N(OFFSET(AF21,0,7)))-AE21</f>
        <v>0</v>
      </c>
      <c r="AG21" s="11"/>
      <c r="AH21" s="78"/>
      <c r="AI21" s="1"/>
      <c r="AJ21" s="345"/>
      <c r="AK21" s="445">
        <v>0</v>
      </c>
      <c r="AL21" s="19">
        <v>0</v>
      </c>
      <c r="AM21" s="19">
        <v>0</v>
      </c>
      <c r="AN21" s="19"/>
      <c r="AO21" s="19"/>
      <c r="AP21" s="117"/>
      <c r="AQ21" s="19"/>
      <c r="AR21" s="19"/>
      <c r="AS21" s="19"/>
      <c r="AT21" s="19"/>
      <c r="AU21" s="19">
        <v>100</v>
      </c>
      <c r="AV21" s="19"/>
      <c r="AW21" s="19"/>
      <c r="AX21" s="19"/>
      <c r="AY21" s="19"/>
      <c r="AZ21" s="19"/>
      <c r="BA21" s="19"/>
      <c r="BB21" s="19"/>
      <c r="BD21" s="21" t="s">
        <v>156</v>
      </c>
      <c r="BE21" s="6">
        <v>100</v>
      </c>
      <c r="BF21" s="39">
        <v>0</v>
      </c>
      <c r="BG21" s="39"/>
      <c r="BH21" s="39"/>
      <c r="BI21" s="39">
        <v>52</v>
      </c>
      <c r="BJ21" s="39">
        <v>48</v>
      </c>
      <c r="BK21" s="39">
        <v>-2</v>
      </c>
      <c r="BL21" s="39">
        <v>-2</v>
      </c>
      <c r="BM21" s="6"/>
      <c r="BN21" s="6"/>
      <c r="BO21" s="6"/>
      <c r="BP21" s="6"/>
      <c r="BQ21" s="26">
        <f ca="1">BO21+IF(NOT(ISBLANK(OFFSET(BQ21,0,6))),N(OFFSET(BQ21,0,6)),N(OFFSET(BQ21,0,7)))-BP21</f>
        <v>0</v>
      </c>
    </row>
    <row r="22" spans="1:69" s="3" customFormat="1" ht="18.75" x14ac:dyDescent="0.3">
      <c r="A22" s="25" t="s">
        <v>157</v>
      </c>
      <c r="B22" s="6">
        <v>75</v>
      </c>
      <c r="C22" s="66">
        <v>425.38</v>
      </c>
      <c r="D22" s="234">
        <v>15</v>
      </c>
      <c r="E22" s="7"/>
      <c r="F22" s="27">
        <v>11</v>
      </c>
      <c r="G22" s="27">
        <v>11</v>
      </c>
      <c r="H22" s="27">
        <v>11</v>
      </c>
      <c r="I22" s="27">
        <v>10</v>
      </c>
      <c r="J22" s="27">
        <v>10</v>
      </c>
      <c r="K22" s="27">
        <v>10</v>
      </c>
      <c r="L22" s="27">
        <v>10</v>
      </c>
      <c r="M22" s="27">
        <v>10</v>
      </c>
      <c r="N22" s="27">
        <v>10</v>
      </c>
      <c r="O22" s="27">
        <v>10</v>
      </c>
      <c r="P22" s="27">
        <v>8</v>
      </c>
      <c r="Q22" s="27">
        <v>8</v>
      </c>
      <c r="R22" s="27">
        <v>8</v>
      </c>
      <c r="S22" s="27">
        <v>8</v>
      </c>
      <c r="T22" s="27">
        <v>8</v>
      </c>
      <c r="U22" s="27">
        <v>8</v>
      </c>
      <c r="V22" s="27">
        <v>8</v>
      </c>
      <c r="W22" s="27">
        <v>8</v>
      </c>
      <c r="X22" s="27">
        <v>8</v>
      </c>
      <c r="Y22" s="27">
        <v>8</v>
      </c>
      <c r="Z22" s="27">
        <v>6</v>
      </c>
      <c r="AA22" s="27">
        <v>5</v>
      </c>
      <c r="AB22" s="451">
        <v>5</v>
      </c>
      <c r="AC22" s="451">
        <v>5</v>
      </c>
      <c r="AD22" s="451">
        <v>5</v>
      </c>
      <c r="AE22" s="451">
        <v>5</v>
      </c>
      <c r="AF22" s="372">
        <f ca="1">AD22+IF(NOT(ISBLANK(OFFSET(AF22,0,6))),N(OFFSET(AF22,0,6)),N(OFFSET(AF22,0,7)))-AE22</f>
        <v>0</v>
      </c>
      <c r="AG22" s="7"/>
      <c r="AH22" s="78"/>
      <c r="AI22" s="7"/>
      <c r="AJ22" s="345"/>
      <c r="AK22" s="112">
        <v>0</v>
      </c>
      <c r="AL22" s="19">
        <v>0</v>
      </c>
      <c r="AM22" s="19">
        <v>0</v>
      </c>
      <c r="AN22" s="19"/>
      <c r="AO22" s="19"/>
      <c r="AP22" s="117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D22" s="22" t="s">
        <v>158</v>
      </c>
      <c r="BE22" s="6">
        <v>200</v>
      </c>
      <c r="BF22" s="39">
        <v>0</v>
      </c>
      <c r="BG22" s="39"/>
      <c r="BH22" s="39"/>
      <c r="BI22" s="39">
        <v>43</v>
      </c>
      <c r="BJ22" s="39">
        <v>38</v>
      </c>
      <c r="BK22" s="39">
        <v>-1</v>
      </c>
      <c r="BL22" s="39">
        <v>-1</v>
      </c>
      <c r="BM22" s="6"/>
      <c r="BN22" s="6"/>
      <c r="BO22" s="6"/>
      <c r="BP22" s="6"/>
      <c r="BQ22" s="26">
        <f ca="1">BO22+IF(NOT(ISBLANK(OFFSET(BQ22,0,6))),N(OFFSET(BQ22,0,6)),N(OFFSET(BQ22,0,7)))-BP22</f>
        <v>0</v>
      </c>
    </row>
    <row r="23" spans="1:69" s="3" customFormat="1" ht="18.75" x14ac:dyDescent="0.3">
      <c r="A23" s="25" t="s">
        <v>159</v>
      </c>
      <c r="B23" s="6">
        <v>150</v>
      </c>
      <c r="C23" s="66">
        <v>427.5</v>
      </c>
      <c r="D23" s="234"/>
      <c r="E23" s="7"/>
      <c r="F23" s="2"/>
      <c r="G23" s="2"/>
      <c r="H23" s="2"/>
      <c r="I23" s="2"/>
      <c r="J23" s="2"/>
      <c r="K23" s="2"/>
      <c r="L23" s="2"/>
      <c r="M23" s="2"/>
      <c r="N23" s="27">
        <v>0</v>
      </c>
      <c r="O23" s="27">
        <v>0</v>
      </c>
      <c r="P23" s="27">
        <v>0</v>
      </c>
      <c r="Q23" s="290">
        <v>20</v>
      </c>
      <c r="R23" s="27">
        <v>19</v>
      </c>
      <c r="S23" s="27">
        <v>16</v>
      </c>
      <c r="T23" s="27">
        <v>15</v>
      </c>
      <c r="U23" s="27"/>
      <c r="V23" s="27"/>
      <c r="W23" s="27"/>
      <c r="X23" s="27">
        <v>6</v>
      </c>
      <c r="Y23" s="27">
        <v>6</v>
      </c>
      <c r="Z23" s="27">
        <v>45</v>
      </c>
      <c r="AA23" s="27">
        <v>40</v>
      </c>
      <c r="AB23" s="451">
        <v>40</v>
      </c>
      <c r="AC23" s="451">
        <v>40</v>
      </c>
      <c r="AD23" s="451">
        <v>40</v>
      </c>
      <c r="AE23" s="451">
        <v>40</v>
      </c>
      <c r="AF23" s="372">
        <f ca="1">AD23+IF(NOT(ISBLANK(OFFSET(AF23,0,6))),N(OFFSET(AF23,0,6)),N(OFFSET(AF23,0,7)))-AE23</f>
        <v>0</v>
      </c>
      <c r="AG23" s="7"/>
      <c r="AH23" s="78"/>
      <c r="AI23" s="7"/>
      <c r="AJ23" s="345"/>
      <c r="AK23" s="112">
        <v>0</v>
      </c>
      <c r="AL23" s="19">
        <v>0</v>
      </c>
      <c r="AM23" s="19">
        <v>0</v>
      </c>
      <c r="AN23" s="19"/>
      <c r="AO23" s="19"/>
      <c r="AP23" s="117"/>
      <c r="AQ23" s="19"/>
      <c r="AR23" s="19"/>
      <c r="AS23" s="19"/>
      <c r="AT23" s="19"/>
      <c r="AU23" s="19"/>
      <c r="AV23" s="19"/>
      <c r="AW23" s="19"/>
      <c r="AX23" s="19"/>
      <c r="AY23" s="75"/>
      <c r="AZ23" s="75"/>
      <c r="BA23" s="75"/>
      <c r="BB23" s="75"/>
      <c r="BD23" s="22" t="s">
        <v>160</v>
      </c>
      <c r="BE23" s="6">
        <v>150</v>
      </c>
      <c r="BF23" s="39">
        <v>0</v>
      </c>
      <c r="BG23" s="39"/>
      <c r="BH23" s="39"/>
      <c r="BI23" s="39">
        <v>43</v>
      </c>
      <c r="BJ23" s="39">
        <v>37</v>
      </c>
      <c r="BK23" s="39">
        <v>0</v>
      </c>
      <c r="BL23" s="39">
        <v>0</v>
      </c>
      <c r="BM23" s="6"/>
      <c r="BN23" s="6"/>
      <c r="BO23" s="6"/>
      <c r="BP23" s="6"/>
      <c r="BQ23" s="26">
        <f ca="1">BO23+IF(NOT(ISBLANK(OFFSET(BQ23,0,6))),N(OFFSET(BQ23,0,6)),N(OFFSET(BQ23,0,7)))-BP23</f>
        <v>0</v>
      </c>
    </row>
    <row r="24" spans="1:69" ht="18.75" x14ac:dyDescent="0.3">
      <c r="AH24" s="347"/>
      <c r="AK24" s="11"/>
      <c r="AL24" s="11"/>
      <c r="AM24" s="11"/>
      <c r="AN24" s="11"/>
      <c r="AO24" s="11"/>
      <c r="AP24" s="11"/>
      <c r="AQ24" s="11"/>
      <c r="AY24" s="11"/>
      <c r="AZ24" s="11"/>
      <c r="BA24" s="11"/>
      <c r="BB24" s="11"/>
    </row>
    <row r="25" spans="1:69" ht="18.75" x14ac:dyDescent="0.3">
      <c r="A25" s="378" t="s">
        <v>161</v>
      </c>
      <c r="B25" s="379" t="s">
        <v>123</v>
      </c>
      <c r="C25" s="379" t="s">
        <v>124</v>
      </c>
      <c r="D25" s="379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13">
        <v>46160</v>
      </c>
      <c r="AB25" s="13">
        <v>46161.480130520831</v>
      </c>
      <c r="AC25" s="13">
        <v>46161.480804212973</v>
      </c>
      <c r="AD25" s="13">
        <v>46161.482961412039</v>
      </c>
      <c r="AE25" s="13">
        <v>46161.483290117627</v>
      </c>
      <c r="AF25" s="35" t="s">
        <v>129</v>
      </c>
      <c r="AH25" s="347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</row>
    <row r="26" spans="1:69" ht="18.75" hidden="1" customHeight="1" x14ac:dyDescent="0.3">
      <c r="A26" s="382" t="s">
        <v>252</v>
      </c>
      <c r="B26" s="383">
        <v>100</v>
      </c>
      <c r="C26" s="198">
        <v>722</v>
      </c>
      <c r="D26" s="396"/>
      <c r="F26" s="39">
        <v>0</v>
      </c>
      <c r="G26" s="39">
        <v>0</v>
      </c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6"/>
      <c r="AC26" s="6"/>
      <c r="AD26" s="6"/>
      <c r="AE26" s="6"/>
      <c r="AF26" s="26">
        <f t="shared" ref="AF26:AF50" ca="1" si="0">AD26+IF(NOT(ISBLANK(OFFSET(AF26,0,6))),N(OFFSET(AF26,0,6)),N(OFFSET(AF26,0,7)))-AE26</f>
        <v>0</v>
      </c>
      <c r="AH26" s="347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</row>
    <row r="27" spans="1:69" ht="18.75" x14ac:dyDescent="0.3">
      <c r="A27" s="384" t="s">
        <v>162</v>
      </c>
      <c r="B27" s="385">
        <v>100</v>
      </c>
      <c r="C27" s="199">
        <v>790</v>
      </c>
      <c r="D27" s="396"/>
      <c r="F27" s="39">
        <v>187</v>
      </c>
      <c r="G27" s="39">
        <v>114</v>
      </c>
      <c r="H27" s="39">
        <v>114</v>
      </c>
      <c r="I27" s="39">
        <v>114</v>
      </c>
      <c r="J27" s="39">
        <v>114</v>
      </c>
      <c r="K27" s="39">
        <v>114</v>
      </c>
      <c r="L27" s="39">
        <v>111</v>
      </c>
      <c r="M27" s="39">
        <v>111</v>
      </c>
      <c r="N27" s="39">
        <v>111</v>
      </c>
      <c r="O27" s="39">
        <v>108</v>
      </c>
      <c r="P27" s="39">
        <v>104</v>
      </c>
      <c r="Q27" s="39">
        <v>104</v>
      </c>
      <c r="R27" s="39">
        <v>104</v>
      </c>
      <c r="S27" s="39">
        <v>104</v>
      </c>
      <c r="T27" s="39">
        <v>104</v>
      </c>
      <c r="U27" s="39">
        <v>104</v>
      </c>
      <c r="V27" s="39">
        <v>104</v>
      </c>
      <c r="W27" s="39">
        <v>104</v>
      </c>
      <c r="X27" s="39">
        <v>104</v>
      </c>
      <c r="Y27" s="39">
        <v>104</v>
      </c>
      <c r="Z27" s="39">
        <v>102</v>
      </c>
      <c r="AA27" s="39">
        <v>102</v>
      </c>
      <c r="AB27" s="6">
        <v>102</v>
      </c>
      <c r="AC27" s="6">
        <v>102</v>
      </c>
      <c r="AD27" s="6">
        <v>102</v>
      </c>
      <c r="AE27" s="6">
        <v>102</v>
      </c>
      <c r="AF27" s="372">
        <f t="shared" ca="1" si="0"/>
        <v>0</v>
      </c>
      <c r="AH27" s="347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</row>
    <row r="28" spans="1:69" ht="18" hidden="1" customHeight="1" x14ac:dyDescent="0.3">
      <c r="A28" s="386" t="s">
        <v>253</v>
      </c>
      <c r="B28" s="159">
        <v>150</v>
      </c>
      <c r="C28" s="200">
        <v>715.5</v>
      </c>
      <c r="D28" s="396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6"/>
      <c r="AC28" s="6"/>
      <c r="AD28" s="6"/>
      <c r="AE28" s="6"/>
      <c r="AF28" s="372">
        <f t="shared" ca="1" si="0"/>
        <v>0</v>
      </c>
      <c r="AH28" s="347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</row>
    <row r="29" spans="1:69" ht="18" hidden="1" customHeight="1" x14ac:dyDescent="0.3">
      <c r="A29" s="386" t="s">
        <v>254</v>
      </c>
      <c r="B29" s="159">
        <v>100</v>
      </c>
      <c r="C29" s="200">
        <v>746</v>
      </c>
      <c r="D29" s="396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6"/>
      <c r="AC29" s="6"/>
      <c r="AD29" s="6"/>
      <c r="AE29" s="6"/>
      <c r="AF29" s="372">
        <f t="shared" ca="1" si="0"/>
        <v>0</v>
      </c>
      <c r="AH29" s="347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</row>
    <row r="30" spans="1:69" ht="18" hidden="1" customHeight="1" x14ac:dyDescent="0.3">
      <c r="A30" s="386" t="s">
        <v>255</v>
      </c>
      <c r="B30" s="159">
        <v>50</v>
      </c>
      <c r="C30" s="200">
        <v>777</v>
      </c>
      <c r="D30" s="396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6"/>
      <c r="AC30" s="6"/>
      <c r="AD30" s="6"/>
      <c r="AE30" s="6"/>
      <c r="AF30" s="372">
        <f t="shared" ca="1" si="0"/>
        <v>0</v>
      </c>
      <c r="AH30" s="347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:69" ht="18" hidden="1" customHeight="1" x14ac:dyDescent="0.3">
      <c r="A31" s="386" t="s">
        <v>256</v>
      </c>
      <c r="B31" s="159">
        <v>200</v>
      </c>
      <c r="C31" s="200">
        <v>486</v>
      </c>
      <c r="D31" s="396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6"/>
      <c r="AC31" s="6"/>
      <c r="AD31" s="6"/>
      <c r="AE31" s="6"/>
      <c r="AF31" s="372">
        <f t="shared" ca="1" si="0"/>
        <v>0</v>
      </c>
      <c r="AH31" s="347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:69" ht="18" hidden="1" customHeight="1" x14ac:dyDescent="0.3">
      <c r="A32" s="386" t="s">
        <v>257</v>
      </c>
      <c r="B32" s="159">
        <v>150</v>
      </c>
      <c r="C32" s="200">
        <v>459</v>
      </c>
      <c r="D32" s="396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6"/>
      <c r="AC32" s="6"/>
      <c r="AD32" s="6"/>
      <c r="AE32" s="6"/>
      <c r="AF32" s="372">
        <f t="shared" ca="1" si="0"/>
        <v>0</v>
      </c>
      <c r="AH32" s="347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:69" ht="18.75" hidden="1" x14ac:dyDescent="0.3">
      <c r="A33" s="386" t="s">
        <v>163</v>
      </c>
      <c r="B33" s="159">
        <v>100</v>
      </c>
      <c r="C33" s="200">
        <v>295</v>
      </c>
      <c r="D33" s="396"/>
      <c r="F33" s="39">
        <v>15</v>
      </c>
      <c r="G33" s="39">
        <v>15</v>
      </c>
      <c r="H33" s="39">
        <v>15</v>
      </c>
      <c r="I33" s="39">
        <v>15</v>
      </c>
      <c r="J33" s="39">
        <v>0</v>
      </c>
      <c r="K33" s="39">
        <v>0</v>
      </c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6"/>
      <c r="AC33" s="6"/>
      <c r="AD33" s="6"/>
      <c r="AE33" s="6"/>
      <c r="AF33" s="372">
        <f t="shared" ca="1" si="0"/>
        <v>0</v>
      </c>
      <c r="AH33" s="347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</row>
    <row r="34" spans="1:69" ht="18.75" hidden="1" x14ac:dyDescent="0.3">
      <c r="A34" s="386" t="s">
        <v>164</v>
      </c>
      <c r="B34" s="159">
        <v>100</v>
      </c>
      <c r="C34" s="200">
        <v>283</v>
      </c>
      <c r="D34" s="396"/>
      <c r="F34" s="39">
        <v>8</v>
      </c>
      <c r="G34" s="39">
        <v>8</v>
      </c>
      <c r="H34" s="39">
        <v>8</v>
      </c>
      <c r="I34" s="39">
        <v>8</v>
      </c>
      <c r="J34" s="39">
        <v>0</v>
      </c>
      <c r="K34" s="39">
        <v>0</v>
      </c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6"/>
      <c r="AC34" s="6"/>
      <c r="AD34" s="6"/>
      <c r="AE34" s="6"/>
      <c r="AF34" s="372">
        <f t="shared" ca="1" si="0"/>
        <v>0</v>
      </c>
      <c r="AH34" s="347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</row>
    <row r="35" spans="1:69" ht="18.75" hidden="1" x14ac:dyDescent="0.3">
      <c r="A35" s="382" t="s">
        <v>258</v>
      </c>
      <c r="B35" s="383">
        <v>150</v>
      </c>
      <c r="C35" s="241">
        <v>781.05</v>
      </c>
      <c r="D35" s="396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6"/>
      <c r="AC35" s="6"/>
      <c r="AD35" s="6"/>
      <c r="AE35" s="6"/>
      <c r="AF35" s="372">
        <f t="shared" ca="1" si="0"/>
        <v>0</v>
      </c>
      <c r="AH35" s="347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</row>
    <row r="36" spans="1:69" ht="18.75" hidden="1" customHeight="1" x14ac:dyDescent="0.3">
      <c r="A36" s="382" t="s">
        <v>259</v>
      </c>
      <c r="B36" s="383">
        <v>100</v>
      </c>
      <c r="C36" s="241">
        <v>789</v>
      </c>
      <c r="D36" s="396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6"/>
      <c r="AC36" s="6"/>
      <c r="AD36" s="6"/>
      <c r="AE36" s="6"/>
      <c r="AF36" s="372">
        <f t="shared" ca="1" si="0"/>
        <v>0</v>
      </c>
      <c r="AH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</row>
    <row r="37" spans="1:69" ht="18.75" hidden="1" customHeight="1" x14ac:dyDescent="0.3">
      <c r="A37" s="382" t="s">
        <v>260</v>
      </c>
      <c r="B37" s="383">
        <v>75</v>
      </c>
      <c r="C37" s="241">
        <v>844.05</v>
      </c>
      <c r="D37" s="396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6"/>
      <c r="AC37" s="6"/>
      <c r="AD37" s="6"/>
      <c r="AE37" s="6"/>
      <c r="AF37" s="372">
        <f t="shared" ca="1" si="0"/>
        <v>0</v>
      </c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</row>
    <row r="38" spans="1:69" ht="18.75" hidden="1" customHeight="1" x14ac:dyDescent="0.3">
      <c r="A38" s="382" t="s">
        <v>261</v>
      </c>
      <c r="B38" s="383">
        <v>200</v>
      </c>
      <c r="C38" s="241">
        <v>450</v>
      </c>
      <c r="D38" s="396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6"/>
      <c r="AC38" s="6"/>
      <c r="AD38" s="6"/>
      <c r="AE38" s="6"/>
      <c r="AF38" s="372">
        <f t="shared" ca="1" si="0"/>
        <v>0</v>
      </c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</row>
    <row r="39" spans="1:69" ht="18.75" hidden="1" customHeight="1" x14ac:dyDescent="0.3">
      <c r="A39" s="382" t="s">
        <v>262</v>
      </c>
      <c r="B39" s="383">
        <v>150</v>
      </c>
      <c r="C39" s="241">
        <v>430.5</v>
      </c>
      <c r="D39" s="396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6"/>
      <c r="AC39" s="6"/>
      <c r="AD39" s="6"/>
      <c r="AE39" s="6"/>
      <c r="AF39" s="372">
        <f t="shared" ca="1" si="0"/>
        <v>0</v>
      </c>
      <c r="AH39" s="41"/>
      <c r="AK39" s="401"/>
      <c r="AL39" s="401"/>
      <c r="AM39" s="401"/>
      <c r="AN39" s="401"/>
      <c r="AO39" s="401"/>
      <c r="AP39" s="401"/>
      <c r="AQ39" s="40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</row>
    <row r="40" spans="1:69" ht="18.75" hidden="1" x14ac:dyDescent="0.3">
      <c r="A40" s="399" t="s">
        <v>263</v>
      </c>
      <c r="B40" s="134">
        <v>150</v>
      </c>
      <c r="C40" s="246">
        <v>298</v>
      </c>
      <c r="D40" s="396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6"/>
      <c r="AC40" s="6"/>
      <c r="AD40" s="6"/>
      <c r="AE40" s="6"/>
      <c r="AF40" s="372">
        <f t="shared" ca="1" si="0"/>
        <v>0</v>
      </c>
      <c r="AH40" s="41"/>
      <c r="AK40" s="401"/>
      <c r="AL40" s="401"/>
      <c r="AM40" s="401"/>
      <c r="AN40" s="401"/>
      <c r="AO40" s="401"/>
      <c r="AP40" s="401"/>
      <c r="AQ40" s="401"/>
      <c r="AR40" s="401"/>
      <c r="AS40" s="401"/>
      <c r="AT40" s="401"/>
      <c r="AU40" s="11"/>
      <c r="AV40" s="11"/>
      <c r="AW40" s="11"/>
      <c r="AX40" s="11"/>
      <c r="AY40" s="11"/>
      <c r="AZ40" s="11"/>
      <c r="BA40" s="11"/>
      <c r="BB40" s="11"/>
    </row>
    <row r="41" spans="1:69" ht="18.75" hidden="1" x14ac:dyDescent="0.3">
      <c r="A41" s="397" t="s">
        <v>264</v>
      </c>
      <c r="B41" s="398">
        <v>100</v>
      </c>
      <c r="C41" s="246"/>
      <c r="D41" s="396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6"/>
      <c r="AC41" s="6"/>
      <c r="AD41" s="6"/>
      <c r="AE41" s="6"/>
      <c r="AF41" s="372">
        <f t="shared" ca="1" si="0"/>
        <v>0</v>
      </c>
      <c r="AH41" s="41"/>
      <c r="AK41" s="41"/>
      <c r="AL41" s="41"/>
      <c r="AM41" s="41"/>
      <c r="AN41" s="41"/>
      <c r="AO41" s="41"/>
      <c r="AP41" s="41"/>
      <c r="AQ41" s="41"/>
      <c r="AR41" s="401"/>
      <c r="AS41" s="401"/>
      <c r="AT41" s="401"/>
      <c r="AU41" s="11"/>
      <c r="AV41" s="11"/>
      <c r="AW41" s="11"/>
      <c r="AX41" s="11"/>
      <c r="AY41" s="11"/>
      <c r="AZ41" s="11"/>
      <c r="BA41" s="11"/>
      <c r="BB41" s="1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1"/>
    </row>
    <row r="42" spans="1:69" ht="18.75" hidden="1" x14ac:dyDescent="0.3">
      <c r="A42" s="397" t="s">
        <v>165</v>
      </c>
      <c r="B42" s="398">
        <v>25</v>
      </c>
      <c r="C42" s="246"/>
      <c r="D42" s="396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6"/>
      <c r="AC42" s="6"/>
      <c r="AD42" s="6"/>
      <c r="AE42" s="6"/>
      <c r="AF42" s="372">
        <f t="shared" ca="1" si="0"/>
        <v>0</v>
      </c>
      <c r="AH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11"/>
      <c r="AV42" s="11"/>
      <c r="AW42" s="11"/>
      <c r="AX42" s="11"/>
      <c r="AY42" s="11"/>
      <c r="AZ42" s="11"/>
      <c r="BA42" s="11"/>
      <c r="BB42" s="1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</row>
    <row r="43" spans="1:69" ht="18.75" hidden="1" x14ac:dyDescent="0.3">
      <c r="A43" s="397" t="s">
        <v>166</v>
      </c>
      <c r="B43" s="398">
        <v>25</v>
      </c>
      <c r="C43" s="246"/>
      <c r="D43" s="396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6"/>
      <c r="AC43" s="6"/>
      <c r="AD43" s="6"/>
      <c r="AE43" s="6"/>
      <c r="AF43" s="372">
        <f t="shared" ca="1" si="0"/>
        <v>0</v>
      </c>
      <c r="AH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11"/>
      <c r="AV43" s="11"/>
      <c r="AW43" s="11"/>
      <c r="AX43" s="11"/>
      <c r="AY43" s="11"/>
      <c r="AZ43" s="11"/>
      <c r="BA43" s="11"/>
      <c r="BB43" s="11"/>
      <c r="BD43" s="41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1"/>
    </row>
    <row r="44" spans="1:69" ht="18.75" hidden="1" x14ac:dyDescent="0.3">
      <c r="A44" s="397" t="s">
        <v>167</v>
      </c>
      <c r="B44" s="398">
        <v>25</v>
      </c>
      <c r="C44" s="246"/>
      <c r="D44" s="396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6"/>
      <c r="AC44" s="6"/>
      <c r="AD44" s="6"/>
      <c r="AE44" s="6"/>
      <c r="AF44" s="372">
        <f t="shared" ca="1" si="0"/>
        <v>0</v>
      </c>
      <c r="AH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11"/>
      <c r="AV44" s="11"/>
      <c r="AW44" s="11"/>
      <c r="AX44" s="11"/>
      <c r="AY44" s="11"/>
      <c r="AZ44" s="11"/>
      <c r="BA44" s="11"/>
      <c r="BB44" s="11"/>
      <c r="BD44" s="41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1"/>
    </row>
    <row r="45" spans="1:69" ht="18.75" hidden="1" x14ac:dyDescent="0.3">
      <c r="A45" s="404" t="s">
        <v>226</v>
      </c>
      <c r="B45" s="405">
        <v>100</v>
      </c>
      <c r="C45" s="252">
        <v>841.1</v>
      </c>
      <c r="D45" s="396"/>
      <c r="F45" s="39">
        <v>1</v>
      </c>
      <c r="G45" s="39">
        <v>1</v>
      </c>
      <c r="H45" s="39">
        <v>1</v>
      </c>
      <c r="I45" s="39">
        <v>1</v>
      </c>
      <c r="J45" s="39">
        <v>1</v>
      </c>
      <c r="K45" s="39">
        <v>0</v>
      </c>
      <c r="L45" s="39">
        <v>0</v>
      </c>
      <c r="M45" s="39">
        <v>0</v>
      </c>
      <c r="N45" s="39">
        <v>0</v>
      </c>
      <c r="O45" s="39">
        <v>0</v>
      </c>
      <c r="P45" s="39">
        <v>0</v>
      </c>
      <c r="Q45" s="39">
        <v>0</v>
      </c>
      <c r="R45" s="39">
        <v>0</v>
      </c>
      <c r="S45" s="39"/>
      <c r="T45" s="39"/>
      <c r="U45" s="39"/>
      <c r="V45" s="39"/>
      <c r="W45" s="39"/>
      <c r="X45" s="39"/>
      <c r="Y45" s="39"/>
      <c r="Z45" s="39"/>
      <c r="AA45" s="39"/>
      <c r="AB45" s="6"/>
      <c r="AC45" s="6"/>
      <c r="AD45" s="6"/>
      <c r="AE45" s="6"/>
      <c r="AF45" s="372">
        <f t="shared" ca="1" si="0"/>
        <v>0</v>
      </c>
      <c r="AH45" s="41"/>
      <c r="AR45" s="41"/>
      <c r="AS45" s="41"/>
      <c r="AT45" s="41"/>
      <c r="AU45" s="11"/>
      <c r="AV45" s="11"/>
      <c r="AW45" s="11"/>
      <c r="AX45" s="11"/>
      <c r="AY45" s="401"/>
      <c r="AZ45" s="401"/>
      <c r="BA45" s="401"/>
      <c r="BB45" s="401"/>
    </row>
    <row r="46" spans="1:69" ht="18.75" x14ac:dyDescent="0.3">
      <c r="A46" s="25" t="s">
        <v>169</v>
      </c>
      <c r="B46" s="6">
        <v>150</v>
      </c>
      <c r="C46" s="77">
        <v>805.35</v>
      </c>
      <c r="D46" s="396"/>
      <c r="F46" s="6">
        <v>72</v>
      </c>
      <c r="G46" s="6">
        <v>40</v>
      </c>
      <c r="H46" s="6">
        <v>34</v>
      </c>
      <c r="I46" s="6">
        <v>32</v>
      </c>
      <c r="J46" s="6">
        <v>32</v>
      </c>
      <c r="K46" s="6">
        <v>32</v>
      </c>
      <c r="L46" s="6">
        <v>32</v>
      </c>
      <c r="M46" s="6">
        <v>30</v>
      </c>
      <c r="N46" s="6">
        <v>25</v>
      </c>
      <c r="O46" s="6">
        <v>21</v>
      </c>
      <c r="P46" s="6">
        <v>9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>
        <v>0</v>
      </c>
      <c r="Z46" s="6">
        <v>0</v>
      </c>
      <c r="AA46" s="6">
        <v>0</v>
      </c>
      <c r="AB46" s="6">
        <v>0</v>
      </c>
      <c r="AC46" s="6">
        <v>0</v>
      </c>
      <c r="AD46" s="6">
        <v>0</v>
      </c>
      <c r="AE46" s="6">
        <v>0</v>
      </c>
      <c r="AF46" s="372">
        <f t="shared" ca="1" si="0"/>
        <v>0</v>
      </c>
      <c r="AH46" s="41"/>
      <c r="AU46" s="11"/>
      <c r="AV46" s="11"/>
      <c r="AW46" s="11"/>
      <c r="AX46" s="11"/>
      <c r="AY46" s="401"/>
      <c r="AZ46" s="401"/>
      <c r="BA46" s="401"/>
      <c r="BB46" s="401"/>
    </row>
    <row r="47" spans="1:69" ht="18.75" hidden="1" x14ac:dyDescent="0.3">
      <c r="A47" s="25" t="s">
        <v>170</v>
      </c>
      <c r="B47" s="6">
        <v>100</v>
      </c>
      <c r="C47" s="77">
        <v>792.2</v>
      </c>
      <c r="D47" s="396"/>
      <c r="F47" s="6">
        <v>87</v>
      </c>
      <c r="G47" s="6">
        <v>37</v>
      </c>
      <c r="H47" s="6">
        <v>33</v>
      </c>
      <c r="I47" s="6">
        <v>29</v>
      </c>
      <c r="J47" s="6">
        <v>19</v>
      </c>
      <c r="K47" s="6">
        <v>34</v>
      </c>
      <c r="L47" s="6">
        <v>28</v>
      </c>
      <c r="M47" s="6">
        <v>17</v>
      </c>
      <c r="N47" s="6">
        <v>17</v>
      </c>
      <c r="O47" s="6">
        <v>17</v>
      </c>
      <c r="P47" s="6">
        <v>7</v>
      </c>
      <c r="Q47" s="6">
        <v>0</v>
      </c>
      <c r="R47" s="6">
        <v>0</v>
      </c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26">
        <f t="shared" ca="1" si="0"/>
        <v>0</v>
      </c>
      <c r="AH47" s="41"/>
      <c r="AK47" s="11"/>
      <c r="AL47" s="11"/>
      <c r="AM47" s="11"/>
      <c r="AN47" s="11"/>
      <c r="AO47" s="11"/>
      <c r="AP47" s="11"/>
      <c r="AQ47" s="11"/>
      <c r="AU47" s="11"/>
      <c r="AV47" s="11"/>
      <c r="AW47" s="11"/>
      <c r="AX47" s="11"/>
      <c r="AY47" s="401"/>
      <c r="AZ47" s="401"/>
      <c r="BA47" s="401"/>
      <c r="BB47" s="401"/>
    </row>
    <row r="48" spans="1:69" ht="18.75" hidden="1" x14ac:dyDescent="0.3">
      <c r="A48" s="25" t="s">
        <v>171</v>
      </c>
      <c r="B48" s="6">
        <v>200</v>
      </c>
      <c r="C48" s="77">
        <v>487.2</v>
      </c>
      <c r="D48" s="396"/>
      <c r="F48" s="6">
        <v>45</v>
      </c>
      <c r="G48" s="6">
        <v>6</v>
      </c>
      <c r="H48" s="373">
        <v>26</v>
      </c>
      <c r="I48" s="6">
        <v>15</v>
      </c>
      <c r="J48" s="6">
        <v>26</v>
      </c>
      <c r="K48" s="6">
        <v>14</v>
      </c>
      <c r="L48" s="6">
        <v>1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26">
        <f t="shared" ca="1" si="0"/>
        <v>0</v>
      </c>
      <c r="AH48" s="41"/>
      <c r="AR48" s="11"/>
      <c r="AS48" s="11"/>
      <c r="AT48" s="11"/>
      <c r="AU48" s="11"/>
      <c r="AV48" s="11"/>
      <c r="AW48" s="11"/>
      <c r="AX48" s="11"/>
      <c r="AY48" s="401"/>
      <c r="AZ48" s="401"/>
      <c r="BA48" s="401"/>
      <c r="BB48" s="401"/>
    </row>
    <row r="49" spans="1:54" ht="18.75" hidden="1" x14ac:dyDescent="0.3">
      <c r="A49" s="25" t="s">
        <v>172</v>
      </c>
      <c r="B49" s="6">
        <v>150</v>
      </c>
      <c r="C49" s="77">
        <v>460.35</v>
      </c>
      <c r="D49" s="396"/>
      <c r="F49" s="6">
        <v>54</v>
      </c>
      <c r="G49" s="6">
        <v>17</v>
      </c>
      <c r="H49" s="6">
        <v>14</v>
      </c>
      <c r="I49" s="6">
        <v>4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R49" s="6">
        <v>0</v>
      </c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26">
        <f t="shared" ca="1" si="0"/>
        <v>0</v>
      </c>
      <c r="AH49" s="41"/>
      <c r="AU49" s="11"/>
      <c r="AV49" s="11"/>
      <c r="AW49" s="11"/>
      <c r="AX49" s="11"/>
      <c r="AY49" s="401"/>
      <c r="AZ49" s="401"/>
      <c r="BA49" s="401"/>
      <c r="BB49" s="401"/>
    </row>
    <row r="50" spans="1:54" ht="18.75" hidden="1" x14ac:dyDescent="0.3">
      <c r="A50" s="25" t="s">
        <v>173</v>
      </c>
      <c r="B50" s="6">
        <v>10</v>
      </c>
      <c r="C50" s="77">
        <v>120</v>
      </c>
      <c r="D50" s="396"/>
      <c r="F50" s="39">
        <v>10</v>
      </c>
      <c r="G50" s="39">
        <v>10</v>
      </c>
      <c r="H50" s="39">
        <v>10</v>
      </c>
      <c r="I50" s="39">
        <v>10</v>
      </c>
      <c r="J50" s="39">
        <v>0</v>
      </c>
      <c r="K50" s="39">
        <v>0</v>
      </c>
      <c r="L50" s="39">
        <v>0</v>
      </c>
      <c r="M50" s="39">
        <v>0</v>
      </c>
      <c r="N50" s="39">
        <v>0</v>
      </c>
      <c r="O50" s="39">
        <v>0</v>
      </c>
      <c r="P50" s="39">
        <v>0</v>
      </c>
      <c r="Q50" s="39">
        <v>0</v>
      </c>
      <c r="R50" s="39">
        <v>0</v>
      </c>
      <c r="S50" s="39"/>
      <c r="T50" s="39"/>
      <c r="U50" s="39"/>
      <c r="V50" s="39"/>
      <c r="W50" s="39"/>
      <c r="X50" s="39"/>
      <c r="Y50" s="39"/>
      <c r="Z50" s="39"/>
      <c r="AA50" s="39"/>
      <c r="AB50" s="6"/>
      <c r="AC50" s="6"/>
      <c r="AD50" s="6"/>
      <c r="AE50" s="6"/>
      <c r="AF50" s="26">
        <f t="shared" ca="1" si="0"/>
        <v>0</v>
      </c>
      <c r="AH50" s="41"/>
      <c r="AU50" s="11"/>
      <c r="AV50" s="11"/>
      <c r="AW50" s="11"/>
      <c r="AX50" s="11"/>
      <c r="AY50" s="401"/>
      <c r="AZ50" s="401"/>
      <c r="BA50" s="401"/>
      <c r="BB50" s="401"/>
    </row>
    <row r="51" spans="1:54" ht="18.75" x14ac:dyDescent="0.3">
      <c r="AH51" s="41"/>
      <c r="AU51" s="11"/>
      <c r="AV51" s="11"/>
      <c r="AW51" s="11"/>
      <c r="AX51" s="11"/>
      <c r="AY51" s="401"/>
      <c r="AZ51" s="401"/>
      <c r="BA51" s="401"/>
      <c r="BB51" s="401"/>
    </row>
    <row r="52" spans="1:54" ht="21" customHeight="1" x14ac:dyDescent="0.3">
      <c r="A52" s="394" t="s">
        <v>174</v>
      </c>
      <c r="B52" s="394"/>
      <c r="C52" s="394"/>
      <c r="AH52" s="41"/>
      <c r="AU52" s="11"/>
      <c r="AV52" s="11"/>
      <c r="AW52" s="11"/>
      <c r="AX52" s="11"/>
      <c r="AY52" s="41"/>
      <c r="AZ52" s="41"/>
      <c r="BA52" s="41"/>
      <c r="BB52" s="41"/>
    </row>
    <row r="53" spans="1:54" ht="18.75" x14ac:dyDescent="0.3">
      <c r="A53" s="361" t="s">
        <v>175</v>
      </c>
      <c r="B53" s="361" t="s">
        <v>246</v>
      </c>
      <c r="C53" s="361" t="s">
        <v>176</v>
      </c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K53" s="41"/>
      <c r="AU53" s="11"/>
      <c r="AV53" s="11"/>
      <c r="AW53" s="11"/>
      <c r="AX53" s="11"/>
      <c r="AY53" s="41"/>
      <c r="AZ53" s="41"/>
      <c r="BA53" s="41"/>
      <c r="BB53" s="41"/>
    </row>
    <row r="54" spans="1:54" ht="18.75" x14ac:dyDescent="0.3">
      <c r="A54" s="181" t="s">
        <v>265</v>
      </c>
      <c r="B54" s="157"/>
      <c r="C54" s="158">
        <v>50</v>
      </c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H54" s="41"/>
      <c r="AU54" s="11"/>
      <c r="AV54" s="11"/>
      <c r="AW54" s="11"/>
      <c r="AX54" s="11"/>
      <c r="AY54" s="41"/>
      <c r="AZ54" s="41"/>
      <c r="BA54" s="41"/>
      <c r="BB54" s="41"/>
    </row>
    <row r="55" spans="1:54" ht="18.75" x14ac:dyDescent="0.3">
      <c r="A55" s="185"/>
      <c r="C55" s="374"/>
      <c r="D55" s="374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H55" s="41"/>
      <c r="AU55" s="11"/>
      <c r="AV55" s="11"/>
      <c r="AW55" s="11"/>
      <c r="AX55" s="11"/>
      <c r="AY55" s="41"/>
      <c r="AZ55" s="41"/>
      <c r="BA55" s="41"/>
      <c r="BB55" s="41"/>
    </row>
    <row r="56" spans="1:54" ht="18.75" x14ac:dyDescent="0.3">
      <c r="A56" s="472" t="s">
        <v>177</v>
      </c>
      <c r="B56" s="467"/>
      <c r="C56" s="467"/>
      <c r="D56" s="469"/>
      <c r="F56" s="356">
        <v>46013</v>
      </c>
      <c r="G56" s="356">
        <v>46020</v>
      </c>
      <c r="H56" s="356">
        <v>46027</v>
      </c>
      <c r="I56" s="356">
        <v>46034</v>
      </c>
      <c r="J56" s="356">
        <v>46041</v>
      </c>
      <c r="K56" s="356">
        <v>46048</v>
      </c>
      <c r="L56" s="356">
        <v>46055</v>
      </c>
      <c r="M56" s="356">
        <v>46062</v>
      </c>
      <c r="N56" s="356">
        <v>46069</v>
      </c>
      <c r="O56" s="356">
        <v>46076</v>
      </c>
      <c r="P56" s="356">
        <v>46083</v>
      </c>
      <c r="Q56" s="356">
        <v>46090</v>
      </c>
      <c r="R56" s="356">
        <v>46097</v>
      </c>
      <c r="S56" s="356">
        <v>46104</v>
      </c>
      <c r="T56" s="356">
        <v>46111</v>
      </c>
      <c r="U56" s="356">
        <v>46118</v>
      </c>
      <c r="V56" s="356">
        <v>46125</v>
      </c>
      <c r="W56" s="356">
        <v>46132</v>
      </c>
      <c r="X56" s="356">
        <v>46139</v>
      </c>
      <c r="Y56" s="356">
        <v>46146</v>
      </c>
      <c r="Z56" s="356">
        <v>46154</v>
      </c>
      <c r="AA56" s="356">
        <v>46160</v>
      </c>
      <c r="AB56" s="356">
        <v>46161.480130520831</v>
      </c>
      <c r="AC56" s="356">
        <v>46161.480804212973</v>
      </c>
      <c r="AD56" s="356">
        <v>46161.482961412039</v>
      </c>
      <c r="AE56" s="356">
        <v>46161.483290118042</v>
      </c>
      <c r="AH56" s="41"/>
      <c r="AU56" s="11"/>
      <c r="AV56" s="11"/>
      <c r="AW56" s="11"/>
      <c r="AX56" s="11"/>
      <c r="AY56" s="41"/>
      <c r="AZ56" s="41"/>
      <c r="BA56" s="41"/>
      <c r="BB56" s="41"/>
    </row>
    <row r="57" spans="1:54" ht="18.75" hidden="1" customHeight="1" x14ac:dyDescent="0.3">
      <c r="A57" s="470" t="s">
        <v>266</v>
      </c>
      <c r="B57" s="467"/>
      <c r="C57" s="467"/>
      <c r="D57" s="469"/>
      <c r="F57" s="358"/>
      <c r="G57" s="358"/>
      <c r="H57" s="358"/>
      <c r="I57" s="358"/>
      <c r="J57" s="358"/>
      <c r="K57" s="358"/>
      <c r="L57" s="358"/>
      <c r="M57" s="358"/>
      <c r="N57" s="358"/>
      <c r="O57" s="358"/>
      <c r="P57" s="358"/>
      <c r="Q57" s="358"/>
      <c r="R57" s="358"/>
      <c r="S57" s="358"/>
      <c r="T57" s="358"/>
      <c r="U57" s="358"/>
      <c r="V57" s="358"/>
      <c r="W57" s="358"/>
      <c r="X57" s="358"/>
      <c r="Y57" s="358"/>
      <c r="Z57" s="358"/>
      <c r="AA57" s="358"/>
      <c r="AB57" s="448"/>
      <c r="AC57" s="448"/>
      <c r="AD57" s="448"/>
      <c r="AE57" s="448"/>
      <c r="AH57" s="41"/>
      <c r="AU57" s="11"/>
      <c r="AV57" s="11"/>
      <c r="AW57" s="11"/>
      <c r="AX57" s="11"/>
      <c r="AY57" s="11"/>
      <c r="AZ57" s="11"/>
      <c r="BA57" s="11"/>
      <c r="BB57" s="11"/>
    </row>
    <row r="58" spans="1:54" ht="18.75" hidden="1" customHeight="1" x14ac:dyDescent="0.3">
      <c r="A58" s="470" t="s">
        <v>267</v>
      </c>
      <c r="B58" s="467"/>
      <c r="C58" s="467"/>
      <c r="D58" s="469"/>
      <c r="F58" s="358"/>
      <c r="G58" s="358"/>
      <c r="H58" s="358"/>
      <c r="I58" s="358"/>
      <c r="J58" s="358"/>
      <c r="K58" s="358"/>
      <c r="L58" s="358"/>
      <c r="M58" s="358"/>
      <c r="N58" s="358"/>
      <c r="O58" s="358"/>
      <c r="P58" s="358"/>
      <c r="Q58" s="358"/>
      <c r="R58" s="358"/>
      <c r="S58" s="358"/>
      <c r="T58" s="358"/>
      <c r="U58" s="358"/>
      <c r="V58" s="358"/>
      <c r="W58" s="358"/>
      <c r="X58" s="358"/>
      <c r="Y58" s="358"/>
      <c r="Z58" s="358"/>
      <c r="AA58" s="358"/>
      <c r="AB58" s="448"/>
      <c r="AC58" s="448"/>
      <c r="AD58" s="448"/>
      <c r="AE58" s="448"/>
      <c r="AH58" s="41"/>
      <c r="AU58" s="11"/>
      <c r="AV58" s="11"/>
      <c r="AW58" s="11"/>
      <c r="AX58" s="11"/>
      <c r="AY58" s="349"/>
      <c r="AZ58" s="349"/>
      <c r="BA58" s="349"/>
      <c r="BB58" s="349"/>
    </row>
    <row r="59" spans="1:54" ht="18.75" hidden="1" customHeight="1" x14ac:dyDescent="0.3">
      <c r="A59" s="470" t="s">
        <v>268</v>
      </c>
      <c r="B59" s="467"/>
      <c r="C59" s="467"/>
      <c r="D59" s="469"/>
      <c r="F59" s="358"/>
      <c r="G59" s="358"/>
      <c r="H59" s="358"/>
      <c r="I59" s="358"/>
      <c r="J59" s="358"/>
      <c r="K59" s="358"/>
      <c r="L59" s="358"/>
      <c r="M59" s="358"/>
      <c r="N59" s="358"/>
      <c r="O59" s="358"/>
      <c r="P59" s="358"/>
      <c r="Q59" s="358"/>
      <c r="R59" s="358"/>
      <c r="S59" s="358"/>
      <c r="T59" s="358"/>
      <c r="U59" s="358"/>
      <c r="V59" s="358"/>
      <c r="W59" s="358"/>
      <c r="X59" s="358"/>
      <c r="Y59" s="358"/>
      <c r="Z59" s="358"/>
      <c r="AA59" s="358"/>
      <c r="AB59" s="448"/>
      <c r="AC59" s="448"/>
      <c r="AD59" s="448"/>
      <c r="AE59" s="448"/>
      <c r="AH59" s="41"/>
      <c r="AU59" s="11"/>
      <c r="AV59" s="11"/>
      <c r="AW59" s="11"/>
      <c r="AX59" s="11"/>
      <c r="AY59" s="349"/>
      <c r="AZ59" s="349"/>
      <c r="BA59" s="349"/>
      <c r="BB59" s="349"/>
    </row>
    <row r="60" spans="1:54" ht="18.75" hidden="1" customHeight="1" x14ac:dyDescent="0.3">
      <c r="A60" s="470" t="s">
        <v>269</v>
      </c>
      <c r="B60" s="467"/>
      <c r="C60" s="467"/>
      <c r="D60" s="469"/>
      <c r="F60" s="358"/>
      <c r="G60" s="358"/>
      <c r="H60" s="358"/>
      <c r="I60" s="358"/>
      <c r="J60" s="358"/>
      <c r="K60" s="358"/>
      <c r="L60" s="358"/>
      <c r="M60" s="358"/>
      <c r="N60" s="358"/>
      <c r="O60" s="358"/>
      <c r="P60" s="358"/>
      <c r="Q60" s="358"/>
      <c r="R60" s="358"/>
      <c r="S60" s="358"/>
      <c r="T60" s="358"/>
      <c r="U60" s="358"/>
      <c r="V60" s="358"/>
      <c r="W60" s="358"/>
      <c r="X60" s="358"/>
      <c r="Y60" s="358"/>
      <c r="Z60" s="358"/>
      <c r="AA60" s="358"/>
      <c r="AB60" s="448"/>
      <c r="AC60" s="448"/>
      <c r="AD60" s="448"/>
      <c r="AE60" s="448"/>
      <c r="AH60" s="41"/>
      <c r="AU60" s="11"/>
      <c r="AV60" s="11"/>
      <c r="AW60" s="11"/>
      <c r="AX60" s="11"/>
    </row>
    <row r="61" spans="1:54" ht="18.75" hidden="1" customHeight="1" x14ac:dyDescent="0.3">
      <c r="A61" s="470" t="s">
        <v>270</v>
      </c>
      <c r="B61" s="467"/>
      <c r="C61" s="467"/>
      <c r="D61" s="469"/>
      <c r="F61" s="358"/>
      <c r="G61" s="358"/>
      <c r="H61" s="358"/>
      <c r="I61" s="358"/>
      <c r="J61" s="358"/>
      <c r="K61" s="358"/>
      <c r="L61" s="358"/>
      <c r="M61" s="358"/>
      <c r="N61" s="358"/>
      <c r="O61" s="358"/>
      <c r="P61" s="358"/>
      <c r="Q61" s="358"/>
      <c r="R61" s="358"/>
      <c r="S61" s="358"/>
      <c r="T61" s="358"/>
      <c r="U61" s="358"/>
      <c r="V61" s="358"/>
      <c r="W61" s="358"/>
      <c r="X61" s="358"/>
      <c r="Y61" s="358"/>
      <c r="Z61" s="358"/>
      <c r="AA61" s="358"/>
      <c r="AB61" s="448"/>
      <c r="AC61" s="448"/>
      <c r="AD61" s="448"/>
      <c r="AE61" s="448"/>
      <c r="AH61" s="41"/>
      <c r="AU61" s="11"/>
      <c r="AV61" s="11"/>
      <c r="AW61" s="11"/>
      <c r="AX61" s="11"/>
    </row>
    <row r="62" spans="1:54" ht="18.75" hidden="1" customHeight="1" x14ac:dyDescent="0.3">
      <c r="A62" s="470" t="s">
        <v>271</v>
      </c>
      <c r="B62" s="467"/>
      <c r="C62" s="467"/>
      <c r="D62" s="469"/>
      <c r="F62" s="358"/>
      <c r="G62" s="358"/>
      <c r="H62" s="358"/>
      <c r="I62" s="358"/>
      <c r="J62" s="358"/>
      <c r="K62" s="358"/>
      <c r="L62" s="358"/>
      <c r="M62" s="358"/>
      <c r="N62" s="358"/>
      <c r="O62" s="358"/>
      <c r="P62" s="358"/>
      <c r="Q62" s="358"/>
      <c r="R62" s="358"/>
      <c r="S62" s="358"/>
      <c r="T62" s="358"/>
      <c r="U62" s="358"/>
      <c r="V62" s="358"/>
      <c r="W62" s="358"/>
      <c r="X62" s="358"/>
      <c r="Y62" s="358"/>
      <c r="Z62" s="358"/>
      <c r="AA62" s="358"/>
      <c r="AB62" s="448"/>
      <c r="AC62" s="448"/>
      <c r="AD62" s="448"/>
      <c r="AE62" s="448"/>
      <c r="AU62" s="11"/>
      <c r="AV62" s="11"/>
      <c r="AW62" s="11"/>
      <c r="AX62" s="11"/>
    </row>
    <row r="63" spans="1:54" ht="18.75" hidden="1" customHeight="1" x14ac:dyDescent="0.3">
      <c r="A63" s="470" t="s">
        <v>272</v>
      </c>
      <c r="B63" s="467"/>
      <c r="C63" s="467"/>
      <c r="D63" s="469"/>
      <c r="F63" s="358"/>
      <c r="G63" s="358"/>
      <c r="H63" s="358"/>
      <c r="I63" s="358"/>
      <c r="J63" s="358"/>
      <c r="K63" s="358"/>
      <c r="L63" s="358"/>
      <c r="M63" s="358"/>
      <c r="N63" s="358"/>
      <c r="O63" s="358"/>
      <c r="P63" s="358"/>
      <c r="Q63" s="358"/>
      <c r="R63" s="358"/>
      <c r="S63" s="358"/>
      <c r="T63" s="358"/>
      <c r="U63" s="358"/>
      <c r="V63" s="358"/>
      <c r="W63" s="358"/>
      <c r="X63" s="358"/>
      <c r="Y63" s="358"/>
      <c r="Z63" s="358"/>
      <c r="AA63" s="358"/>
      <c r="AB63" s="448"/>
      <c r="AC63" s="448"/>
      <c r="AD63" s="448"/>
      <c r="AE63" s="448"/>
      <c r="AH63" s="347"/>
      <c r="AU63" s="11"/>
      <c r="AV63" s="11"/>
      <c r="AW63" s="11"/>
      <c r="AX63" s="11"/>
    </row>
    <row r="64" spans="1:54" ht="18.75" hidden="1" customHeight="1" x14ac:dyDescent="0.3">
      <c r="A64" s="470" t="s">
        <v>273</v>
      </c>
      <c r="B64" s="467"/>
      <c r="C64" s="467"/>
      <c r="D64" s="469"/>
      <c r="F64" s="358"/>
      <c r="G64" s="358"/>
      <c r="H64" s="358"/>
      <c r="I64" s="358"/>
      <c r="J64" s="358"/>
      <c r="K64" s="358"/>
      <c r="L64" s="358"/>
      <c r="M64" s="358"/>
      <c r="N64" s="358"/>
      <c r="O64" s="358"/>
      <c r="P64" s="358"/>
      <c r="Q64" s="358"/>
      <c r="R64" s="358"/>
      <c r="S64" s="358"/>
      <c r="T64" s="358"/>
      <c r="U64" s="358"/>
      <c r="V64" s="358"/>
      <c r="W64" s="358"/>
      <c r="X64" s="358"/>
      <c r="Y64" s="358"/>
      <c r="Z64" s="358"/>
      <c r="AA64" s="358"/>
      <c r="AB64" s="448"/>
      <c r="AC64" s="448"/>
      <c r="AD64" s="448"/>
      <c r="AE64" s="448"/>
      <c r="AH64" s="347"/>
      <c r="AU64" s="11"/>
      <c r="AV64" s="11"/>
      <c r="AW64" s="11"/>
      <c r="AX64" s="11"/>
      <c r="AY64" s="11"/>
      <c r="AZ64" s="11"/>
      <c r="BA64" s="11"/>
      <c r="BB64" s="11"/>
    </row>
    <row r="65" spans="1:54" ht="18.75" hidden="1" customHeight="1" x14ac:dyDescent="0.3">
      <c r="A65" s="470" t="s">
        <v>274</v>
      </c>
      <c r="B65" s="467"/>
      <c r="C65" s="467"/>
      <c r="D65" s="469"/>
      <c r="F65" s="358"/>
      <c r="G65" s="358"/>
      <c r="H65" s="358"/>
      <c r="I65" s="358"/>
      <c r="J65" s="358"/>
      <c r="K65" s="358"/>
      <c r="L65" s="358"/>
      <c r="M65" s="358"/>
      <c r="N65" s="358"/>
      <c r="O65" s="358"/>
      <c r="P65" s="358"/>
      <c r="Q65" s="358"/>
      <c r="R65" s="358"/>
      <c r="S65" s="358"/>
      <c r="T65" s="358"/>
      <c r="U65" s="358"/>
      <c r="V65" s="358"/>
      <c r="W65" s="358"/>
      <c r="X65" s="358"/>
      <c r="Y65" s="358"/>
      <c r="Z65" s="358"/>
      <c r="AA65" s="358"/>
      <c r="AB65" s="448"/>
      <c r="AC65" s="448"/>
      <c r="AD65" s="448"/>
      <c r="AE65" s="448"/>
      <c r="AH65" s="347"/>
      <c r="AU65" s="11"/>
      <c r="AV65" s="11"/>
      <c r="AW65" s="11"/>
      <c r="AX65" s="11"/>
      <c r="AY65" s="11"/>
      <c r="AZ65" s="11"/>
      <c r="BA65" s="11"/>
      <c r="BB65" s="11"/>
    </row>
    <row r="66" spans="1:54" ht="18.75" hidden="1" customHeight="1" x14ac:dyDescent="0.3">
      <c r="A66" s="470" t="s">
        <v>275</v>
      </c>
      <c r="B66" s="467"/>
      <c r="C66" s="467"/>
      <c r="D66" s="469"/>
      <c r="F66" s="358"/>
      <c r="G66" s="358"/>
      <c r="H66" s="358"/>
      <c r="I66" s="358"/>
      <c r="J66" s="358"/>
      <c r="K66" s="358"/>
      <c r="L66" s="358"/>
      <c r="M66" s="358"/>
      <c r="N66" s="358"/>
      <c r="O66" s="358"/>
      <c r="P66" s="358"/>
      <c r="Q66" s="358"/>
      <c r="R66" s="358"/>
      <c r="S66" s="358"/>
      <c r="T66" s="358"/>
      <c r="U66" s="358"/>
      <c r="V66" s="358"/>
      <c r="W66" s="358"/>
      <c r="X66" s="358"/>
      <c r="Y66" s="358"/>
      <c r="Z66" s="358"/>
      <c r="AA66" s="358"/>
      <c r="AB66" s="448"/>
      <c r="AC66" s="448"/>
      <c r="AD66" s="448"/>
      <c r="AE66" s="448"/>
      <c r="AU66" s="11"/>
      <c r="AV66" s="11"/>
      <c r="AW66" s="11"/>
      <c r="AX66" s="11"/>
      <c r="AY66" s="11"/>
      <c r="AZ66" s="11"/>
      <c r="BA66" s="11"/>
      <c r="BB66" s="11"/>
    </row>
    <row r="67" spans="1:54" ht="18.75" hidden="1" customHeight="1" x14ac:dyDescent="0.3">
      <c r="A67" s="470" t="s">
        <v>276</v>
      </c>
      <c r="B67" s="467"/>
      <c r="C67" s="467"/>
      <c r="D67" s="469"/>
      <c r="F67" s="358"/>
      <c r="G67" s="358"/>
      <c r="H67" s="358"/>
      <c r="I67" s="358"/>
      <c r="J67" s="358"/>
      <c r="K67" s="358"/>
      <c r="L67" s="358"/>
      <c r="M67" s="358"/>
      <c r="N67" s="358"/>
      <c r="O67" s="358"/>
      <c r="P67" s="358"/>
      <c r="Q67" s="358"/>
      <c r="R67" s="358"/>
      <c r="S67" s="358"/>
      <c r="T67" s="358"/>
      <c r="U67" s="358"/>
      <c r="V67" s="358"/>
      <c r="W67" s="358"/>
      <c r="X67" s="358"/>
      <c r="Y67" s="358"/>
      <c r="Z67" s="358"/>
      <c r="AA67" s="358"/>
      <c r="AB67" s="448"/>
      <c r="AC67" s="448"/>
      <c r="AD67" s="448"/>
      <c r="AE67" s="448"/>
      <c r="AU67" s="401"/>
      <c r="AV67" s="401"/>
      <c r="AW67" s="401"/>
      <c r="AX67" s="401"/>
    </row>
    <row r="68" spans="1:54" ht="18.75" hidden="1" customHeight="1" x14ac:dyDescent="0.3">
      <c r="A68" s="470" t="s">
        <v>277</v>
      </c>
      <c r="B68" s="467"/>
      <c r="C68" s="467"/>
      <c r="D68" s="469"/>
      <c r="F68" s="358"/>
      <c r="G68" s="358"/>
      <c r="H68" s="358"/>
      <c r="I68" s="358"/>
      <c r="J68" s="358"/>
      <c r="K68" s="358"/>
      <c r="L68" s="358"/>
      <c r="M68" s="358"/>
      <c r="N68" s="358"/>
      <c r="O68" s="358"/>
      <c r="P68" s="358"/>
      <c r="Q68" s="358"/>
      <c r="R68" s="358"/>
      <c r="S68" s="358"/>
      <c r="T68" s="358"/>
      <c r="U68" s="358"/>
      <c r="V68" s="358"/>
      <c r="W68" s="358"/>
      <c r="X68" s="358"/>
      <c r="Y68" s="358"/>
      <c r="Z68" s="358"/>
      <c r="AA68" s="358"/>
      <c r="AB68" s="448"/>
      <c r="AC68" s="448"/>
      <c r="AD68" s="448"/>
      <c r="AE68" s="448"/>
      <c r="AU68" s="401"/>
      <c r="AV68" s="401"/>
      <c r="AW68" s="401"/>
      <c r="AX68" s="401"/>
    </row>
    <row r="69" spans="1:54" ht="18.75" hidden="1" customHeight="1" x14ac:dyDescent="0.3">
      <c r="A69" s="470" t="s">
        <v>278</v>
      </c>
      <c r="B69" s="467"/>
      <c r="C69" s="467"/>
      <c r="D69" s="469"/>
      <c r="F69" s="358"/>
      <c r="G69" s="358"/>
      <c r="H69" s="358"/>
      <c r="I69" s="358"/>
      <c r="J69" s="358"/>
      <c r="K69" s="358"/>
      <c r="L69" s="358"/>
      <c r="M69" s="358"/>
      <c r="N69" s="358"/>
      <c r="O69" s="358"/>
      <c r="P69" s="358"/>
      <c r="Q69" s="358"/>
      <c r="R69" s="358"/>
      <c r="S69" s="358"/>
      <c r="T69" s="358"/>
      <c r="U69" s="358"/>
      <c r="V69" s="358"/>
      <c r="W69" s="358"/>
      <c r="X69" s="358"/>
      <c r="Y69" s="358"/>
      <c r="Z69" s="358"/>
      <c r="AA69" s="358"/>
      <c r="AB69" s="448"/>
      <c r="AC69" s="448"/>
      <c r="AD69" s="448"/>
      <c r="AE69" s="448"/>
      <c r="AU69" s="41"/>
      <c r="AV69" s="41"/>
      <c r="AW69" s="41"/>
      <c r="AX69" s="41"/>
    </row>
    <row r="70" spans="1:54" ht="18.75" hidden="1" customHeight="1" x14ac:dyDescent="0.3">
      <c r="A70" s="470" t="s">
        <v>279</v>
      </c>
      <c r="B70" s="467"/>
      <c r="C70" s="467"/>
      <c r="D70" s="469"/>
      <c r="F70" s="358"/>
      <c r="G70" s="358"/>
      <c r="H70" s="358"/>
      <c r="I70" s="358"/>
      <c r="J70" s="358"/>
      <c r="K70" s="358"/>
      <c r="L70" s="358"/>
      <c r="M70" s="358"/>
      <c r="N70" s="358"/>
      <c r="O70" s="358"/>
      <c r="P70" s="358"/>
      <c r="Q70" s="358"/>
      <c r="R70" s="358"/>
      <c r="S70" s="358"/>
      <c r="T70" s="358"/>
      <c r="U70" s="358"/>
      <c r="V70" s="358"/>
      <c r="W70" s="358"/>
      <c r="X70" s="358"/>
      <c r="Y70" s="358"/>
      <c r="Z70" s="358"/>
      <c r="AA70" s="358"/>
      <c r="AB70" s="448"/>
      <c r="AC70" s="448"/>
      <c r="AD70" s="448"/>
      <c r="AE70" s="448"/>
      <c r="AU70" s="41"/>
      <c r="AV70" s="41"/>
      <c r="AW70" s="41"/>
      <c r="AX70" s="41"/>
    </row>
    <row r="71" spans="1:54" ht="18.75" hidden="1" customHeight="1" x14ac:dyDescent="0.3">
      <c r="A71" s="470" t="s">
        <v>280</v>
      </c>
      <c r="B71" s="467"/>
      <c r="C71" s="467"/>
      <c r="D71" s="469"/>
      <c r="F71" s="358"/>
      <c r="G71" s="358"/>
      <c r="H71" s="358"/>
      <c r="I71" s="358"/>
      <c r="J71" s="358"/>
      <c r="K71" s="358"/>
      <c r="L71" s="358"/>
      <c r="M71" s="358"/>
      <c r="N71" s="358"/>
      <c r="O71" s="358"/>
      <c r="P71" s="358"/>
      <c r="Q71" s="358"/>
      <c r="R71" s="358"/>
      <c r="S71" s="358"/>
      <c r="T71" s="358"/>
      <c r="U71" s="358"/>
      <c r="V71" s="358"/>
      <c r="W71" s="358"/>
      <c r="X71" s="358"/>
      <c r="Y71" s="358"/>
      <c r="Z71" s="358"/>
      <c r="AA71" s="358"/>
      <c r="AB71" s="448"/>
      <c r="AC71" s="448"/>
      <c r="AD71" s="448"/>
      <c r="AE71" s="448"/>
      <c r="AU71" s="41"/>
      <c r="AV71" s="41"/>
      <c r="AW71" s="41"/>
      <c r="AX71" s="41"/>
    </row>
    <row r="72" spans="1:54" ht="18.75" hidden="1" customHeight="1" x14ac:dyDescent="0.3">
      <c r="A72" s="470" t="s">
        <v>281</v>
      </c>
      <c r="B72" s="467"/>
      <c r="C72" s="467"/>
      <c r="D72" s="469"/>
      <c r="F72" s="358"/>
      <c r="G72" s="358"/>
      <c r="H72" s="358"/>
      <c r="I72" s="358"/>
      <c r="J72" s="358"/>
      <c r="K72" s="358"/>
      <c r="L72" s="358"/>
      <c r="M72" s="358"/>
      <c r="N72" s="358"/>
      <c r="O72" s="358"/>
      <c r="P72" s="358"/>
      <c r="Q72" s="358"/>
      <c r="R72" s="358"/>
      <c r="S72" s="358"/>
      <c r="T72" s="358"/>
      <c r="U72" s="358"/>
      <c r="V72" s="358"/>
      <c r="W72" s="358"/>
      <c r="X72" s="358"/>
      <c r="Y72" s="358"/>
      <c r="Z72" s="358"/>
      <c r="AA72" s="358"/>
      <c r="AB72" s="448"/>
      <c r="AC72" s="448"/>
      <c r="AD72" s="448"/>
      <c r="AE72" s="448"/>
      <c r="AU72" s="41"/>
      <c r="AV72" s="41"/>
      <c r="AW72" s="41"/>
      <c r="AX72" s="41"/>
    </row>
    <row r="73" spans="1:54" ht="18.75" hidden="1" customHeight="1" x14ac:dyDescent="0.3">
      <c r="A73" s="470" t="s">
        <v>282</v>
      </c>
      <c r="B73" s="467"/>
      <c r="C73" s="467"/>
      <c r="D73" s="469"/>
      <c r="F73" s="358"/>
      <c r="G73" s="358"/>
      <c r="H73" s="358"/>
      <c r="I73" s="358"/>
      <c r="J73" s="358"/>
      <c r="K73" s="358"/>
      <c r="L73" s="358"/>
      <c r="M73" s="358"/>
      <c r="N73" s="358"/>
      <c r="O73" s="358"/>
      <c r="P73" s="358"/>
      <c r="Q73" s="358"/>
      <c r="R73" s="358"/>
      <c r="S73" s="358"/>
      <c r="T73" s="358"/>
      <c r="U73" s="358"/>
      <c r="V73" s="358"/>
      <c r="W73" s="358"/>
      <c r="X73" s="358"/>
      <c r="Y73" s="358"/>
      <c r="Z73" s="358"/>
      <c r="AA73" s="358"/>
      <c r="AB73" s="448"/>
      <c r="AC73" s="448"/>
      <c r="AD73" s="448"/>
      <c r="AE73" s="448"/>
      <c r="AU73" s="41"/>
      <c r="AV73" s="41"/>
      <c r="AW73" s="41"/>
      <c r="AX73" s="41"/>
    </row>
    <row r="74" spans="1:54" ht="18.75" hidden="1" customHeight="1" x14ac:dyDescent="0.3">
      <c r="A74" s="470" t="s">
        <v>283</v>
      </c>
      <c r="B74" s="467"/>
      <c r="C74" s="467"/>
      <c r="D74" s="469"/>
      <c r="F74" s="358"/>
      <c r="G74" s="358"/>
      <c r="H74" s="358"/>
      <c r="I74" s="358"/>
      <c r="J74" s="358"/>
      <c r="K74" s="358"/>
      <c r="L74" s="358"/>
      <c r="M74" s="358"/>
      <c r="N74" s="358"/>
      <c r="O74" s="358"/>
      <c r="P74" s="358"/>
      <c r="Q74" s="358"/>
      <c r="R74" s="358"/>
      <c r="S74" s="358"/>
      <c r="T74" s="358"/>
      <c r="U74" s="358"/>
      <c r="V74" s="358"/>
      <c r="W74" s="358"/>
      <c r="X74" s="358"/>
      <c r="Y74" s="358"/>
      <c r="Z74" s="358"/>
      <c r="AA74" s="358"/>
      <c r="AB74" s="448"/>
      <c r="AC74" s="448"/>
      <c r="AD74" s="448"/>
      <c r="AE74" s="448"/>
      <c r="AU74" s="11"/>
      <c r="AV74" s="11"/>
      <c r="AW74" s="11"/>
      <c r="AX74" s="11"/>
    </row>
    <row r="75" spans="1:54" ht="18.75" hidden="1" customHeight="1" x14ac:dyDescent="0.3">
      <c r="A75" s="470" t="s">
        <v>284</v>
      </c>
      <c r="B75" s="467"/>
      <c r="C75" s="467"/>
      <c r="D75" s="469"/>
      <c r="F75" s="358"/>
      <c r="G75" s="358"/>
      <c r="H75" s="358"/>
      <c r="I75" s="358"/>
      <c r="J75" s="358"/>
      <c r="K75" s="358"/>
      <c r="L75" s="358"/>
      <c r="M75" s="358"/>
      <c r="N75" s="358"/>
      <c r="O75" s="358"/>
      <c r="P75" s="358"/>
      <c r="Q75" s="358"/>
      <c r="R75" s="358"/>
      <c r="S75" s="358"/>
      <c r="T75" s="358"/>
      <c r="U75" s="358"/>
      <c r="V75" s="358"/>
      <c r="W75" s="358"/>
      <c r="X75" s="358"/>
      <c r="Y75" s="358"/>
      <c r="Z75" s="358"/>
      <c r="AA75" s="358"/>
      <c r="AB75" s="448"/>
      <c r="AC75" s="448"/>
      <c r="AD75" s="448"/>
      <c r="AE75" s="448"/>
      <c r="AU75" s="349"/>
      <c r="AV75" s="349"/>
      <c r="AW75" s="349"/>
      <c r="AX75" s="349"/>
    </row>
    <row r="76" spans="1:54" ht="18.75" hidden="1" customHeight="1" x14ac:dyDescent="0.3">
      <c r="A76" s="470" t="s">
        <v>285</v>
      </c>
      <c r="B76" s="467"/>
      <c r="C76" s="467"/>
      <c r="D76" s="469"/>
      <c r="F76" s="358"/>
      <c r="G76" s="358"/>
      <c r="H76" s="358"/>
      <c r="I76" s="358"/>
      <c r="J76" s="358"/>
      <c r="K76" s="358"/>
      <c r="L76" s="358"/>
      <c r="M76" s="358"/>
      <c r="N76" s="358"/>
      <c r="O76" s="358"/>
      <c r="P76" s="358"/>
      <c r="Q76" s="358"/>
      <c r="R76" s="358"/>
      <c r="S76" s="358"/>
      <c r="T76" s="358"/>
      <c r="U76" s="358"/>
      <c r="V76" s="358"/>
      <c r="W76" s="358"/>
      <c r="X76" s="358"/>
      <c r="Y76" s="358"/>
      <c r="Z76" s="358"/>
      <c r="AA76" s="358"/>
      <c r="AB76" s="448"/>
      <c r="AC76" s="448"/>
      <c r="AD76" s="448"/>
      <c r="AE76" s="448"/>
      <c r="AU76" s="349"/>
      <c r="AV76" s="349"/>
      <c r="AW76" s="349"/>
      <c r="AX76" s="349"/>
    </row>
    <row r="77" spans="1:54" ht="18.75" hidden="1" customHeight="1" x14ac:dyDescent="0.25">
      <c r="A77" s="470" t="s">
        <v>286</v>
      </c>
      <c r="B77" s="467"/>
      <c r="C77" s="467"/>
      <c r="D77" s="469"/>
      <c r="F77" s="358"/>
      <c r="G77" s="358"/>
      <c r="H77" s="358"/>
      <c r="I77" s="358"/>
      <c r="J77" s="358"/>
      <c r="K77" s="358"/>
      <c r="L77" s="358"/>
      <c r="M77" s="358"/>
      <c r="N77" s="358"/>
      <c r="O77" s="358"/>
      <c r="P77" s="358"/>
      <c r="Q77" s="358"/>
      <c r="R77" s="358"/>
      <c r="S77" s="358"/>
      <c r="T77" s="358"/>
      <c r="U77" s="358"/>
      <c r="V77" s="358"/>
      <c r="W77" s="358"/>
      <c r="X77" s="358"/>
      <c r="Y77" s="358"/>
      <c r="Z77" s="358"/>
      <c r="AA77" s="358"/>
      <c r="AB77" s="448"/>
      <c r="AC77" s="448"/>
      <c r="AD77" s="448"/>
      <c r="AE77" s="448"/>
    </row>
    <row r="78" spans="1:54" ht="18.75" hidden="1" customHeight="1" x14ac:dyDescent="0.25">
      <c r="A78" s="470" t="s">
        <v>287</v>
      </c>
      <c r="B78" s="467"/>
      <c r="C78" s="467"/>
      <c r="D78" s="469"/>
      <c r="F78" s="358"/>
      <c r="G78" s="358"/>
      <c r="H78" s="358"/>
      <c r="I78" s="358"/>
      <c r="J78" s="358"/>
      <c r="K78" s="358"/>
      <c r="L78" s="358"/>
      <c r="M78" s="358"/>
      <c r="N78" s="358"/>
      <c r="O78" s="358"/>
      <c r="P78" s="358"/>
      <c r="Q78" s="358"/>
      <c r="R78" s="358"/>
      <c r="S78" s="358"/>
      <c r="T78" s="358"/>
      <c r="U78" s="358"/>
      <c r="V78" s="358"/>
      <c r="W78" s="358"/>
      <c r="X78" s="358"/>
      <c r="Y78" s="358"/>
      <c r="Z78" s="358"/>
      <c r="AA78" s="358"/>
      <c r="AB78" s="448"/>
      <c r="AC78" s="448"/>
      <c r="AD78" s="448"/>
      <c r="AE78" s="448"/>
    </row>
    <row r="79" spans="1:54" ht="18.75" hidden="1" customHeight="1" x14ac:dyDescent="0.25">
      <c r="A79" s="470" t="s">
        <v>288</v>
      </c>
      <c r="B79" s="467"/>
      <c r="C79" s="467"/>
      <c r="D79" s="469"/>
      <c r="F79" s="358"/>
      <c r="G79" s="358"/>
      <c r="H79" s="358"/>
      <c r="I79" s="358"/>
      <c r="J79" s="358"/>
      <c r="K79" s="358"/>
      <c r="L79" s="358"/>
      <c r="M79" s="358"/>
      <c r="N79" s="358"/>
      <c r="O79" s="358"/>
      <c r="P79" s="358"/>
      <c r="Q79" s="358"/>
      <c r="R79" s="358"/>
      <c r="S79" s="358"/>
      <c r="T79" s="358"/>
      <c r="U79" s="358"/>
      <c r="V79" s="358"/>
      <c r="W79" s="358"/>
      <c r="X79" s="358"/>
      <c r="Y79" s="358"/>
      <c r="Z79" s="358"/>
      <c r="AA79" s="358"/>
      <c r="AB79" s="448"/>
      <c r="AC79" s="448"/>
      <c r="AD79" s="448"/>
      <c r="AE79" s="448"/>
    </row>
    <row r="80" spans="1:54" ht="18.75" hidden="1" customHeight="1" x14ac:dyDescent="0.25">
      <c r="A80" s="470" t="s">
        <v>289</v>
      </c>
      <c r="B80" s="467"/>
      <c r="C80" s="467"/>
      <c r="D80" s="469"/>
      <c r="F80" s="358"/>
      <c r="G80" s="358"/>
      <c r="H80" s="358"/>
      <c r="I80" s="358"/>
      <c r="J80" s="358"/>
      <c r="K80" s="358"/>
      <c r="L80" s="358"/>
      <c r="M80" s="358"/>
      <c r="N80" s="358"/>
      <c r="O80" s="358"/>
      <c r="P80" s="358"/>
      <c r="Q80" s="358"/>
      <c r="R80" s="358"/>
      <c r="S80" s="358"/>
      <c r="T80" s="358"/>
      <c r="U80" s="358"/>
      <c r="V80" s="358"/>
      <c r="W80" s="358"/>
      <c r="X80" s="358"/>
      <c r="Y80" s="358"/>
      <c r="Z80" s="358"/>
      <c r="AA80" s="358"/>
      <c r="AB80" s="448"/>
      <c r="AC80" s="448"/>
      <c r="AD80" s="448"/>
      <c r="AE80" s="448"/>
    </row>
    <row r="81" spans="1:50" ht="18.75" hidden="1" customHeight="1" x14ac:dyDescent="0.3">
      <c r="A81" s="470" t="s">
        <v>290</v>
      </c>
      <c r="B81" s="467"/>
      <c r="C81" s="467"/>
      <c r="D81" s="469"/>
      <c r="F81" s="358"/>
      <c r="G81" s="358"/>
      <c r="H81" s="358"/>
      <c r="I81" s="358"/>
      <c r="J81" s="358"/>
      <c r="K81" s="358"/>
      <c r="L81" s="358"/>
      <c r="M81" s="358"/>
      <c r="N81" s="358"/>
      <c r="O81" s="358"/>
      <c r="P81" s="358"/>
      <c r="Q81" s="358"/>
      <c r="R81" s="358"/>
      <c r="S81" s="358"/>
      <c r="T81" s="358"/>
      <c r="U81" s="358"/>
      <c r="V81" s="358"/>
      <c r="W81" s="358"/>
      <c r="X81" s="358"/>
      <c r="Y81" s="358"/>
      <c r="Z81" s="358"/>
      <c r="AA81" s="358"/>
      <c r="AB81" s="448"/>
      <c r="AC81" s="448"/>
      <c r="AD81" s="448"/>
      <c r="AE81" s="448"/>
      <c r="AU81" s="11"/>
      <c r="AV81" s="11"/>
      <c r="AW81" s="11"/>
      <c r="AX81" s="11"/>
    </row>
    <row r="82" spans="1:50" ht="18.75" hidden="1" customHeight="1" x14ac:dyDescent="0.3">
      <c r="A82" s="470" t="s">
        <v>291</v>
      </c>
      <c r="B82" s="467"/>
      <c r="C82" s="467"/>
      <c r="D82" s="469"/>
      <c r="F82" s="358"/>
      <c r="G82" s="358"/>
      <c r="H82" s="358"/>
      <c r="I82" s="358"/>
      <c r="J82" s="358"/>
      <c r="K82" s="358"/>
      <c r="L82" s="358"/>
      <c r="M82" s="358"/>
      <c r="N82" s="358"/>
      <c r="O82" s="358"/>
      <c r="P82" s="358"/>
      <c r="Q82" s="358"/>
      <c r="R82" s="358"/>
      <c r="S82" s="358"/>
      <c r="T82" s="358"/>
      <c r="U82" s="358"/>
      <c r="V82" s="358"/>
      <c r="W82" s="358"/>
      <c r="X82" s="358"/>
      <c r="Y82" s="358"/>
      <c r="Z82" s="358"/>
      <c r="AA82" s="358"/>
      <c r="AB82" s="448"/>
      <c r="AC82" s="448"/>
      <c r="AD82" s="448"/>
      <c r="AE82" s="448"/>
      <c r="AU82" s="11"/>
      <c r="AV82" s="11"/>
      <c r="AW82" s="11"/>
      <c r="AX82" s="11"/>
    </row>
    <row r="83" spans="1:50" ht="18.75" hidden="1" customHeight="1" x14ac:dyDescent="0.3">
      <c r="A83" s="470" t="s">
        <v>292</v>
      </c>
      <c r="B83" s="467"/>
      <c r="C83" s="467"/>
      <c r="D83" s="469"/>
      <c r="F83" s="358"/>
      <c r="G83" s="358"/>
      <c r="H83" s="358"/>
      <c r="I83" s="358"/>
      <c r="J83" s="358"/>
      <c r="K83" s="358"/>
      <c r="L83" s="358"/>
      <c r="M83" s="358"/>
      <c r="N83" s="358"/>
      <c r="O83" s="358"/>
      <c r="P83" s="358"/>
      <c r="Q83" s="358"/>
      <c r="R83" s="358"/>
      <c r="S83" s="358"/>
      <c r="T83" s="358"/>
      <c r="U83" s="358"/>
      <c r="V83" s="358"/>
      <c r="W83" s="358"/>
      <c r="X83" s="358"/>
      <c r="Y83" s="358"/>
      <c r="Z83" s="358"/>
      <c r="AA83" s="358"/>
      <c r="AB83" s="448"/>
      <c r="AC83" s="448"/>
      <c r="AD83" s="448"/>
      <c r="AE83" s="448"/>
      <c r="AU83" s="11"/>
      <c r="AV83" s="11"/>
      <c r="AW83" s="11"/>
      <c r="AX83" s="11"/>
    </row>
    <row r="84" spans="1:50" ht="18.75" hidden="1" customHeight="1" x14ac:dyDescent="0.25">
      <c r="A84" s="470" t="s">
        <v>293</v>
      </c>
      <c r="B84" s="467"/>
      <c r="C84" s="467"/>
      <c r="D84" s="469"/>
      <c r="F84" s="358"/>
      <c r="G84" s="358"/>
      <c r="H84" s="358"/>
      <c r="I84" s="358"/>
      <c r="J84" s="358"/>
      <c r="K84" s="358"/>
      <c r="L84" s="358"/>
      <c r="M84" s="358"/>
      <c r="N84" s="358"/>
      <c r="O84" s="358"/>
      <c r="P84" s="358"/>
      <c r="Q84" s="358"/>
      <c r="R84" s="358"/>
      <c r="S84" s="358"/>
      <c r="T84" s="358"/>
      <c r="U84" s="358"/>
      <c r="V84" s="358"/>
      <c r="W84" s="358"/>
      <c r="X84" s="358"/>
      <c r="Y84" s="358"/>
      <c r="Z84" s="358"/>
      <c r="AA84" s="358"/>
      <c r="AB84" s="448"/>
      <c r="AC84" s="448"/>
      <c r="AD84" s="448"/>
      <c r="AE84" s="448"/>
    </row>
    <row r="85" spans="1:50" ht="18.75" hidden="1" customHeight="1" x14ac:dyDescent="0.25">
      <c r="A85" s="470" t="s">
        <v>294</v>
      </c>
      <c r="B85" s="467"/>
      <c r="C85" s="467"/>
      <c r="D85" s="469"/>
      <c r="F85" s="358"/>
      <c r="G85" s="358"/>
      <c r="H85" s="358"/>
      <c r="I85" s="358"/>
      <c r="J85" s="358"/>
      <c r="K85" s="358"/>
      <c r="L85" s="358"/>
      <c r="M85" s="358"/>
      <c r="N85" s="358"/>
      <c r="O85" s="358"/>
      <c r="P85" s="358"/>
      <c r="Q85" s="358"/>
      <c r="R85" s="358"/>
      <c r="S85" s="358"/>
      <c r="T85" s="358"/>
      <c r="U85" s="358"/>
      <c r="V85" s="358"/>
      <c r="W85" s="358"/>
      <c r="X85" s="358"/>
      <c r="Y85" s="358"/>
      <c r="Z85" s="358"/>
      <c r="AA85" s="358"/>
      <c r="AB85" s="448"/>
      <c r="AC85" s="448"/>
      <c r="AD85" s="448"/>
      <c r="AE85" s="448"/>
    </row>
    <row r="86" spans="1:50" ht="18.75" hidden="1" customHeight="1" x14ac:dyDescent="0.25">
      <c r="A86" s="470" t="s">
        <v>295</v>
      </c>
      <c r="B86" s="467"/>
      <c r="C86" s="467"/>
      <c r="D86" s="469"/>
      <c r="F86" s="358"/>
      <c r="G86" s="358"/>
      <c r="H86" s="358"/>
      <c r="I86" s="358"/>
      <c r="J86" s="358"/>
      <c r="K86" s="358"/>
      <c r="L86" s="358"/>
      <c r="M86" s="358"/>
      <c r="N86" s="358"/>
      <c r="O86" s="358"/>
      <c r="P86" s="358"/>
      <c r="Q86" s="358"/>
      <c r="R86" s="358"/>
      <c r="S86" s="358"/>
      <c r="T86" s="358"/>
      <c r="U86" s="358"/>
      <c r="V86" s="358"/>
      <c r="W86" s="358"/>
      <c r="X86" s="358"/>
      <c r="Y86" s="358"/>
      <c r="Z86" s="358"/>
      <c r="AA86" s="358"/>
      <c r="AB86" s="448"/>
      <c r="AC86" s="448"/>
      <c r="AD86" s="448"/>
      <c r="AE86" s="448"/>
    </row>
    <row r="87" spans="1:50" ht="18.75" hidden="1" customHeight="1" x14ac:dyDescent="0.25">
      <c r="A87" s="470" t="s">
        <v>296</v>
      </c>
      <c r="B87" s="467"/>
      <c r="C87" s="467"/>
      <c r="D87" s="469"/>
      <c r="F87" s="358"/>
      <c r="G87" s="358"/>
      <c r="H87" s="358"/>
      <c r="I87" s="358"/>
      <c r="J87" s="358"/>
      <c r="K87" s="358"/>
      <c r="L87" s="358"/>
      <c r="M87" s="358"/>
      <c r="N87" s="358"/>
      <c r="O87" s="358"/>
      <c r="P87" s="358"/>
      <c r="Q87" s="358"/>
      <c r="R87" s="358"/>
      <c r="S87" s="358"/>
      <c r="T87" s="358"/>
      <c r="U87" s="358"/>
      <c r="V87" s="358"/>
      <c r="W87" s="358"/>
      <c r="X87" s="358"/>
      <c r="Y87" s="358"/>
      <c r="Z87" s="358"/>
      <c r="AA87" s="358"/>
      <c r="AB87" s="448"/>
      <c r="AC87" s="448"/>
      <c r="AD87" s="448"/>
      <c r="AE87" s="448"/>
    </row>
    <row r="88" spans="1:50" ht="18.75" hidden="1" customHeight="1" x14ac:dyDescent="0.25">
      <c r="A88" s="470" t="s">
        <v>297</v>
      </c>
      <c r="B88" s="467"/>
      <c r="C88" s="467"/>
      <c r="D88" s="469"/>
      <c r="F88" s="358"/>
      <c r="G88" s="358"/>
      <c r="H88" s="358"/>
      <c r="I88" s="358"/>
      <c r="J88" s="358"/>
      <c r="K88" s="358"/>
      <c r="L88" s="358"/>
      <c r="M88" s="358"/>
      <c r="N88" s="358"/>
      <c r="O88" s="358"/>
      <c r="P88" s="358"/>
      <c r="Q88" s="358"/>
      <c r="R88" s="358"/>
      <c r="S88" s="358"/>
      <c r="T88" s="358"/>
      <c r="U88" s="358"/>
      <c r="V88" s="358"/>
      <c r="W88" s="358"/>
      <c r="X88" s="358"/>
      <c r="Y88" s="358"/>
      <c r="Z88" s="358"/>
      <c r="AA88" s="358"/>
      <c r="AB88" s="448"/>
      <c r="AC88" s="448"/>
      <c r="AD88" s="448"/>
      <c r="AE88" s="448"/>
    </row>
    <row r="89" spans="1:50" ht="18.75" hidden="1" customHeight="1" x14ac:dyDescent="0.25">
      <c r="A89" s="470" t="s">
        <v>298</v>
      </c>
      <c r="B89" s="467"/>
      <c r="C89" s="467"/>
      <c r="D89" s="469"/>
      <c r="F89" s="358"/>
      <c r="G89" s="358"/>
      <c r="H89" s="358"/>
      <c r="I89" s="358"/>
      <c r="J89" s="358"/>
      <c r="K89" s="358"/>
      <c r="L89" s="358"/>
      <c r="M89" s="358"/>
      <c r="N89" s="358"/>
      <c r="O89" s="358"/>
      <c r="P89" s="358"/>
      <c r="Q89" s="358"/>
      <c r="R89" s="358"/>
      <c r="S89" s="358"/>
      <c r="T89" s="358"/>
      <c r="U89" s="358"/>
      <c r="V89" s="358"/>
      <c r="W89" s="358"/>
      <c r="X89" s="358"/>
      <c r="Y89" s="358"/>
      <c r="Z89" s="358"/>
      <c r="AA89" s="358"/>
      <c r="AB89" s="448"/>
      <c r="AC89" s="448"/>
      <c r="AD89" s="448"/>
      <c r="AE89" s="448"/>
    </row>
    <row r="90" spans="1:50" ht="18.75" hidden="1" customHeight="1" x14ac:dyDescent="0.25">
      <c r="A90" s="470" t="s">
        <v>299</v>
      </c>
      <c r="B90" s="467"/>
      <c r="C90" s="467"/>
      <c r="D90" s="469"/>
      <c r="F90" s="358"/>
      <c r="G90" s="358"/>
      <c r="H90" s="358"/>
      <c r="I90" s="358"/>
      <c r="J90" s="358"/>
      <c r="K90" s="358"/>
      <c r="L90" s="358"/>
      <c r="M90" s="358"/>
      <c r="N90" s="358"/>
      <c r="O90" s="358"/>
      <c r="P90" s="358"/>
      <c r="Q90" s="358"/>
      <c r="R90" s="358"/>
      <c r="S90" s="358"/>
      <c r="T90" s="358"/>
      <c r="U90" s="358"/>
      <c r="V90" s="358"/>
      <c r="W90" s="358"/>
      <c r="X90" s="358"/>
      <c r="Y90" s="358"/>
      <c r="Z90" s="358"/>
      <c r="AA90" s="358"/>
      <c r="AB90" s="448"/>
      <c r="AC90" s="448"/>
      <c r="AD90" s="448"/>
      <c r="AE90" s="448"/>
    </row>
    <row r="91" spans="1:50" ht="18.75" hidden="1" customHeight="1" x14ac:dyDescent="0.25">
      <c r="A91" s="470" t="s">
        <v>300</v>
      </c>
      <c r="B91" s="467"/>
      <c r="C91" s="467"/>
      <c r="D91" s="469"/>
      <c r="F91" s="358"/>
      <c r="G91" s="358"/>
      <c r="H91" s="358"/>
      <c r="I91" s="358"/>
      <c r="J91" s="358"/>
      <c r="K91" s="358"/>
      <c r="L91" s="358"/>
      <c r="M91" s="358"/>
      <c r="N91" s="358"/>
      <c r="O91" s="358"/>
      <c r="P91" s="358"/>
      <c r="Q91" s="358"/>
      <c r="R91" s="358"/>
      <c r="S91" s="358"/>
      <c r="T91" s="358"/>
      <c r="U91" s="358"/>
      <c r="V91" s="358"/>
      <c r="W91" s="358"/>
      <c r="X91" s="358"/>
      <c r="Y91" s="358"/>
      <c r="Z91" s="358"/>
      <c r="AA91" s="358"/>
      <c r="AB91" s="448"/>
      <c r="AC91" s="448"/>
      <c r="AD91" s="448"/>
      <c r="AE91" s="448"/>
    </row>
    <row r="92" spans="1:50" ht="18.75" hidden="1" customHeight="1" x14ac:dyDescent="0.25">
      <c r="A92" s="470" t="s">
        <v>301</v>
      </c>
      <c r="B92" s="467"/>
      <c r="C92" s="467"/>
      <c r="D92" s="469"/>
      <c r="F92" s="358"/>
      <c r="G92" s="358"/>
      <c r="H92" s="358"/>
      <c r="I92" s="358"/>
      <c r="J92" s="358"/>
      <c r="K92" s="358"/>
      <c r="L92" s="358"/>
      <c r="M92" s="358"/>
      <c r="N92" s="358"/>
      <c r="O92" s="358"/>
      <c r="P92" s="358"/>
      <c r="Q92" s="358"/>
      <c r="R92" s="358"/>
      <c r="S92" s="358"/>
      <c r="T92" s="358"/>
      <c r="U92" s="358"/>
      <c r="V92" s="358"/>
      <c r="W92" s="358"/>
      <c r="X92" s="358"/>
      <c r="Y92" s="358"/>
      <c r="Z92" s="358"/>
      <c r="AA92" s="358"/>
      <c r="AB92" s="448"/>
      <c r="AC92" s="448"/>
      <c r="AD92" s="448"/>
      <c r="AE92" s="448"/>
    </row>
    <row r="93" spans="1:50" ht="18.75" hidden="1" customHeight="1" x14ac:dyDescent="0.25">
      <c r="A93" s="470" t="s">
        <v>302</v>
      </c>
      <c r="B93" s="467"/>
      <c r="C93" s="467"/>
      <c r="D93" s="469"/>
      <c r="F93" s="358"/>
      <c r="G93" s="358"/>
      <c r="H93" s="358"/>
      <c r="I93" s="358"/>
      <c r="J93" s="358"/>
      <c r="K93" s="358"/>
      <c r="L93" s="358"/>
      <c r="M93" s="358"/>
      <c r="N93" s="358"/>
      <c r="O93" s="358"/>
      <c r="P93" s="358"/>
      <c r="Q93" s="358"/>
      <c r="R93" s="358"/>
      <c r="S93" s="358"/>
      <c r="T93" s="358"/>
      <c r="U93" s="358"/>
      <c r="V93" s="358"/>
      <c r="W93" s="358"/>
      <c r="X93" s="358"/>
      <c r="Y93" s="358"/>
      <c r="Z93" s="358"/>
      <c r="AA93" s="358"/>
      <c r="AB93" s="448"/>
      <c r="AC93" s="448"/>
      <c r="AD93" s="448"/>
      <c r="AE93" s="448"/>
    </row>
    <row r="94" spans="1:50" ht="18.75" hidden="1" customHeight="1" x14ac:dyDescent="0.25">
      <c r="A94" s="470" t="s">
        <v>303</v>
      </c>
      <c r="B94" s="467"/>
      <c r="C94" s="467"/>
      <c r="D94" s="469"/>
      <c r="F94" s="358"/>
      <c r="G94" s="358"/>
      <c r="H94" s="358"/>
      <c r="I94" s="358"/>
      <c r="J94" s="358"/>
      <c r="K94" s="358"/>
      <c r="L94" s="358"/>
      <c r="M94" s="358"/>
      <c r="N94" s="358"/>
      <c r="O94" s="358"/>
      <c r="P94" s="358"/>
      <c r="Q94" s="358"/>
      <c r="R94" s="358"/>
      <c r="S94" s="358"/>
      <c r="T94" s="358"/>
      <c r="U94" s="358"/>
      <c r="V94" s="358"/>
      <c r="W94" s="358"/>
      <c r="X94" s="358"/>
      <c r="Y94" s="358"/>
      <c r="Z94" s="358"/>
      <c r="AA94" s="358"/>
      <c r="AB94" s="448"/>
      <c r="AC94" s="448"/>
      <c r="AD94" s="448"/>
      <c r="AE94" s="448"/>
    </row>
    <row r="95" spans="1:50" ht="18.75" hidden="1" customHeight="1" x14ac:dyDescent="0.25">
      <c r="A95" s="470" t="s">
        <v>304</v>
      </c>
      <c r="B95" s="467"/>
      <c r="C95" s="467"/>
      <c r="D95" s="469"/>
      <c r="F95" s="358"/>
      <c r="G95" s="358"/>
      <c r="H95" s="358"/>
      <c r="I95" s="358"/>
      <c r="J95" s="358"/>
      <c r="K95" s="358"/>
      <c r="L95" s="358"/>
      <c r="M95" s="358"/>
      <c r="N95" s="358"/>
      <c r="O95" s="358"/>
      <c r="P95" s="358"/>
      <c r="Q95" s="358"/>
      <c r="R95" s="358"/>
      <c r="S95" s="358"/>
      <c r="T95" s="358"/>
      <c r="U95" s="358"/>
      <c r="V95" s="358"/>
      <c r="W95" s="358"/>
      <c r="X95" s="358"/>
      <c r="Y95" s="358"/>
      <c r="Z95" s="358"/>
      <c r="AA95" s="358"/>
      <c r="AB95" s="448"/>
      <c r="AC95" s="448"/>
      <c r="AD95" s="448"/>
      <c r="AE95" s="448"/>
    </row>
    <row r="96" spans="1:50" ht="18.75" hidden="1" customHeight="1" x14ac:dyDescent="0.25">
      <c r="A96" s="470" t="s">
        <v>305</v>
      </c>
      <c r="B96" s="467"/>
      <c r="C96" s="467"/>
      <c r="D96" s="469"/>
      <c r="F96" s="358"/>
      <c r="G96" s="358"/>
      <c r="H96" s="358"/>
      <c r="I96" s="358"/>
      <c r="J96" s="358"/>
      <c r="K96" s="358"/>
      <c r="L96" s="358"/>
      <c r="M96" s="358"/>
      <c r="N96" s="358"/>
      <c r="O96" s="358"/>
      <c r="P96" s="358"/>
      <c r="Q96" s="358"/>
      <c r="R96" s="358"/>
      <c r="S96" s="358"/>
      <c r="T96" s="358"/>
      <c r="U96" s="358"/>
      <c r="V96" s="358"/>
      <c r="W96" s="358"/>
      <c r="X96" s="358"/>
      <c r="Y96" s="358"/>
      <c r="Z96" s="358"/>
      <c r="AA96" s="358"/>
      <c r="AB96" s="448"/>
      <c r="AC96" s="448"/>
      <c r="AD96" s="448"/>
      <c r="AE96" s="448"/>
    </row>
    <row r="97" spans="1:31" ht="18.75" hidden="1" customHeight="1" x14ac:dyDescent="0.25">
      <c r="A97" s="470" t="s">
        <v>306</v>
      </c>
      <c r="B97" s="467"/>
      <c r="C97" s="467"/>
      <c r="D97" s="469"/>
      <c r="F97" s="358"/>
      <c r="G97" s="358"/>
      <c r="H97" s="358"/>
      <c r="I97" s="358"/>
      <c r="J97" s="358"/>
      <c r="K97" s="358"/>
      <c r="L97" s="358"/>
      <c r="M97" s="358"/>
      <c r="N97" s="358"/>
      <c r="O97" s="358"/>
      <c r="P97" s="358"/>
      <c r="Q97" s="358"/>
      <c r="R97" s="358"/>
      <c r="S97" s="358"/>
      <c r="T97" s="358"/>
      <c r="U97" s="358"/>
      <c r="V97" s="358"/>
      <c r="W97" s="358"/>
      <c r="X97" s="358"/>
      <c r="Y97" s="358"/>
      <c r="Z97" s="358"/>
      <c r="AA97" s="358"/>
      <c r="AB97" s="448"/>
      <c r="AC97" s="448"/>
      <c r="AD97" s="448"/>
      <c r="AE97" s="448"/>
    </row>
    <row r="98" spans="1:31" ht="18.75" hidden="1" customHeight="1" x14ac:dyDescent="0.25">
      <c r="A98" s="470" t="s">
        <v>307</v>
      </c>
      <c r="B98" s="467"/>
      <c r="C98" s="467"/>
      <c r="D98" s="469"/>
      <c r="F98" s="358"/>
      <c r="G98" s="358"/>
      <c r="H98" s="358"/>
      <c r="I98" s="358"/>
      <c r="J98" s="358"/>
      <c r="K98" s="358"/>
      <c r="L98" s="358"/>
      <c r="M98" s="358"/>
      <c r="N98" s="358"/>
      <c r="O98" s="358"/>
      <c r="P98" s="358"/>
      <c r="Q98" s="358"/>
      <c r="R98" s="358"/>
      <c r="S98" s="358"/>
      <c r="T98" s="358"/>
      <c r="U98" s="358"/>
      <c r="V98" s="358"/>
      <c r="W98" s="358"/>
      <c r="X98" s="358"/>
      <c r="Y98" s="358"/>
      <c r="Z98" s="358"/>
      <c r="AA98" s="358"/>
      <c r="AB98" s="448"/>
      <c r="AC98" s="448"/>
      <c r="AD98" s="448"/>
      <c r="AE98" s="448"/>
    </row>
    <row r="99" spans="1:31" ht="18.75" hidden="1" customHeight="1" x14ac:dyDescent="0.25">
      <c r="A99" s="470" t="s">
        <v>308</v>
      </c>
      <c r="B99" s="467"/>
      <c r="C99" s="467"/>
      <c r="D99" s="469"/>
      <c r="F99" s="358"/>
      <c r="G99" s="358"/>
      <c r="H99" s="358"/>
      <c r="I99" s="358"/>
      <c r="J99" s="358"/>
      <c r="K99" s="358"/>
      <c r="L99" s="358"/>
      <c r="M99" s="358"/>
      <c r="N99" s="358"/>
      <c r="O99" s="358"/>
      <c r="P99" s="358"/>
      <c r="Q99" s="358"/>
      <c r="R99" s="358"/>
      <c r="S99" s="358"/>
      <c r="T99" s="358"/>
      <c r="U99" s="358"/>
      <c r="V99" s="358"/>
      <c r="W99" s="358"/>
      <c r="X99" s="358"/>
      <c r="Y99" s="358"/>
      <c r="Z99" s="358"/>
      <c r="AA99" s="358"/>
      <c r="AB99" s="448"/>
      <c r="AC99" s="448"/>
      <c r="AD99" s="448"/>
      <c r="AE99" s="448"/>
    </row>
    <row r="100" spans="1:31" ht="18.75" hidden="1" customHeight="1" x14ac:dyDescent="0.25">
      <c r="A100" s="470" t="s">
        <v>309</v>
      </c>
      <c r="B100" s="467"/>
      <c r="C100" s="467"/>
      <c r="D100" s="469"/>
      <c r="F100" s="358"/>
      <c r="G100" s="358"/>
      <c r="H100" s="358"/>
      <c r="I100" s="358"/>
      <c r="J100" s="358"/>
      <c r="K100" s="358"/>
      <c r="L100" s="358"/>
      <c r="M100" s="358"/>
      <c r="N100" s="358"/>
      <c r="O100" s="358"/>
      <c r="P100" s="358"/>
      <c r="Q100" s="358"/>
      <c r="R100" s="358"/>
      <c r="S100" s="358"/>
      <c r="T100" s="358"/>
      <c r="U100" s="358"/>
      <c r="V100" s="358"/>
      <c r="W100" s="358"/>
      <c r="X100" s="358"/>
      <c r="Y100" s="358"/>
      <c r="Z100" s="358"/>
      <c r="AA100" s="358"/>
      <c r="AB100" s="448"/>
      <c r="AC100" s="448"/>
      <c r="AD100" s="448"/>
      <c r="AE100" s="448"/>
    </row>
    <row r="101" spans="1:31" ht="18.75" hidden="1" customHeight="1" x14ac:dyDescent="0.25">
      <c r="A101" s="470" t="s">
        <v>310</v>
      </c>
      <c r="B101" s="467"/>
      <c r="C101" s="467"/>
      <c r="D101" s="469"/>
      <c r="F101" s="358"/>
      <c r="G101" s="358"/>
      <c r="H101" s="358"/>
      <c r="I101" s="358"/>
      <c r="J101" s="358"/>
      <c r="K101" s="358"/>
      <c r="L101" s="358"/>
      <c r="M101" s="358"/>
      <c r="N101" s="358"/>
      <c r="O101" s="358"/>
      <c r="P101" s="358"/>
      <c r="Q101" s="358"/>
      <c r="R101" s="358"/>
      <c r="S101" s="358"/>
      <c r="T101" s="358"/>
      <c r="U101" s="358"/>
      <c r="V101" s="358"/>
      <c r="W101" s="358"/>
      <c r="X101" s="358"/>
      <c r="Y101" s="358"/>
      <c r="Z101" s="358"/>
      <c r="AA101" s="358"/>
      <c r="AB101" s="448"/>
      <c r="AC101" s="448"/>
      <c r="AD101" s="448"/>
      <c r="AE101" s="448"/>
    </row>
    <row r="102" spans="1:31" ht="18.75" hidden="1" customHeight="1" x14ac:dyDescent="0.25">
      <c r="A102" s="470" t="s">
        <v>311</v>
      </c>
      <c r="B102" s="467"/>
      <c r="C102" s="467"/>
      <c r="D102" s="469"/>
      <c r="F102" s="358"/>
      <c r="G102" s="358"/>
      <c r="H102" s="358"/>
      <c r="I102" s="358"/>
      <c r="J102" s="358"/>
      <c r="K102" s="358"/>
      <c r="L102" s="358"/>
      <c r="M102" s="358"/>
      <c r="N102" s="358"/>
      <c r="O102" s="358"/>
      <c r="P102" s="358"/>
      <c r="Q102" s="358"/>
      <c r="R102" s="358"/>
      <c r="S102" s="358"/>
      <c r="T102" s="358"/>
      <c r="U102" s="358"/>
      <c r="V102" s="358"/>
      <c r="W102" s="358"/>
      <c r="X102" s="358"/>
      <c r="Y102" s="358"/>
      <c r="Z102" s="358"/>
      <c r="AA102" s="358"/>
      <c r="AB102" s="448"/>
      <c r="AC102" s="448"/>
      <c r="AD102" s="448"/>
      <c r="AE102" s="448"/>
    </row>
    <row r="103" spans="1:31" ht="18.75" hidden="1" customHeight="1" x14ac:dyDescent="0.25">
      <c r="A103" s="470" t="s">
        <v>312</v>
      </c>
      <c r="B103" s="467"/>
      <c r="C103" s="467"/>
      <c r="D103" s="469"/>
      <c r="F103" s="358"/>
      <c r="G103" s="358"/>
      <c r="H103" s="358"/>
      <c r="I103" s="358"/>
      <c r="J103" s="358"/>
      <c r="K103" s="358"/>
      <c r="L103" s="358"/>
      <c r="M103" s="358"/>
      <c r="N103" s="358"/>
      <c r="O103" s="358"/>
      <c r="P103" s="358"/>
      <c r="Q103" s="358"/>
      <c r="R103" s="358"/>
      <c r="S103" s="358"/>
      <c r="T103" s="358"/>
      <c r="U103" s="358"/>
      <c r="V103" s="358"/>
      <c r="W103" s="358"/>
      <c r="X103" s="358"/>
      <c r="Y103" s="358"/>
      <c r="Z103" s="358"/>
      <c r="AA103" s="358"/>
      <c r="AB103" s="448"/>
      <c r="AC103" s="448"/>
      <c r="AD103" s="448"/>
      <c r="AE103" s="448"/>
    </row>
    <row r="104" spans="1:31" ht="18.75" hidden="1" customHeight="1" x14ac:dyDescent="0.25">
      <c r="A104" s="470" t="s">
        <v>313</v>
      </c>
      <c r="B104" s="467"/>
      <c r="C104" s="467"/>
      <c r="D104" s="469"/>
      <c r="F104" s="358"/>
      <c r="G104" s="358"/>
      <c r="H104" s="358"/>
      <c r="I104" s="358"/>
      <c r="J104" s="358"/>
      <c r="K104" s="358"/>
      <c r="L104" s="358"/>
      <c r="M104" s="358"/>
      <c r="N104" s="358"/>
      <c r="O104" s="358"/>
      <c r="P104" s="358"/>
      <c r="Q104" s="358"/>
      <c r="R104" s="358"/>
      <c r="S104" s="358"/>
      <c r="T104" s="358"/>
      <c r="U104" s="358"/>
      <c r="V104" s="358"/>
      <c r="W104" s="358"/>
      <c r="X104" s="358"/>
      <c r="Y104" s="358"/>
      <c r="Z104" s="358"/>
      <c r="AA104" s="358"/>
      <c r="AB104" s="448"/>
      <c r="AC104" s="448"/>
      <c r="AD104" s="448"/>
      <c r="AE104" s="448"/>
    </row>
    <row r="105" spans="1:31" ht="18.75" hidden="1" customHeight="1" x14ac:dyDescent="0.25">
      <c r="A105" s="470" t="s">
        <v>301</v>
      </c>
      <c r="B105" s="467"/>
      <c r="C105" s="467"/>
      <c r="D105" s="469"/>
      <c r="F105" s="358"/>
      <c r="G105" s="358"/>
      <c r="H105" s="358"/>
      <c r="I105" s="358"/>
      <c r="J105" s="358"/>
      <c r="K105" s="358"/>
      <c r="L105" s="358"/>
      <c r="M105" s="358"/>
      <c r="N105" s="358"/>
      <c r="O105" s="358"/>
      <c r="P105" s="358"/>
      <c r="Q105" s="358"/>
      <c r="R105" s="358"/>
      <c r="S105" s="358"/>
      <c r="T105" s="358"/>
      <c r="U105" s="358"/>
      <c r="V105" s="358"/>
      <c r="W105" s="358"/>
      <c r="X105" s="358"/>
      <c r="Y105" s="358"/>
      <c r="Z105" s="358"/>
      <c r="AA105" s="358"/>
      <c r="AB105" s="448"/>
      <c r="AC105" s="448"/>
      <c r="AD105" s="448"/>
      <c r="AE105" s="448"/>
    </row>
    <row r="106" spans="1:31" ht="18.75" hidden="1" customHeight="1" x14ac:dyDescent="0.25">
      <c r="A106" s="470" t="s">
        <v>303</v>
      </c>
      <c r="B106" s="467"/>
      <c r="C106" s="467"/>
      <c r="D106" s="469"/>
      <c r="F106" s="358"/>
      <c r="G106" s="358"/>
      <c r="H106" s="358"/>
      <c r="I106" s="358"/>
      <c r="J106" s="358"/>
      <c r="K106" s="358"/>
      <c r="L106" s="358"/>
      <c r="M106" s="358"/>
      <c r="N106" s="358"/>
      <c r="O106" s="358"/>
      <c r="P106" s="358"/>
      <c r="Q106" s="358"/>
      <c r="R106" s="358"/>
      <c r="S106" s="358"/>
      <c r="T106" s="358"/>
      <c r="U106" s="358"/>
      <c r="V106" s="358"/>
      <c r="W106" s="358"/>
      <c r="X106" s="358"/>
      <c r="Y106" s="358"/>
      <c r="Z106" s="358"/>
      <c r="AA106" s="358"/>
      <c r="AB106" s="448"/>
      <c r="AC106" s="448"/>
      <c r="AD106" s="448"/>
      <c r="AE106" s="448"/>
    </row>
    <row r="107" spans="1:31" ht="18.75" hidden="1" customHeight="1" x14ac:dyDescent="0.25">
      <c r="A107" s="470" t="s">
        <v>314</v>
      </c>
      <c r="B107" s="467"/>
      <c r="C107" s="467"/>
      <c r="D107" s="469"/>
      <c r="F107" s="358"/>
      <c r="G107" s="358"/>
      <c r="H107" s="358"/>
      <c r="I107" s="358"/>
      <c r="J107" s="358"/>
      <c r="K107" s="358"/>
      <c r="L107" s="358"/>
      <c r="M107" s="358"/>
      <c r="N107" s="358"/>
      <c r="O107" s="358"/>
      <c r="P107" s="358"/>
      <c r="Q107" s="358"/>
      <c r="R107" s="358"/>
      <c r="S107" s="358"/>
      <c r="T107" s="358"/>
      <c r="U107" s="358"/>
      <c r="V107" s="358"/>
      <c r="W107" s="358"/>
      <c r="X107" s="358"/>
      <c r="Y107" s="358"/>
      <c r="Z107" s="358"/>
      <c r="AA107" s="358"/>
      <c r="AB107" s="448"/>
      <c r="AC107" s="448"/>
      <c r="AD107" s="448"/>
      <c r="AE107" s="448"/>
    </row>
    <row r="108" spans="1:31" ht="18.75" hidden="1" customHeight="1" x14ac:dyDescent="0.25">
      <c r="A108" s="470" t="s">
        <v>315</v>
      </c>
      <c r="B108" s="467"/>
      <c r="C108" s="467"/>
      <c r="D108" s="469"/>
      <c r="F108" s="358"/>
      <c r="G108" s="358"/>
      <c r="H108" s="358"/>
      <c r="I108" s="358"/>
      <c r="J108" s="358"/>
      <c r="K108" s="358"/>
      <c r="L108" s="358"/>
      <c r="M108" s="358"/>
      <c r="N108" s="358"/>
      <c r="O108" s="358"/>
      <c r="P108" s="358"/>
      <c r="Q108" s="358"/>
      <c r="R108" s="358"/>
      <c r="S108" s="358"/>
      <c r="T108" s="358"/>
      <c r="U108" s="358"/>
      <c r="V108" s="358"/>
      <c r="W108" s="358"/>
      <c r="X108" s="358"/>
      <c r="Y108" s="358"/>
      <c r="Z108" s="358"/>
      <c r="AA108" s="358"/>
      <c r="AB108" s="448"/>
      <c r="AC108" s="448"/>
      <c r="AD108" s="448"/>
      <c r="AE108" s="448"/>
    </row>
    <row r="109" spans="1:31" ht="18.75" hidden="1" customHeight="1" x14ac:dyDescent="0.25">
      <c r="A109" s="470" t="s">
        <v>316</v>
      </c>
      <c r="B109" s="467"/>
      <c r="C109" s="467"/>
      <c r="D109" s="469"/>
      <c r="F109" s="358"/>
      <c r="G109" s="358"/>
      <c r="H109" s="358"/>
      <c r="I109" s="358"/>
      <c r="J109" s="358"/>
      <c r="K109" s="358"/>
      <c r="L109" s="358"/>
      <c r="M109" s="358"/>
      <c r="N109" s="358"/>
      <c r="O109" s="358"/>
      <c r="P109" s="358"/>
      <c r="Q109" s="358"/>
      <c r="R109" s="358"/>
      <c r="S109" s="358"/>
      <c r="T109" s="358"/>
      <c r="U109" s="358"/>
      <c r="V109" s="358"/>
      <c r="W109" s="358"/>
      <c r="X109" s="358"/>
      <c r="Y109" s="358"/>
      <c r="Z109" s="358"/>
      <c r="AA109" s="358"/>
      <c r="AB109" s="448"/>
      <c r="AC109" s="448"/>
      <c r="AD109" s="448"/>
      <c r="AE109" s="448"/>
    </row>
    <row r="110" spans="1:31" ht="18.75" hidden="1" customHeight="1" x14ac:dyDescent="0.25">
      <c r="A110" s="470" t="s">
        <v>317</v>
      </c>
      <c r="B110" s="467"/>
      <c r="C110" s="467"/>
      <c r="D110" s="469"/>
      <c r="F110" s="358"/>
      <c r="G110" s="358"/>
      <c r="H110" s="358"/>
      <c r="I110" s="358"/>
      <c r="J110" s="358"/>
      <c r="K110" s="358"/>
      <c r="L110" s="358"/>
      <c r="M110" s="358"/>
      <c r="N110" s="358"/>
      <c r="O110" s="358"/>
      <c r="P110" s="358"/>
      <c r="Q110" s="358"/>
      <c r="R110" s="358"/>
      <c r="S110" s="358"/>
      <c r="T110" s="358"/>
      <c r="U110" s="358"/>
      <c r="V110" s="358"/>
      <c r="W110" s="358"/>
      <c r="X110" s="358"/>
      <c r="Y110" s="358"/>
      <c r="Z110" s="358"/>
      <c r="AA110" s="358"/>
      <c r="AB110" s="448"/>
      <c r="AC110" s="448"/>
      <c r="AD110" s="448"/>
      <c r="AE110" s="448"/>
    </row>
    <row r="111" spans="1:31" ht="18.75" hidden="1" customHeight="1" x14ac:dyDescent="0.25">
      <c r="A111" s="470" t="s">
        <v>318</v>
      </c>
      <c r="B111" s="467"/>
      <c r="C111" s="467"/>
      <c r="D111" s="469"/>
      <c r="F111" s="358"/>
      <c r="G111" s="358"/>
      <c r="H111" s="358"/>
      <c r="I111" s="358"/>
      <c r="J111" s="358"/>
      <c r="K111" s="358"/>
      <c r="L111" s="358"/>
      <c r="M111" s="358"/>
      <c r="N111" s="358"/>
      <c r="O111" s="358"/>
      <c r="P111" s="358"/>
      <c r="Q111" s="358"/>
      <c r="R111" s="358"/>
      <c r="S111" s="358"/>
      <c r="T111" s="358"/>
      <c r="U111" s="358"/>
      <c r="V111" s="358"/>
      <c r="W111" s="358"/>
      <c r="X111" s="358"/>
      <c r="Y111" s="358"/>
      <c r="Z111" s="358"/>
      <c r="AA111" s="358"/>
      <c r="AB111" s="448"/>
      <c r="AC111" s="448"/>
      <c r="AD111" s="448"/>
      <c r="AE111" s="448"/>
    </row>
    <row r="112" spans="1:31" ht="18.75" hidden="1" customHeight="1" x14ac:dyDescent="0.25">
      <c r="A112" s="470" t="s">
        <v>319</v>
      </c>
      <c r="B112" s="467"/>
      <c r="C112" s="467"/>
      <c r="D112" s="469"/>
      <c r="F112" s="358"/>
      <c r="G112" s="358"/>
      <c r="H112" s="358"/>
      <c r="I112" s="358"/>
      <c r="J112" s="358"/>
      <c r="K112" s="358"/>
      <c r="L112" s="358"/>
      <c r="M112" s="358"/>
      <c r="N112" s="358"/>
      <c r="O112" s="358"/>
      <c r="P112" s="358"/>
      <c r="Q112" s="358"/>
      <c r="R112" s="358"/>
      <c r="S112" s="358"/>
      <c r="T112" s="358"/>
      <c r="U112" s="358"/>
      <c r="V112" s="358"/>
      <c r="W112" s="358"/>
      <c r="X112" s="358"/>
      <c r="Y112" s="358"/>
      <c r="Z112" s="358"/>
      <c r="AA112" s="358"/>
      <c r="AB112" s="448"/>
      <c r="AC112" s="448"/>
      <c r="AD112" s="448"/>
      <c r="AE112" s="448"/>
    </row>
    <row r="113" spans="1:31" ht="18.75" hidden="1" customHeight="1" x14ac:dyDescent="0.25">
      <c r="A113" s="470" t="s">
        <v>320</v>
      </c>
      <c r="B113" s="467"/>
      <c r="C113" s="467"/>
      <c r="D113" s="469"/>
      <c r="F113" s="358"/>
      <c r="G113" s="358"/>
      <c r="H113" s="358"/>
      <c r="I113" s="358"/>
      <c r="J113" s="358"/>
      <c r="K113" s="358"/>
      <c r="L113" s="358"/>
      <c r="M113" s="358"/>
      <c r="N113" s="358"/>
      <c r="O113" s="358"/>
      <c r="P113" s="358"/>
      <c r="Q113" s="358"/>
      <c r="R113" s="358"/>
      <c r="S113" s="358"/>
      <c r="T113" s="358"/>
      <c r="U113" s="358"/>
      <c r="V113" s="358"/>
      <c r="W113" s="358"/>
      <c r="X113" s="358"/>
      <c r="Y113" s="358"/>
      <c r="Z113" s="358"/>
      <c r="AA113" s="358"/>
      <c r="AB113" s="448"/>
      <c r="AC113" s="448"/>
      <c r="AD113" s="448"/>
      <c r="AE113" s="448"/>
    </row>
    <row r="114" spans="1:31" ht="18.75" x14ac:dyDescent="0.25">
      <c r="A114" s="470" t="s">
        <v>200</v>
      </c>
      <c r="B114" s="467"/>
      <c r="C114" s="467"/>
      <c r="D114" s="469"/>
      <c r="F114" s="358">
        <v>0</v>
      </c>
      <c r="G114" s="358">
        <v>0</v>
      </c>
      <c r="H114" s="358">
        <v>0</v>
      </c>
      <c r="I114" s="358">
        <v>0</v>
      </c>
      <c r="J114" s="358">
        <v>0</v>
      </c>
      <c r="K114" s="358">
        <v>0</v>
      </c>
      <c r="L114" s="358">
        <v>0</v>
      </c>
      <c r="M114" s="358">
        <v>0</v>
      </c>
      <c r="N114" s="358">
        <v>0</v>
      </c>
      <c r="O114" s="358">
        <v>0</v>
      </c>
      <c r="P114" s="358">
        <v>0</v>
      </c>
      <c r="Q114" s="358">
        <v>0</v>
      </c>
      <c r="R114" s="358">
        <v>0</v>
      </c>
      <c r="S114" s="358">
        <v>0</v>
      </c>
      <c r="T114" s="358">
        <v>0</v>
      </c>
      <c r="U114" s="358">
        <v>0</v>
      </c>
      <c r="V114" s="358">
        <v>0</v>
      </c>
      <c r="W114" s="358">
        <v>0</v>
      </c>
      <c r="X114" s="358">
        <v>0</v>
      </c>
      <c r="Y114" s="358">
        <v>0</v>
      </c>
      <c r="Z114" s="358">
        <v>0</v>
      </c>
      <c r="AA114" s="358"/>
      <c r="AB114" s="448"/>
      <c r="AC114" s="448"/>
      <c r="AD114" s="448"/>
      <c r="AE114" s="448"/>
    </row>
    <row r="115" spans="1:31" ht="18.75" x14ac:dyDescent="0.25">
      <c r="A115" s="470" t="s">
        <v>192</v>
      </c>
      <c r="B115" s="467"/>
      <c r="C115" s="467"/>
      <c r="D115" s="469"/>
      <c r="F115" s="358">
        <v>0</v>
      </c>
      <c r="G115" s="358">
        <v>0</v>
      </c>
      <c r="H115" s="358">
        <v>0</v>
      </c>
      <c r="I115" s="358">
        <v>0</v>
      </c>
      <c r="J115" s="358">
        <v>0</v>
      </c>
      <c r="K115" s="358">
        <v>0</v>
      </c>
      <c r="L115" s="358">
        <v>0</v>
      </c>
      <c r="M115" s="358">
        <v>0</v>
      </c>
      <c r="N115" s="358">
        <v>0</v>
      </c>
      <c r="O115" s="358">
        <v>0</v>
      </c>
      <c r="P115" s="358">
        <v>0</v>
      </c>
      <c r="Q115" s="358">
        <v>0</v>
      </c>
      <c r="R115" s="358">
        <v>0</v>
      </c>
      <c r="S115" s="358">
        <v>0</v>
      </c>
      <c r="T115" s="358">
        <v>0</v>
      </c>
      <c r="U115" s="358">
        <v>0</v>
      </c>
      <c r="V115" s="358">
        <v>0</v>
      </c>
      <c r="W115" s="358">
        <v>0</v>
      </c>
      <c r="X115" s="358">
        <v>0</v>
      </c>
      <c r="Y115" s="358">
        <v>0</v>
      </c>
      <c r="Z115" s="358">
        <v>0</v>
      </c>
      <c r="AA115" s="358"/>
      <c r="AB115" s="448"/>
      <c r="AC115" s="448"/>
      <c r="AD115" s="448"/>
      <c r="AE115" s="448"/>
    </row>
    <row r="116" spans="1:31" ht="18.75" x14ac:dyDescent="0.25">
      <c r="A116" s="470" t="s">
        <v>193</v>
      </c>
      <c r="B116" s="467"/>
      <c r="C116" s="467"/>
      <c r="D116" s="469"/>
      <c r="F116" s="358">
        <v>0</v>
      </c>
      <c r="G116" s="358">
        <v>0</v>
      </c>
      <c r="H116" s="358">
        <v>0</v>
      </c>
      <c r="I116" s="358">
        <v>0</v>
      </c>
      <c r="J116" s="358">
        <v>0</v>
      </c>
      <c r="K116" s="358">
        <v>0</v>
      </c>
      <c r="L116" s="358">
        <v>0</v>
      </c>
      <c r="M116" s="358">
        <v>0</v>
      </c>
      <c r="N116" s="358">
        <v>0</v>
      </c>
      <c r="O116" s="358">
        <v>0</v>
      </c>
      <c r="P116" s="358">
        <v>0</v>
      </c>
      <c r="Q116" s="358">
        <v>0</v>
      </c>
      <c r="R116" s="358">
        <v>0</v>
      </c>
      <c r="S116" s="358">
        <v>0</v>
      </c>
      <c r="T116" s="358">
        <v>0</v>
      </c>
      <c r="U116" s="358">
        <v>0</v>
      </c>
      <c r="V116" s="358">
        <v>0</v>
      </c>
      <c r="W116" s="358">
        <v>0</v>
      </c>
      <c r="X116" s="358">
        <v>0</v>
      </c>
      <c r="Y116" s="358">
        <v>0</v>
      </c>
      <c r="Z116" s="358">
        <v>0</v>
      </c>
      <c r="AA116" s="358"/>
      <c r="AB116" s="448"/>
      <c r="AC116" s="448"/>
      <c r="AD116" s="448"/>
      <c r="AE116" s="448"/>
    </row>
    <row r="117" spans="1:31" ht="18.75" x14ac:dyDescent="0.25">
      <c r="A117" s="470" t="s">
        <v>289</v>
      </c>
      <c r="B117" s="467"/>
      <c r="C117" s="467"/>
      <c r="D117" s="469"/>
      <c r="F117" s="358">
        <v>0</v>
      </c>
      <c r="G117" s="358">
        <v>0</v>
      </c>
      <c r="H117" s="358">
        <v>0</v>
      </c>
      <c r="I117" s="358">
        <v>0</v>
      </c>
      <c r="J117" s="358">
        <v>0</v>
      </c>
      <c r="K117" s="358">
        <v>0</v>
      </c>
      <c r="L117" s="358">
        <v>0</v>
      </c>
      <c r="M117" s="358">
        <v>0</v>
      </c>
      <c r="N117" s="358">
        <v>0</v>
      </c>
      <c r="O117" s="358">
        <v>0</v>
      </c>
      <c r="P117" s="358">
        <v>0</v>
      </c>
      <c r="Q117" s="358">
        <v>0</v>
      </c>
      <c r="R117" s="358">
        <v>0</v>
      </c>
      <c r="S117" s="358">
        <v>0</v>
      </c>
      <c r="T117" s="358">
        <v>0</v>
      </c>
      <c r="U117" s="358">
        <v>0</v>
      </c>
      <c r="V117" s="358">
        <v>0</v>
      </c>
      <c r="W117" s="358">
        <v>0</v>
      </c>
      <c r="X117" s="358">
        <v>0</v>
      </c>
      <c r="Y117" s="358">
        <v>0</v>
      </c>
      <c r="Z117" s="358">
        <v>0</v>
      </c>
      <c r="AA117" s="358"/>
      <c r="AB117" s="448"/>
      <c r="AC117" s="448"/>
      <c r="AD117" s="448"/>
      <c r="AE117" s="448"/>
    </row>
    <row r="118" spans="1:31" ht="18.75" x14ac:dyDescent="0.25">
      <c r="A118" s="470" t="s">
        <v>321</v>
      </c>
      <c r="B118" s="467"/>
      <c r="C118" s="467"/>
      <c r="D118" s="469"/>
      <c r="F118" s="358">
        <v>0</v>
      </c>
      <c r="G118" s="358">
        <v>0</v>
      </c>
      <c r="H118" s="358">
        <v>0</v>
      </c>
      <c r="I118" s="358">
        <v>0</v>
      </c>
      <c r="J118" s="358">
        <v>0</v>
      </c>
      <c r="K118" s="358">
        <v>0</v>
      </c>
      <c r="L118" s="358">
        <v>0</v>
      </c>
      <c r="M118" s="358">
        <v>0</v>
      </c>
      <c r="N118" s="358">
        <v>0</v>
      </c>
      <c r="O118" s="358">
        <v>0</v>
      </c>
      <c r="P118" s="358">
        <v>0</v>
      </c>
      <c r="Q118" s="358">
        <v>0</v>
      </c>
      <c r="R118" s="358">
        <v>0</v>
      </c>
      <c r="S118" s="358">
        <v>0</v>
      </c>
      <c r="T118" s="358">
        <v>0</v>
      </c>
      <c r="U118" s="358">
        <v>0</v>
      </c>
      <c r="V118" s="358">
        <v>0</v>
      </c>
      <c r="W118" s="358">
        <v>0</v>
      </c>
      <c r="X118" s="358">
        <v>0</v>
      </c>
      <c r="Y118" s="358">
        <v>0</v>
      </c>
      <c r="Z118" s="358">
        <v>0</v>
      </c>
      <c r="AA118" s="358"/>
      <c r="AB118" s="448"/>
      <c r="AC118" s="448"/>
      <c r="AD118" s="448"/>
      <c r="AE118" s="448"/>
    </row>
    <row r="119" spans="1:31" ht="18.75" x14ac:dyDescent="0.25">
      <c r="A119" s="470" t="s">
        <v>322</v>
      </c>
      <c r="B119" s="467"/>
      <c r="C119" s="467"/>
      <c r="D119" s="469"/>
      <c r="F119" s="358">
        <v>0</v>
      </c>
      <c r="G119" s="358">
        <v>0</v>
      </c>
      <c r="H119" s="358">
        <v>0</v>
      </c>
      <c r="I119" s="358">
        <v>0</v>
      </c>
      <c r="J119" s="358">
        <v>0</v>
      </c>
      <c r="K119" s="358">
        <v>0</v>
      </c>
      <c r="L119" s="358">
        <v>0</v>
      </c>
      <c r="M119" s="358">
        <v>0</v>
      </c>
      <c r="N119" s="358">
        <v>0</v>
      </c>
      <c r="O119" s="358">
        <v>0</v>
      </c>
      <c r="P119" s="358">
        <v>0</v>
      </c>
      <c r="Q119" s="358">
        <v>0</v>
      </c>
      <c r="R119" s="358">
        <v>0</v>
      </c>
      <c r="S119" s="358">
        <v>0</v>
      </c>
      <c r="T119" s="358">
        <v>0</v>
      </c>
      <c r="U119" s="358">
        <v>0</v>
      </c>
      <c r="V119" s="358">
        <v>0</v>
      </c>
      <c r="W119" s="358">
        <v>0</v>
      </c>
      <c r="X119" s="358">
        <v>0</v>
      </c>
      <c r="Y119" s="358">
        <v>0</v>
      </c>
      <c r="Z119" s="358">
        <v>0</v>
      </c>
      <c r="AA119" s="358"/>
      <c r="AB119" s="448"/>
      <c r="AC119" s="448"/>
      <c r="AD119" s="448"/>
      <c r="AE119" s="448"/>
    </row>
    <row r="120" spans="1:31" ht="18.75" x14ac:dyDescent="0.25">
      <c r="A120" s="470" t="s">
        <v>178</v>
      </c>
      <c r="B120" s="467"/>
      <c r="C120" s="467"/>
      <c r="D120" s="469"/>
      <c r="F120" s="358"/>
      <c r="G120" s="358"/>
      <c r="H120" s="358"/>
      <c r="I120" s="358"/>
      <c r="J120" s="358"/>
      <c r="K120" s="358">
        <v>0</v>
      </c>
      <c r="L120" s="358">
        <v>50</v>
      </c>
      <c r="M120" s="358">
        <v>40</v>
      </c>
      <c r="N120" s="358">
        <v>40</v>
      </c>
      <c r="O120" s="358">
        <v>40</v>
      </c>
      <c r="P120" s="358">
        <v>15</v>
      </c>
      <c r="Q120" s="358">
        <v>15</v>
      </c>
      <c r="R120" s="358">
        <v>15</v>
      </c>
      <c r="S120" s="358">
        <v>15</v>
      </c>
      <c r="T120" s="358">
        <v>0</v>
      </c>
      <c r="U120" s="358">
        <v>0</v>
      </c>
      <c r="V120" s="358">
        <v>0</v>
      </c>
      <c r="W120" s="358">
        <v>0</v>
      </c>
      <c r="X120" s="358">
        <v>0</v>
      </c>
      <c r="Y120" s="358">
        <v>0</v>
      </c>
      <c r="Z120" s="358">
        <v>0</v>
      </c>
      <c r="AA120" s="358"/>
      <c r="AB120" s="448"/>
      <c r="AC120" s="448"/>
      <c r="AD120" s="448"/>
      <c r="AE120" s="448"/>
    </row>
    <row r="121" spans="1:31" ht="18.75" x14ac:dyDescent="0.25">
      <c r="A121" s="470" t="s">
        <v>179</v>
      </c>
      <c r="B121" s="467"/>
      <c r="C121" s="467"/>
      <c r="D121" s="469"/>
      <c r="F121" s="358"/>
      <c r="G121" s="358"/>
      <c r="H121" s="358"/>
      <c r="I121" s="358"/>
      <c r="J121" s="358"/>
      <c r="K121" s="358">
        <v>0</v>
      </c>
      <c r="L121" s="358">
        <v>5</v>
      </c>
      <c r="M121" s="358">
        <v>0</v>
      </c>
      <c r="N121" s="358">
        <v>0</v>
      </c>
      <c r="O121" s="358">
        <v>0</v>
      </c>
      <c r="P121" s="358">
        <v>0</v>
      </c>
      <c r="Q121" s="358">
        <v>0</v>
      </c>
      <c r="R121" s="358">
        <v>0</v>
      </c>
      <c r="S121" s="358">
        <v>0</v>
      </c>
      <c r="T121" s="358">
        <v>0</v>
      </c>
      <c r="U121" s="358">
        <v>0</v>
      </c>
      <c r="V121" s="358">
        <v>0</v>
      </c>
      <c r="W121" s="358">
        <v>0</v>
      </c>
      <c r="X121" s="358">
        <v>0</v>
      </c>
      <c r="Y121" s="358">
        <v>0</v>
      </c>
      <c r="Z121" s="358">
        <v>0</v>
      </c>
      <c r="AA121" s="358"/>
      <c r="AB121" s="448"/>
      <c r="AC121" s="448"/>
      <c r="AD121" s="448"/>
      <c r="AE121" s="448"/>
    </row>
  </sheetData>
  <mergeCells count="73">
    <mergeCell ref="B2:D2"/>
    <mergeCell ref="C5:C6"/>
    <mergeCell ref="B3:D3"/>
    <mergeCell ref="A105:D105"/>
    <mergeCell ref="A74:D74"/>
    <mergeCell ref="A101:D101"/>
    <mergeCell ref="A86:D86"/>
    <mergeCell ref="A104:D104"/>
    <mergeCell ref="A95:D95"/>
    <mergeCell ref="A71:D71"/>
    <mergeCell ref="A57:D57"/>
    <mergeCell ref="A85:D85"/>
    <mergeCell ref="A76:D76"/>
    <mergeCell ref="D5:D6"/>
    <mergeCell ref="A66:D66"/>
    <mergeCell ref="B5:B6"/>
    <mergeCell ref="A118:D118"/>
    <mergeCell ref="A80:D80"/>
    <mergeCell ref="A75:D75"/>
    <mergeCell ref="A56:D56"/>
    <mergeCell ref="A89:D89"/>
    <mergeCell ref="A113:D113"/>
    <mergeCell ref="A5:A6"/>
    <mergeCell ref="A103:D103"/>
    <mergeCell ref="A94:D94"/>
    <mergeCell ref="A110:D110"/>
    <mergeCell ref="A79:D79"/>
    <mergeCell ref="A70:D70"/>
    <mergeCell ref="A61:D61"/>
    <mergeCell ref="A88:D88"/>
    <mergeCell ref="A69:D69"/>
    <mergeCell ref="A78:D78"/>
    <mergeCell ref="A87:D87"/>
    <mergeCell ref="A65:D65"/>
    <mergeCell ref="A99:D99"/>
    <mergeCell ref="A90:D90"/>
    <mergeCell ref="A108:D108"/>
    <mergeCell ref="A84:D84"/>
    <mergeCell ref="AZ7:BH7"/>
    <mergeCell ref="A58:D58"/>
    <mergeCell ref="A114:D114"/>
    <mergeCell ref="A83:D83"/>
    <mergeCell ref="A77:D77"/>
    <mergeCell ref="A92:D92"/>
    <mergeCell ref="A64:D64"/>
    <mergeCell ref="A82:D82"/>
    <mergeCell ref="A59:D59"/>
    <mergeCell ref="A73:D73"/>
    <mergeCell ref="A107:D107"/>
    <mergeCell ref="A98:D98"/>
    <mergeCell ref="A60:D60"/>
    <mergeCell ref="A121:D121"/>
    <mergeCell ref="A117:D117"/>
    <mergeCell ref="A115:D115"/>
    <mergeCell ref="A93:D93"/>
    <mergeCell ref="A68:D68"/>
    <mergeCell ref="A111:D111"/>
    <mergeCell ref="A102:D102"/>
    <mergeCell ref="A119:D119"/>
    <mergeCell ref="A120:D120"/>
    <mergeCell ref="A62:D62"/>
    <mergeCell ref="A96:D96"/>
    <mergeCell ref="A109:D109"/>
    <mergeCell ref="A72:D72"/>
    <mergeCell ref="A112:D112"/>
    <mergeCell ref="A81:D81"/>
    <mergeCell ref="A63:D63"/>
    <mergeCell ref="A67:D67"/>
    <mergeCell ref="A116:D116"/>
    <mergeCell ref="A106:D106"/>
    <mergeCell ref="A91:D91"/>
    <mergeCell ref="A97:D97"/>
    <mergeCell ref="A100:D100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61" fitToHeight="0" orientation="landscape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61">
    <tabColor theme="9"/>
  </sheetPr>
  <dimension ref="A1:BG121"/>
  <sheetViews>
    <sheetView showGridLines="0" zoomScale="80" zoomScaleNormal="80" zoomScaleSheetLayoutView="70" workbookViewId="0">
      <selection activeCell="AJ27" sqref="AJ27"/>
    </sheetView>
  </sheetViews>
  <sheetFormatPr defaultColWidth="9.140625" defaultRowHeight="18.75" x14ac:dyDescent="0.3"/>
  <cols>
    <col min="1" max="1" width="26.7109375" style="62" customWidth="1"/>
    <col min="2" max="2" width="8.7109375" style="11" customWidth="1"/>
    <col min="3" max="4" width="15.28515625" style="11" customWidth="1"/>
    <col min="5" max="5" width="1.5703125" style="11" customWidth="1"/>
    <col min="6" max="24" width="9.28515625" style="11" hidden="1" customWidth="1"/>
    <col min="25" max="26" width="9.28515625" style="11" customWidth="1"/>
    <col min="27" max="27" width="8.7109375" style="11" customWidth="1"/>
    <col min="28" max="28" width="1.7109375" style="11" customWidth="1"/>
    <col min="29" max="29" width="14.28515625" style="34" bestFit="1" customWidth="1"/>
    <col min="30" max="30" width="1.28515625" style="11" customWidth="1"/>
    <col min="31" max="31" width="15.85546875" style="366" bestFit="1" customWidth="1"/>
    <col min="32" max="32" width="1.7109375" style="11" customWidth="1"/>
    <col min="33" max="34" width="8.7109375" style="71" customWidth="1"/>
    <col min="35" max="35" width="11.7109375" style="71" bestFit="1" customWidth="1"/>
    <col min="36" max="38" width="8.7109375" style="71" customWidth="1"/>
    <col min="39" max="49" width="8.7109375" style="71" hidden="1" customWidth="1"/>
    <col min="50" max="50" width="9.140625" style="11" customWidth="1"/>
    <col min="51" max="51" width="21.85546875" style="11" bestFit="1" customWidth="1"/>
    <col min="52" max="52" width="9.140625" style="11" customWidth="1"/>
    <col min="53" max="56" width="13" style="11" hidden="1" customWidth="1"/>
    <col min="57" max="57" width="9.140625" style="11" customWidth="1"/>
    <col min="58" max="16384" width="9.140625" style="11"/>
  </cols>
  <sheetData>
    <row r="1" spans="1:59" ht="23.25" customHeight="1" x14ac:dyDescent="0.3">
      <c r="A1" s="354" t="s">
        <v>117</v>
      </c>
      <c r="B1" s="354"/>
      <c r="C1" s="354"/>
      <c r="D1" s="354"/>
      <c r="E1" s="354"/>
      <c r="F1" s="353"/>
      <c r="G1" s="353"/>
      <c r="H1" s="353"/>
      <c r="I1" s="353"/>
      <c r="J1" s="353"/>
      <c r="K1" s="353"/>
      <c r="L1" s="353"/>
      <c r="M1" s="353"/>
      <c r="N1" s="353"/>
      <c r="O1" s="353"/>
      <c r="P1" s="353"/>
      <c r="Q1" s="353"/>
      <c r="R1" s="353"/>
      <c r="S1" s="353"/>
      <c r="T1" s="353"/>
      <c r="U1" s="353"/>
      <c r="V1" s="353"/>
      <c r="W1" s="353"/>
      <c r="X1" s="353"/>
      <c r="Y1" s="353"/>
      <c r="Z1" s="353"/>
      <c r="AA1" s="354"/>
      <c r="AB1" s="354"/>
      <c r="AC1" s="353"/>
      <c r="AD1" s="354"/>
      <c r="AE1" s="354"/>
      <c r="AF1" s="354"/>
      <c r="AG1" s="353"/>
      <c r="AH1" s="353"/>
      <c r="AI1" s="353"/>
      <c r="AJ1" s="353"/>
      <c r="AK1" s="353"/>
      <c r="AL1" s="353"/>
      <c r="AM1" s="353"/>
      <c r="AN1" s="353"/>
      <c r="AO1" s="353"/>
      <c r="AP1" s="353"/>
      <c r="AQ1" s="353"/>
      <c r="AR1" s="353"/>
      <c r="AS1" s="353"/>
      <c r="AT1" s="353"/>
      <c r="AU1" s="353"/>
      <c r="AV1" s="353"/>
      <c r="AW1" s="353"/>
    </row>
    <row r="2" spans="1:59" x14ac:dyDescent="0.3">
      <c r="A2" s="63" t="s">
        <v>118</v>
      </c>
      <c r="B2" s="473" t="s">
        <v>248</v>
      </c>
      <c r="C2" s="463"/>
      <c r="D2" s="464"/>
      <c r="AC2" s="11"/>
      <c r="AE2" s="70"/>
    </row>
    <row r="3" spans="1:59" x14ac:dyDescent="0.3">
      <c r="A3" s="63" t="s">
        <v>120</v>
      </c>
      <c r="B3" s="465" t="s">
        <v>249</v>
      </c>
      <c r="C3" s="463"/>
      <c r="D3" s="464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11"/>
      <c r="AD3" s="7"/>
    </row>
    <row r="4" spans="1:59" x14ac:dyDescent="0.3">
      <c r="AD4" s="34"/>
      <c r="AE4" s="70"/>
      <c r="AG4" s="387"/>
      <c r="AH4" s="387"/>
      <c r="AI4" s="387"/>
      <c r="AJ4" s="387"/>
      <c r="AK4" s="387"/>
      <c r="AL4" s="387"/>
      <c r="AM4" s="387"/>
      <c r="AN4" s="387"/>
      <c r="AO4" s="387"/>
      <c r="AP4" s="387"/>
      <c r="AQ4" s="387"/>
      <c r="AR4" s="387"/>
      <c r="AS4" s="387"/>
      <c r="AT4" s="387"/>
      <c r="AU4" s="387"/>
      <c r="AV4" s="387"/>
      <c r="AW4" s="387"/>
    </row>
    <row r="5" spans="1:59" ht="18.75" customHeight="1" x14ac:dyDescent="0.3">
      <c r="A5" s="460" t="s">
        <v>122</v>
      </c>
      <c r="B5" s="471" t="s">
        <v>123</v>
      </c>
      <c r="C5" s="471" t="s">
        <v>124</v>
      </c>
      <c r="D5" s="474" t="s">
        <v>125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C5" s="29" t="s">
        <v>126</v>
      </c>
      <c r="AE5" s="9" t="s">
        <v>127</v>
      </c>
      <c r="AG5" s="363"/>
      <c r="AH5" s="363">
        <v>46142</v>
      </c>
      <c r="AI5" s="339" t="s">
        <v>128</v>
      </c>
      <c r="AJ5" s="363">
        <v>46114</v>
      </c>
      <c r="AK5" s="409">
        <v>46065</v>
      </c>
      <c r="AL5" s="363">
        <v>46092</v>
      </c>
      <c r="AM5" s="363">
        <v>46077</v>
      </c>
      <c r="AN5" s="363">
        <v>46056</v>
      </c>
      <c r="AO5" s="363">
        <v>46048</v>
      </c>
      <c r="AP5" s="363">
        <v>46043</v>
      </c>
      <c r="AQ5" s="363">
        <v>46035</v>
      </c>
      <c r="AR5" s="363">
        <v>46024</v>
      </c>
      <c r="AS5" s="363">
        <v>46017</v>
      </c>
      <c r="AT5" s="363">
        <v>46007</v>
      </c>
      <c r="AU5" s="363">
        <v>46001</v>
      </c>
      <c r="AV5" s="363">
        <v>45994</v>
      </c>
      <c r="AW5" s="363">
        <v>45986</v>
      </c>
    </row>
    <row r="6" spans="1:59" s="3" customFormat="1" x14ac:dyDescent="0.3">
      <c r="A6" s="461"/>
      <c r="B6" s="461"/>
      <c r="C6" s="461"/>
      <c r="D6" s="461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35" t="s">
        <v>129</v>
      </c>
      <c r="AB6" s="30"/>
      <c r="AC6" s="180"/>
      <c r="AD6" s="11"/>
      <c r="AE6" s="179">
        <v>46155</v>
      </c>
      <c r="AF6" s="11"/>
      <c r="AG6" s="363"/>
      <c r="AH6" s="363">
        <v>46149</v>
      </c>
      <c r="AI6" s="339">
        <v>46148</v>
      </c>
      <c r="AJ6" s="363">
        <v>46126</v>
      </c>
      <c r="AK6" s="409">
        <v>46107</v>
      </c>
      <c r="AL6" s="363">
        <v>46100</v>
      </c>
      <c r="AM6" s="363">
        <v>46084</v>
      </c>
      <c r="AN6" s="363">
        <v>46063</v>
      </c>
      <c r="AO6" s="363">
        <v>46056</v>
      </c>
      <c r="AP6" s="363">
        <v>46049</v>
      </c>
      <c r="AQ6" s="363">
        <v>46042</v>
      </c>
      <c r="AR6" s="363">
        <v>46038</v>
      </c>
      <c r="AS6" s="363">
        <v>46028</v>
      </c>
      <c r="AT6" s="363">
        <v>46013</v>
      </c>
      <c r="AU6" s="363">
        <v>46007</v>
      </c>
      <c r="AV6" s="363">
        <v>45999</v>
      </c>
      <c r="AW6" s="363">
        <v>45993</v>
      </c>
      <c r="AY6" s="11"/>
      <c r="AZ6" s="11"/>
      <c r="BA6" s="11"/>
      <c r="BB6" s="11"/>
      <c r="BC6" s="11"/>
      <c r="BD6" s="11"/>
      <c r="BE6" s="11"/>
      <c r="BF6" s="11"/>
      <c r="BG6" s="11"/>
    </row>
    <row r="7" spans="1:59" s="3" customFormat="1" ht="21.75" customHeight="1" x14ac:dyDescent="0.3">
      <c r="A7" s="68" t="s">
        <v>130</v>
      </c>
      <c r="B7" s="5"/>
      <c r="C7" s="5"/>
      <c r="D7" s="233"/>
      <c r="E7" s="11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1"/>
      <c r="AC7" s="84"/>
      <c r="AD7" s="11"/>
      <c r="AE7" s="124"/>
      <c r="AF7" s="11"/>
      <c r="AG7" s="12"/>
      <c r="AH7" s="12"/>
      <c r="AI7" s="12"/>
      <c r="AJ7" s="12"/>
      <c r="AK7" s="12" t="s">
        <v>131</v>
      </c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Y7" s="475" t="s">
        <v>180</v>
      </c>
      <c r="AZ7" s="467"/>
      <c r="BA7" s="467"/>
      <c r="BB7" s="467"/>
      <c r="BC7" s="467"/>
      <c r="BD7" s="467"/>
      <c r="BE7" s="467"/>
      <c r="BF7" s="467"/>
      <c r="BG7" s="469"/>
    </row>
    <row r="8" spans="1:59" s="3" customFormat="1" ht="19.5" customHeight="1" x14ac:dyDescent="0.3">
      <c r="A8" s="21" t="s">
        <v>132</v>
      </c>
      <c r="B8" s="6">
        <v>300</v>
      </c>
      <c r="C8" s="82">
        <v>187.12</v>
      </c>
      <c r="D8" s="234">
        <v>250</v>
      </c>
      <c r="E8" s="11"/>
      <c r="F8" s="39">
        <v>300</v>
      </c>
      <c r="G8" s="39">
        <v>140</v>
      </c>
      <c r="H8" s="39">
        <v>140</v>
      </c>
      <c r="I8" s="39">
        <v>140</v>
      </c>
      <c r="J8" s="39">
        <v>350</v>
      </c>
      <c r="K8" s="39">
        <v>350</v>
      </c>
      <c r="L8" s="39">
        <v>350</v>
      </c>
      <c r="M8" s="39">
        <v>350</v>
      </c>
      <c r="N8" s="39">
        <v>350</v>
      </c>
      <c r="O8" s="39">
        <v>300</v>
      </c>
      <c r="P8" s="39">
        <v>300</v>
      </c>
      <c r="Q8" s="39">
        <v>300</v>
      </c>
      <c r="R8" s="39">
        <v>245</v>
      </c>
      <c r="S8" s="39">
        <v>230</v>
      </c>
      <c r="T8" s="39">
        <v>80</v>
      </c>
      <c r="U8" s="39">
        <v>80</v>
      </c>
      <c r="V8" s="39">
        <f>0+AH8</f>
        <v>0</v>
      </c>
      <c r="W8" s="39">
        <v>600</v>
      </c>
      <c r="X8" s="39">
        <v>500</v>
      </c>
      <c r="Y8" s="39">
        <v>500</v>
      </c>
      <c r="Z8" s="39">
        <v>400</v>
      </c>
      <c r="AA8" s="372">
        <f ca="1">Y8+IF(NOT(ISBLANK(OFFSET(AA8,0,6))),N(OFFSET(AA8,0,6)),N(OFFSET(AA8,0,7)))-Z8</f>
        <v>100</v>
      </c>
      <c r="AB8" s="11"/>
      <c r="AC8" s="78"/>
      <c r="AD8" s="11"/>
      <c r="AE8" s="345"/>
      <c r="AF8" s="11"/>
      <c r="AG8" s="19">
        <v>0</v>
      </c>
      <c r="AH8" s="19">
        <v>0</v>
      </c>
      <c r="AI8" s="296"/>
      <c r="AJ8" s="19">
        <v>600</v>
      </c>
      <c r="AK8" s="19"/>
      <c r="AL8" s="19"/>
      <c r="AM8" s="19"/>
      <c r="AN8" s="19"/>
      <c r="AO8" s="19"/>
      <c r="AP8" s="19"/>
      <c r="AQ8" s="19"/>
      <c r="AR8" s="19">
        <v>300</v>
      </c>
      <c r="AS8" s="19"/>
      <c r="AT8" s="19"/>
      <c r="AU8" s="19"/>
      <c r="AV8" s="19">
        <v>300</v>
      </c>
      <c r="AW8" s="19"/>
      <c r="AY8" s="389" t="s">
        <v>130</v>
      </c>
      <c r="AZ8" s="376" t="s">
        <v>123</v>
      </c>
      <c r="BA8" s="13">
        <v>46118</v>
      </c>
      <c r="BB8" s="13">
        <v>46125</v>
      </c>
      <c r="BC8" s="13">
        <v>46132</v>
      </c>
      <c r="BD8" s="13">
        <v>46139</v>
      </c>
      <c r="BE8" s="13">
        <v>46146</v>
      </c>
      <c r="BF8" s="13">
        <v>46154</v>
      </c>
      <c r="BG8" s="35" t="s">
        <v>129</v>
      </c>
    </row>
    <row r="9" spans="1:59" s="3" customFormat="1" ht="19.5" customHeight="1" x14ac:dyDescent="0.3">
      <c r="A9" s="21" t="s">
        <v>134</v>
      </c>
      <c r="B9" s="6">
        <v>200</v>
      </c>
      <c r="C9" s="82">
        <v>193.08</v>
      </c>
      <c r="D9" s="234">
        <v>400</v>
      </c>
      <c r="E9" s="11"/>
      <c r="F9" s="39">
        <v>400</v>
      </c>
      <c r="G9" s="39">
        <v>100</v>
      </c>
      <c r="H9" s="39">
        <f>0+AS9</f>
        <v>200</v>
      </c>
      <c r="I9" s="39">
        <v>90</v>
      </c>
      <c r="J9" s="39">
        <f>400+AQ9</f>
        <v>600</v>
      </c>
      <c r="K9" s="39">
        <v>400</v>
      </c>
      <c r="L9" s="39">
        <f>400+AO9</f>
        <v>800</v>
      </c>
      <c r="M9" s="39">
        <v>600</v>
      </c>
      <c r="N9" s="39">
        <v>440</v>
      </c>
      <c r="O9" s="39">
        <v>400</v>
      </c>
      <c r="P9" s="39">
        <f>400+AM9</f>
        <v>600</v>
      </c>
      <c r="Q9" s="39">
        <v>310</v>
      </c>
      <c r="R9" s="39">
        <v>100</v>
      </c>
      <c r="S9" s="39">
        <v>480</v>
      </c>
      <c r="T9" s="39">
        <v>400</v>
      </c>
      <c r="U9" s="39">
        <v>200</v>
      </c>
      <c r="V9" s="39">
        <f>0+AH9</f>
        <v>400</v>
      </c>
      <c r="W9" s="39">
        <v>370</v>
      </c>
      <c r="X9" s="39">
        <v>320</v>
      </c>
      <c r="Y9" s="39">
        <f>290+AH9</f>
        <v>690</v>
      </c>
      <c r="Z9" s="39">
        <v>450</v>
      </c>
      <c r="AA9" s="372">
        <f ca="1">Y9+IF(NOT(ISBLANK(OFFSET(AA9,0,6))),N(OFFSET(AA9,0,6)),N(OFFSET(AA9,0,7)))-Z9</f>
        <v>240</v>
      </c>
      <c r="AB9" s="11"/>
      <c r="AC9" s="78"/>
      <c r="AD9" s="11"/>
      <c r="AE9" s="345"/>
      <c r="AF9" s="11"/>
      <c r="AG9" s="296">
        <v>0</v>
      </c>
      <c r="AH9" s="296">
        <v>400</v>
      </c>
      <c r="AI9" s="296"/>
      <c r="AJ9" s="19">
        <v>200</v>
      </c>
      <c r="AK9" s="117">
        <v>600</v>
      </c>
      <c r="AL9" s="19">
        <v>400</v>
      </c>
      <c r="AM9" s="19">
        <v>200</v>
      </c>
      <c r="AN9" s="19"/>
      <c r="AO9" s="19">
        <v>400</v>
      </c>
      <c r="AP9" s="19"/>
      <c r="AQ9" s="19">
        <v>200</v>
      </c>
      <c r="AR9" s="19">
        <v>400</v>
      </c>
      <c r="AS9" s="19">
        <v>200</v>
      </c>
      <c r="AT9" s="19">
        <v>400</v>
      </c>
      <c r="AU9" s="19">
        <v>400</v>
      </c>
      <c r="AV9" s="19"/>
      <c r="AW9" s="19"/>
      <c r="AY9" s="364" t="s">
        <v>136</v>
      </c>
      <c r="AZ9" s="135">
        <v>200</v>
      </c>
      <c r="BA9" s="39">
        <f>AK9</f>
        <v>600</v>
      </c>
      <c r="BB9" s="39">
        <v>600</v>
      </c>
      <c r="BC9" s="39">
        <v>350</v>
      </c>
      <c r="BD9" s="39">
        <v>250</v>
      </c>
      <c r="BE9" s="39">
        <v>100</v>
      </c>
      <c r="BF9" s="39">
        <v>0</v>
      </c>
      <c r="BG9" s="26">
        <f ca="1">BE9+IF(NOT(ISBLANK(OFFSET(BG9,0,6))),N(OFFSET(BG9,0,6)),N(OFFSET(BG9,0,7)))-BF9</f>
        <v>100</v>
      </c>
    </row>
    <row r="10" spans="1:59" s="3" customFormat="1" ht="19.5" customHeight="1" x14ac:dyDescent="0.3">
      <c r="A10" s="21" t="s">
        <v>137</v>
      </c>
      <c r="B10" s="6">
        <v>200</v>
      </c>
      <c r="C10" s="82">
        <v>253.83</v>
      </c>
      <c r="D10" s="234">
        <v>150</v>
      </c>
      <c r="E10" s="11"/>
      <c r="F10" s="39">
        <v>200</v>
      </c>
      <c r="G10" s="39">
        <v>74</v>
      </c>
      <c r="H10" s="39">
        <f>74+AS10</f>
        <v>274</v>
      </c>
      <c r="I10" s="39">
        <v>174</v>
      </c>
      <c r="J10" s="39">
        <f>150+AQ10</f>
        <v>350</v>
      </c>
      <c r="K10" s="39">
        <v>320</v>
      </c>
      <c r="L10" s="39">
        <v>200</v>
      </c>
      <c r="M10" s="39">
        <f>200+AN10</f>
        <v>400</v>
      </c>
      <c r="N10" s="39">
        <v>400</v>
      </c>
      <c r="O10" s="39">
        <v>400</v>
      </c>
      <c r="P10" s="39">
        <v>350</v>
      </c>
      <c r="Q10" s="39">
        <v>350</v>
      </c>
      <c r="R10" s="39">
        <v>310</v>
      </c>
      <c r="S10" s="39">
        <v>310</v>
      </c>
      <c r="T10" s="39">
        <v>200</v>
      </c>
      <c r="U10" s="39">
        <v>200</v>
      </c>
      <c r="V10" s="39">
        <f>200+AH10</f>
        <v>200</v>
      </c>
      <c r="W10" s="39">
        <v>400</v>
      </c>
      <c r="X10" s="39">
        <v>350</v>
      </c>
      <c r="Y10" s="39">
        <v>350</v>
      </c>
      <c r="Z10" s="39">
        <v>350</v>
      </c>
      <c r="AA10" s="372">
        <f ca="1">Y10+IF(NOT(ISBLANK(OFFSET(AA10,0,6))),N(OFFSET(AA10,0,6)),N(OFFSET(AA10,0,7)))-Z10</f>
        <v>0</v>
      </c>
      <c r="AB10" s="11"/>
      <c r="AC10" s="78"/>
      <c r="AD10" s="11"/>
      <c r="AE10" s="345"/>
      <c r="AF10" s="11"/>
      <c r="AG10" s="296">
        <v>0</v>
      </c>
      <c r="AH10" s="296">
        <v>0</v>
      </c>
      <c r="AI10" s="296"/>
      <c r="AJ10" s="19">
        <v>200</v>
      </c>
      <c r="AK10" s="117">
        <v>400</v>
      </c>
      <c r="AL10" s="19"/>
      <c r="AM10" s="19"/>
      <c r="AN10" s="19">
        <v>200</v>
      </c>
      <c r="AO10" s="19"/>
      <c r="AP10" s="19"/>
      <c r="AQ10" s="19">
        <v>200</v>
      </c>
      <c r="AR10" s="19"/>
      <c r="AS10" s="19">
        <v>200</v>
      </c>
      <c r="AT10" s="19">
        <v>200</v>
      </c>
      <c r="AU10" s="19">
        <v>200</v>
      </c>
      <c r="AV10" s="19"/>
      <c r="AW10" s="19"/>
      <c r="AY10" s="21" t="s">
        <v>138</v>
      </c>
      <c r="AZ10" s="6">
        <v>200</v>
      </c>
      <c r="BA10" s="39">
        <f>AK10</f>
        <v>400</v>
      </c>
      <c r="BB10" s="39">
        <v>400</v>
      </c>
      <c r="BC10" s="39">
        <v>300</v>
      </c>
      <c r="BD10" s="39">
        <v>270</v>
      </c>
      <c r="BE10" s="39">
        <v>230</v>
      </c>
      <c r="BF10" s="39">
        <v>0</v>
      </c>
      <c r="BG10" s="26">
        <f ca="1">BE10+IF(NOT(ISBLANK(OFFSET(BG10,0,6))),N(OFFSET(BG10,0,6)),N(OFFSET(BG10,0,7)))-BF10</f>
        <v>230</v>
      </c>
    </row>
    <row r="11" spans="1:59" s="3" customFormat="1" ht="19.5" customHeight="1" x14ac:dyDescent="0.3">
      <c r="A11" s="22" t="s">
        <v>139</v>
      </c>
      <c r="B11" s="6">
        <v>100</v>
      </c>
      <c r="C11" s="82">
        <v>184.57</v>
      </c>
      <c r="D11" s="234">
        <v>30</v>
      </c>
      <c r="E11" s="11"/>
      <c r="F11" s="39">
        <v>80</v>
      </c>
      <c r="G11" s="39">
        <v>0</v>
      </c>
      <c r="H11" s="39">
        <v>0</v>
      </c>
      <c r="I11" s="39">
        <v>0</v>
      </c>
      <c r="J11" s="39">
        <v>100</v>
      </c>
      <c r="K11" s="39">
        <v>100</v>
      </c>
      <c r="L11" s="39">
        <v>100</v>
      </c>
      <c r="M11" s="39">
        <v>100</v>
      </c>
      <c r="N11" s="39">
        <v>100</v>
      </c>
      <c r="O11" s="39">
        <v>0</v>
      </c>
      <c r="P11" s="39">
        <f>0+AM11</f>
        <v>100</v>
      </c>
      <c r="Q11" s="39">
        <v>100</v>
      </c>
      <c r="R11" s="39">
        <v>100</v>
      </c>
      <c r="S11" s="39">
        <v>100</v>
      </c>
      <c r="T11" s="39">
        <v>100</v>
      </c>
      <c r="U11" s="39">
        <v>100</v>
      </c>
      <c r="V11" s="39">
        <v>80</v>
      </c>
      <c r="W11" s="39">
        <v>80</v>
      </c>
      <c r="X11" s="39">
        <v>80</v>
      </c>
      <c r="Y11" s="39">
        <v>80</v>
      </c>
      <c r="Z11" s="39">
        <v>0</v>
      </c>
      <c r="AA11" s="372">
        <f ca="1">Y11+IF(NOT(ISBLANK(OFFSET(AA11,0,6))),N(OFFSET(AA11,0,6)),N(OFFSET(AA11,0,7)))-Z11</f>
        <v>80</v>
      </c>
      <c r="AB11" s="11"/>
      <c r="AC11" s="78" t="s">
        <v>250</v>
      </c>
      <c r="AD11" s="11"/>
      <c r="AE11" s="345"/>
      <c r="AF11" s="11"/>
      <c r="AG11" s="296">
        <v>0</v>
      </c>
      <c r="AH11" s="296">
        <v>0</v>
      </c>
      <c r="AI11" s="296"/>
      <c r="AJ11" s="19"/>
      <c r="AK11" s="117">
        <v>100</v>
      </c>
      <c r="AL11" s="19"/>
      <c r="AM11" s="19">
        <v>100</v>
      </c>
      <c r="AN11" s="19"/>
      <c r="AO11" s="19"/>
      <c r="AP11" s="19"/>
      <c r="AQ11" s="19"/>
      <c r="AR11" s="19">
        <v>100</v>
      </c>
      <c r="AS11" s="19"/>
      <c r="AT11" s="19"/>
      <c r="AU11" s="19"/>
      <c r="AV11" s="19"/>
      <c r="AW11" s="19"/>
      <c r="AY11" s="22" t="s">
        <v>140</v>
      </c>
      <c r="AZ11" s="6">
        <v>100</v>
      </c>
      <c r="BA11" s="39">
        <f>AK11</f>
        <v>100</v>
      </c>
      <c r="BB11" s="39">
        <v>100</v>
      </c>
      <c r="BC11" s="39">
        <v>0</v>
      </c>
      <c r="BD11" s="39">
        <v>0</v>
      </c>
      <c r="BE11" s="39">
        <v>0</v>
      </c>
      <c r="BF11" s="39">
        <v>0</v>
      </c>
      <c r="BG11" s="26">
        <f ca="1">BE11+IF(NOT(ISBLANK(OFFSET(BG11,0,6))),N(OFFSET(BG11,0,6)),N(OFFSET(BG11,0,7)))-BF11</f>
        <v>0</v>
      </c>
    </row>
    <row r="12" spans="1:59" s="3" customFormat="1" ht="16.5" customHeight="1" x14ac:dyDescent="0.3">
      <c r="A12" s="23"/>
      <c r="B12" s="1"/>
      <c r="C12" s="64"/>
      <c r="D12" s="235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11"/>
      <c r="AC12" s="342"/>
      <c r="AD12" s="11"/>
      <c r="AE12" s="351"/>
      <c r="AF12" s="11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Y12" s="23"/>
      <c r="AZ12" s="1"/>
      <c r="BA12" s="2"/>
      <c r="BB12" s="2"/>
      <c r="BC12" s="2"/>
      <c r="BD12" s="2"/>
      <c r="BE12" s="2"/>
      <c r="BF12" s="2"/>
    </row>
    <row r="13" spans="1:59" s="3" customFormat="1" x14ac:dyDescent="0.3">
      <c r="A13" s="24" t="s">
        <v>141</v>
      </c>
      <c r="B13" s="12"/>
      <c r="C13" s="65"/>
      <c r="D13" s="395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35" t="s">
        <v>129</v>
      </c>
      <c r="AB13" s="7"/>
      <c r="AC13" s="29" t="s">
        <v>126</v>
      </c>
      <c r="AD13" s="11"/>
      <c r="AE13" s="9" t="s">
        <v>127</v>
      </c>
      <c r="AF13" s="7"/>
      <c r="AG13" s="363"/>
      <c r="AH13" s="363">
        <v>46142</v>
      </c>
      <c r="AI13" s="339">
        <v>46148</v>
      </c>
      <c r="AJ13" s="363">
        <v>46114</v>
      </c>
      <c r="AK13" s="409">
        <v>46065</v>
      </c>
      <c r="AL13" s="363">
        <v>46092</v>
      </c>
      <c r="AM13" s="363">
        <v>46077</v>
      </c>
      <c r="AN13" s="363">
        <v>46056</v>
      </c>
      <c r="AO13" s="363">
        <v>46048</v>
      </c>
      <c r="AP13" s="363">
        <v>46043</v>
      </c>
      <c r="AQ13" s="363">
        <v>46035</v>
      </c>
      <c r="AR13" s="363">
        <v>46024</v>
      </c>
      <c r="AS13" s="363">
        <v>46017</v>
      </c>
      <c r="AT13" s="363">
        <v>46007</v>
      </c>
      <c r="AU13" s="363">
        <v>46001</v>
      </c>
      <c r="AV13" s="363">
        <v>45994</v>
      </c>
      <c r="AW13" s="363">
        <v>45986</v>
      </c>
      <c r="AY13" s="389" t="s">
        <v>141</v>
      </c>
      <c r="AZ13" s="376" t="s">
        <v>123</v>
      </c>
      <c r="BA13" s="13">
        <v>46118</v>
      </c>
      <c r="BB13" s="13">
        <v>46125</v>
      </c>
      <c r="BC13" s="13">
        <v>46132</v>
      </c>
      <c r="BD13" s="13">
        <v>46139</v>
      </c>
      <c r="BE13" s="13">
        <v>46146</v>
      </c>
      <c r="BF13" s="13">
        <v>46154</v>
      </c>
      <c r="BG13" s="35" t="s">
        <v>129</v>
      </c>
    </row>
    <row r="14" spans="1:59" s="3" customFormat="1" x14ac:dyDescent="0.3">
      <c r="A14" s="25" t="s">
        <v>224</v>
      </c>
      <c r="B14" s="6">
        <v>500</v>
      </c>
      <c r="C14" s="66">
        <v>99.26</v>
      </c>
      <c r="D14" s="234">
        <v>2</v>
      </c>
      <c r="E14" s="7"/>
      <c r="F14" s="357">
        <v>7</v>
      </c>
      <c r="G14" s="357">
        <v>3</v>
      </c>
      <c r="H14" s="357">
        <f>3+AS14</f>
        <v>5</v>
      </c>
      <c r="I14" s="357">
        <v>5</v>
      </c>
      <c r="J14" s="357">
        <v>7</v>
      </c>
      <c r="K14" s="357">
        <v>7</v>
      </c>
      <c r="L14" s="357">
        <v>6</v>
      </c>
      <c r="M14" s="357">
        <v>6</v>
      </c>
      <c r="N14" s="357">
        <v>5</v>
      </c>
      <c r="O14" s="357">
        <v>4</v>
      </c>
      <c r="P14" s="357">
        <f>4+AM14</f>
        <v>5</v>
      </c>
      <c r="Q14" s="357">
        <v>3</v>
      </c>
      <c r="R14" s="357">
        <v>3</v>
      </c>
      <c r="S14" s="357">
        <v>5</v>
      </c>
      <c r="T14" s="357">
        <v>4</v>
      </c>
      <c r="U14" s="357">
        <v>4</v>
      </c>
      <c r="V14" s="357">
        <f>3+AH14</f>
        <v>5</v>
      </c>
      <c r="W14" s="357">
        <v>4</v>
      </c>
      <c r="X14" s="357">
        <v>4</v>
      </c>
      <c r="Y14" s="357">
        <f>3+AH14</f>
        <v>5</v>
      </c>
      <c r="Z14" s="357">
        <v>5</v>
      </c>
      <c r="AA14" s="372">
        <f ca="1">Y14+IF(NOT(ISBLANK(OFFSET(AA14,0,6))),N(OFFSET(AA14,0,6)),N(OFFSET(AA14,0,7)))-Z14</f>
        <v>0</v>
      </c>
      <c r="AB14" s="7"/>
      <c r="AC14" s="78"/>
      <c r="AD14" s="7"/>
      <c r="AE14" s="345"/>
      <c r="AF14" s="7"/>
      <c r="AG14" s="296">
        <v>0</v>
      </c>
      <c r="AH14" s="296">
        <v>2</v>
      </c>
      <c r="AI14" s="296"/>
      <c r="AJ14" s="19">
        <v>1</v>
      </c>
      <c r="AK14" s="117">
        <v>5</v>
      </c>
      <c r="AL14" s="19">
        <v>2</v>
      </c>
      <c r="AM14" s="19">
        <v>1</v>
      </c>
      <c r="AN14" s="19"/>
      <c r="AO14" s="19"/>
      <c r="AP14" s="19"/>
      <c r="AQ14" s="19"/>
      <c r="AR14" s="19">
        <v>3</v>
      </c>
      <c r="AS14" s="19">
        <v>2</v>
      </c>
      <c r="AT14" s="19">
        <v>3</v>
      </c>
      <c r="AU14" s="19">
        <v>1</v>
      </c>
      <c r="AV14" s="19"/>
      <c r="AW14" s="19">
        <v>1</v>
      </c>
      <c r="AY14" s="364" t="s">
        <v>143</v>
      </c>
      <c r="AZ14" s="135">
        <v>200</v>
      </c>
      <c r="BA14" s="39">
        <f>AK14</f>
        <v>5</v>
      </c>
      <c r="BB14" s="39">
        <v>4</v>
      </c>
      <c r="BC14" s="39">
        <v>4</v>
      </c>
      <c r="BD14" s="39">
        <v>3</v>
      </c>
      <c r="BE14" s="39">
        <v>3</v>
      </c>
      <c r="BF14" s="39">
        <v>0</v>
      </c>
      <c r="BG14" s="26">
        <f ca="1">BE14+IF(NOT(ISBLANK(OFFSET(BG14,0,6))),N(OFFSET(BG14,0,6)),N(OFFSET(BG14,0,7)))-BF14</f>
        <v>3</v>
      </c>
    </row>
    <row r="15" spans="1:59" s="3" customFormat="1" x14ac:dyDescent="0.3">
      <c r="A15" s="25" t="s">
        <v>225</v>
      </c>
      <c r="B15" s="6">
        <v>2000</v>
      </c>
      <c r="C15" s="66">
        <v>55.36</v>
      </c>
      <c r="D15" s="234">
        <v>1</v>
      </c>
      <c r="E15" s="7"/>
      <c r="F15" s="357">
        <v>4</v>
      </c>
      <c r="G15" s="357">
        <v>3</v>
      </c>
      <c r="H15" s="357">
        <f>3+AS15</f>
        <v>5</v>
      </c>
      <c r="I15" s="357">
        <v>5</v>
      </c>
      <c r="J15" s="357">
        <v>5</v>
      </c>
      <c r="K15" s="357">
        <v>5</v>
      </c>
      <c r="L15" s="357">
        <v>5</v>
      </c>
      <c r="M15" s="357">
        <v>5</v>
      </c>
      <c r="N15" s="357">
        <v>5</v>
      </c>
      <c r="O15" s="357">
        <v>5</v>
      </c>
      <c r="P15" s="357">
        <v>5</v>
      </c>
      <c r="Q15" s="357">
        <v>5</v>
      </c>
      <c r="R15" s="357">
        <v>5</v>
      </c>
      <c r="S15" s="357">
        <v>4</v>
      </c>
      <c r="T15" s="357">
        <v>4</v>
      </c>
      <c r="U15" s="357">
        <v>3</v>
      </c>
      <c r="V15" s="357">
        <v>3</v>
      </c>
      <c r="W15" s="357">
        <v>2</v>
      </c>
      <c r="X15" s="357">
        <v>2</v>
      </c>
      <c r="Y15" s="357">
        <v>2</v>
      </c>
      <c r="Z15" s="357">
        <v>2</v>
      </c>
      <c r="AA15" s="372">
        <f ca="1">Y15+IF(NOT(ISBLANK(OFFSET(AA15,0,6))),N(OFFSET(AA15,0,6)),N(OFFSET(AA15,0,7)))-Z15</f>
        <v>0</v>
      </c>
      <c r="AB15" s="7"/>
      <c r="AC15" s="78"/>
      <c r="AD15" s="7"/>
      <c r="AE15" s="345"/>
      <c r="AF15" s="7"/>
      <c r="AG15" s="296">
        <v>0</v>
      </c>
      <c r="AH15" s="296">
        <v>0</v>
      </c>
      <c r="AI15" s="296"/>
      <c r="AJ15" s="19"/>
      <c r="AK15" s="117">
        <v>1</v>
      </c>
      <c r="AL15" s="19"/>
      <c r="AM15" s="19"/>
      <c r="AN15" s="19"/>
      <c r="AO15" s="19"/>
      <c r="AP15" s="19"/>
      <c r="AQ15" s="19"/>
      <c r="AR15" s="19"/>
      <c r="AS15" s="19">
        <v>2</v>
      </c>
      <c r="AT15" s="19"/>
      <c r="AU15" s="19">
        <v>2</v>
      </c>
      <c r="AV15" s="19"/>
      <c r="AW15" s="19">
        <v>1</v>
      </c>
      <c r="AY15" s="21" t="s">
        <v>146</v>
      </c>
      <c r="AZ15" s="6">
        <v>200</v>
      </c>
      <c r="BA15" s="39">
        <f>AK15</f>
        <v>1</v>
      </c>
      <c r="BB15" s="39">
        <v>1</v>
      </c>
      <c r="BC15" s="39">
        <v>1</v>
      </c>
      <c r="BD15" s="39">
        <v>1</v>
      </c>
      <c r="BE15" s="39">
        <v>0</v>
      </c>
      <c r="BF15" s="39">
        <v>0</v>
      </c>
      <c r="BG15" s="26">
        <f ca="1">BE15+IF(NOT(ISBLANK(OFFSET(BG15,0,6))),N(OFFSET(BG15,0,6)),N(OFFSET(BG15,0,7)))-BF15</f>
        <v>0</v>
      </c>
    </row>
    <row r="16" spans="1:59" s="3" customFormat="1" x14ac:dyDescent="0.25">
      <c r="A16" s="25" t="s">
        <v>147</v>
      </c>
      <c r="B16" s="6">
        <v>200</v>
      </c>
      <c r="C16" s="66">
        <v>10.28</v>
      </c>
      <c r="D16" s="234">
        <v>2</v>
      </c>
      <c r="E16" s="1"/>
      <c r="F16" s="357">
        <v>4</v>
      </c>
      <c r="G16" s="357">
        <v>3</v>
      </c>
      <c r="H16" s="357">
        <f>3+AS16</f>
        <v>6</v>
      </c>
      <c r="I16" s="357">
        <v>2</v>
      </c>
      <c r="J16" s="357">
        <f>4+AQ16</f>
        <v>7</v>
      </c>
      <c r="K16" s="357">
        <v>7</v>
      </c>
      <c r="L16" s="357">
        <v>7</v>
      </c>
      <c r="M16" s="357">
        <v>7</v>
      </c>
      <c r="N16" s="357">
        <v>7</v>
      </c>
      <c r="O16" s="357">
        <v>7</v>
      </c>
      <c r="P16" s="357">
        <v>7</v>
      </c>
      <c r="Q16" s="357">
        <v>7</v>
      </c>
      <c r="R16" s="357">
        <v>7</v>
      </c>
      <c r="S16" s="357">
        <v>7</v>
      </c>
      <c r="T16" s="357">
        <v>7</v>
      </c>
      <c r="U16" s="357">
        <v>6</v>
      </c>
      <c r="V16" s="357">
        <v>6</v>
      </c>
      <c r="W16" s="357">
        <v>6</v>
      </c>
      <c r="X16" s="357">
        <v>6</v>
      </c>
      <c r="Y16" s="357">
        <f>6-4</f>
        <v>2</v>
      </c>
      <c r="Z16" s="357">
        <v>2</v>
      </c>
      <c r="AA16" s="372">
        <f ca="1">Y16+IF(NOT(ISBLANK(OFFSET(AA16,0,6))),N(OFFSET(AA16,0,6)),N(OFFSET(AA16,0,7)))-Z16</f>
        <v>0</v>
      </c>
      <c r="AB16" s="1"/>
      <c r="AC16" s="78"/>
      <c r="AD16" s="1"/>
      <c r="AE16" s="345"/>
      <c r="AF16" s="1"/>
      <c r="AG16" s="19">
        <v>0</v>
      </c>
      <c r="AH16" s="19">
        <v>0</v>
      </c>
      <c r="AI16" s="253" t="s">
        <v>251</v>
      </c>
      <c r="AJ16" s="19"/>
      <c r="AK16" s="19"/>
      <c r="AL16" s="19"/>
      <c r="AM16" s="19"/>
      <c r="AN16" s="19"/>
      <c r="AO16" s="19"/>
      <c r="AP16" s="19"/>
      <c r="AQ16" s="19">
        <v>3</v>
      </c>
      <c r="AR16" s="19"/>
      <c r="AS16" s="19">
        <v>3</v>
      </c>
      <c r="AT16" s="19">
        <v>4</v>
      </c>
      <c r="AU16" s="19"/>
      <c r="AV16" s="19">
        <v>3</v>
      </c>
      <c r="AW16" s="19"/>
    </row>
    <row r="17" spans="1:59" s="3" customFormat="1" x14ac:dyDescent="0.25">
      <c r="A17" s="25" t="s">
        <v>148</v>
      </c>
      <c r="B17" s="6">
        <v>3000</v>
      </c>
      <c r="C17" s="66">
        <v>71.8</v>
      </c>
      <c r="D17" s="234">
        <v>1</v>
      </c>
      <c r="E17" s="1"/>
      <c r="F17" s="357">
        <v>3</v>
      </c>
      <c r="G17" s="357">
        <v>3</v>
      </c>
      <c r="H17" s="357">
        <v>3</v>
      </c>
      <c r="I17" s="357">
        <v>3</v>
      </c>
      <c r="J17" s="357">
        <v>3</v>
      </c>
      <c r="K17" s="357">
        <v>3</v>
      </c>
      <c r="L17" s="357">
        <v>2</v>
      </c>
      <c r="M17" s="357">
        <f>2+AN17</f>
        <v>3</v>
      </c>
      <c r="N17" s="357">
        <v>3</v>
      </c>
      <c r="O17" s="357">
        <v>3</v>
      </c>
      <c r="P17" s="357">
        <v>3</v>
      </c>
      <c r="Q17" s="357">
        <v>3</v>
      </c>
      <c r="R17" s="357">
        <v>3</v>
      </c>
      <c r="S17" s="357">
        <v>2</v>
      </c>
      <c r="T17" s="357">
        <v>1</v>
      </c>
      <c r="U17" s="357">
        <v>2</v>
      </c>
      <c r="V17" s="357">
        <v>2</v>
      </c>
      <c r="W17" s="357">
        <v>2</v>
      </c>
      <c r="X17" s="357">
        <v>1</v>
      </c>
      <c r="Y17" s="357">
        <f>1+AH17</f>
        <v>2</v>
      </c>
      <c r="Z17" s="357">
        <v>2</v>
      </c>
      <c r="AA17" s="372">
        <f ca="1">Y17+IF(NOT(ISBLANK(OFFSET(AA17,0,6))),N(OFFSET(AA17,0,6)),N(OFFSET(AA17,0,7)))-Z17</f>
        <v>0</v>
      </c>
      <c r="AB17" s="1"/>
      <c r="AC17" s="78"/>
      <c r="AD17" s="1"/>
      <c r="AE17" s="345"/>
      <c r="AF17" s="1"/>
      <c r="AG17" s="19">
        <v>0</v>
      </c>
      <c r="AH17" s="19">
        <v>1</v>
      </c>
      <c r="AI17" s="19"/>
      <c r="AJ17" s="19"/>
      <c r="AK17" s="19"/>
      <c r="AL17" s="19"/>
      <c r="AM17" s="19"/>
      <c r="AN17" s="19">
        <v>1</v>
      </c>
      <c r="AO17" s="19"/>
      <c r="AP17" s="19"/>
      <c r="AQ17" s="19"/>
      <c r="AR17" s="19"/>
      <c r="AS17" s="19"/>
      <c r="AT17" s="19">
        <v>1</v>
      </c>
      <c r="AU17" s="19"/>
      <c r="AV17" s="19"/>
      <c r="AW17" s="19">
        <v>3</v>
      </c>
    </row>
    <row r="18" spans="1:59" s="3" customFormat="1" ht="14.25" customHeight="1" x14ac:dyDescent="0.25">
      <c r="A18" s="23"/>
      <c r="D18" s="235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C18" s="390"/>
      <c r="AE18" s="352"/>
      <c r="AG18" s="388"/>
      <c r="AH18" s="388"/>
      <c r="AI18" s="388"/>
      <c r="AJ18" s="388"/>
      <c r="AK18" s="388"/>
      <c r="AL18" s="388"/>
      <c r="AM18" s="388"/>
      <c r="AN18" s="388"/>
      <c r="AO18" s="388"/>
      <c r="AP18" s="388"/>
      <c r="AQ18" s="388"/>
      <c r="AR18" s="388"/>
      <c r="AS18" s="388"/>
      <c r="AT18" s="388"/>
      <c r="AU18" s="388"/>
      <c r="AV18" s="388"/>
      <c r="AW18" s="388"/>
    </row>
    <row r="19" spans="1:59" s="3" customFormat="1" x14ac:dyDescent="0.3">
      <c r="A19" s="24" t="s">
        <v>150</v>
      </c>
      <c r="B19" s="8"/>
      <c r="C19" s="61"/>
      <c r="D19" s="395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35" t="s">
        <v>129</v>
      </c>
      <c r="AB19" s="11"/>
      <c r="AC19" s="29" t="s">
        <v>126</v>
      </c>
      <c r="AD19" s="11"/>
      <c r="AE19" s="9" t="s">
        <v>127</v>
      </c>
      <c r="AF19" s="1"/>
      <c r="AG19" s="363"/>
      <c r="AH19" s="363">
        <v>46142</v>
      </c>
      <c r="AI19" s="339">
        <v>46148</v>
      </c>
      <c r="AJ19" s="363">
        <v>46114</v>
      </c>
      <c r="AK19" s="409">
        <v>46065</v>
      </c>
      <c r="AL19" s="363">
        <v>46092</v>
      </c>
      <c r="AM19" s="363">
        <v>46077</v>
      </c>
      <c r="AN19" s="363">
        <v>46056</v>
      </c>
      <c r="AO19" s="363">
        <v>46048</v>
      </c>
      <c r="AP19" s="363">
        <v>46043</v>
      </c>
      <c r="AQ19" s="363">
        <v>46035</v>
      </c>
      <c r="AR19" s="363">
        <v>46024</v>
      </c>
      <c r="AS19" s="363">
        <v>46017</v>
      </c>
      <c r="AT19" s="363">
        <v>46007</v>
      </c>
      <c r="AU19" s="363">
        <v>46001</v>
      </c>
      <c r="AV19" s="363">
        <v>45994</v>
      </c>
      <c r="AW19" s="363">
        <v>45986</v>
      </c>
      <c r="AY19" s="389" t="s">
        <v>150</v>
      </c>
      <c r="AZ19" s="376" t="s">
        <v>123</v>
      </c>
      <c r="BA19" s="13">
        <v>46118</v>
      </c>
      <c r="BB19" s="13">
        <v>46125</v>
      </c>
      <c r="BC19" s="13">
        <v>46132</v>
      </c>
      <c r="BD19" s="13">
        <v>46139</v>
      </c>
      <c r="BE19" s="13">
        <v>46146</v>
      </c>
      <c r="BF19" s="13">
        <v>46154</v>
      </c>
      <c r="BG19" s="35" t="s">
        <v>129</v>
      </c>
    </row>
    <row r="20" spans="1:59" s="3" customFormat="1" x14ac:dyDescent="0.3">
      <c r="A20" s="25" t="s">
        <v>153</v>
      </c>
      <c r="B20" s="6">
        <v>150</v>
      </c>
      <c r="C20" s="82">
        <v>334.31</v>
      </c>
      <c r="D20" s="234">
        <v>70</v>
      </c>
      <c r="E20" s="1"/>
      <c r="F20" s="27">
        <v>43</v>
      </c>
      <c r="G20" s="27">
        <v>42</v>
      </c>
      <c r="H20" s="27">
        <v>38</v>
      </c>
      <c r="I20" s="27">
        <v>37</v>
      </c>
      <c r="J20" s="27">
        <v>29</v>
      </c>
      <c r="K20" s="27">
        <f>29+AP20</f>
        <v>179</v>
      </c>
      <c r="L20" s="27">
        <v>179</v>
      </c>
      <c r="M20" s="27">
        <v>166</v>
      </c>
      <c r="N20" s="27">
        <v>165</v>
      </c>
      <c r="O20" s="27">
        <v>160</v>
      </c>
      <c r="P20" s="27">
        <v>152</v>
      </c>
      <c r="Q20" s="27">
        <v>145</v>
      </c>
      <c r="R20" s="27">
        <v>136</v>
      </c>
      <c r="S20" s="27">
        <v>122</v>
      </c>
      <c r="T20" s="27">
        <v>117</v>
      </c>
      <c r="U20" s="27"/>
      <c r="V20" s="27"/>
      <c r="W20" s="27"/>
      <c r="X20" s="27">
        <v>99</v>
      </c>
      <c r="Y20" s="27">
        <v>97</v>
      </c>
      <c r="Z20" s="27">
        <v>90</v>
      </c>
      <c r="AA20" s="372">
        <f ca="1">Y20+IF(NOT(ISBLANK(OFFSET(AA20,0,6))),N(OFFSET(AA20,0,6)),N(OFFSET(AA20,0,7)))-Z20</f>
        <v>7</v>
      </c>
      <c r="AB20" s="11"/>
      <c r="AC20" s="78"/>
      <c r="AD20" s="1"/>
      <c r="AE20" s="345"/>
      <c r="AF20" s="1"/>
      <c r="AG20" s="19">
        <v>0</v>
      </c>
      <c r="AH20" s="19">
        <v>0</v>
      </c>
      <c r="AI20" s="19"/>
      <c r="AJ20" s="19"/>
      <c r="AK20" s="117"/>
      <c r="AL20" s="19"/>
      <c r="AM20" s="19"/>
      <c r="AN20" s="19"/>
      <c r="AO20" s="19"/>
      <c r="AP20" s="19">
        <v>150</v>
      </c>
      <c r="AQ20" s="19"/>
      <c r="AR20" s="19"/>
      <c r="AS20" s="19"/>
      <c r="AT20" s="19"/>
      <c r="AU20" s="19"/>
      <c r="AV20" s="19"/>
      <c r="AW20" s="19"/>
      <c r="AY20" s="364" t="s">
        <v>154</v>
      </c>
      <c r="AZ20" s="135">
        <v>150</v>
      </c>
      <c r="BA20" s="39">
        <v>0</v>
      </c>
      <c r="BB20" s="39"/>
      <c r="BC20" s="39"/>
      <c r="BD20" s="39">
        <v>36</v>
      </c>
      <c r="BE20" s="39">
        <v>33</v>
      </c>
      <c r="BF20" s="39">
        <v>0</v>
      </c>
      <c r="BG20" s="26">
        <f ca="1">BE20+IF(NOT(ISBLANK(OFFSET(BG20,0,6))),N(OFFSET(BG20,0,6)),N(OFFSET(BG20,0,7)))-BF20</f>
        <v>33</v>
      </c>
    </row>
    <row r="21" spans="1:59" s="3" customFormat="1" x14ac:dyDescent="0.3">
      <c r="A21" s="25" t="s">
        <v>155</v>
      </c>
      <c r="B21" s="6">
        <v>100</v>
      </c>
      <c r="C21" s="81">
        <v>292.25</v>
      </c>
      <c r="D21" s="236">
        <v>70</v>
      </c>
      <c r="E21" s="1"/>
      <c r="F21" s="27">
        <v>62</v>
      </c>
      <c r="G21" s="27">
        <v>58</v>
      </c>
      <c r="H21" s="27">
        <v>40</v>
      </c>
      <c r="I21" s="27">
        <v>35</v>
      </c>
      <c r="J21" s="27">
        <v>33</v>
      </c>
      <c r="K21" s="27">
        <f>45+AP21</f>
        <v>145</v>
      </c>
      <c r="L21" s="27">
        <v>136</v>
      </c>
      <c r="M21" s="27">
        <v>129</v>
      </c>
      <c r="N21" s="27">
        <v>129</v>
      </c>
      <c r="O21" s="27">
        <v>122</v>
      </c>
      <c r="P21" s="27">
        <v>119</v>
      </c>
      <c r="Q21" s="27">
        <v>106</v>
      </c>
      <c r="R21" s="27">
        <v>92</v>
      </c>
      <c r="S21" s="27">
        <v>83</v>
      </c>
      <c r="T21" s="27">
        <v>82</v>
      </c>
      <c r="U21" s="27"/>
      <c r="V21" s="27"/>
      <c r="W21" s="27"/>
      <c r="X21" s="27">
        <v>62</v>
      </c>
      <c r="Y21" s="27">
        <v>62</v>
      </c>
      <c r="Z21" s="27">
        <v>82</v>
      </c>
      <c r="AA21" s="372">
        <f ca="1">Y21+IF(NOT(ISBLANK(OFFSET(AA21,0,6))),N(OFFSET(AA21,0,6)),N(OFFSET(AA21,0,7)))-Z21</f>
        <v>-20</v>
      </c>
      <c r="AB21" s="11"/>
      <c r="AC21" s="78"/>
      <c r="AD21" s="1"/>
      <c r="AE21" s="345"/>
      <c r="AF21" s="1"/>
      <c r="AG21" s="19">
        <v>0</v>
      </c>
      <c r="AH21" s="19">
        <v>0</v>
      </c>
      <c r="AI21" s="19"/>
      <c r="AJ21" s="19"/>
      <c r="AK21" s="117"/>
      <c r="AL21" s="19"/>
      <c r="AM21" s="19"/>
      <c r="AN21" s="19"/>
      <c r="AO21" s="19"/>
      <c r="AP21" s="19">
        <v>100</v>
      </c>
      <c r="AQ21" s="19"/>
      <c r="AR21" s="19"/>
      <c r="AS21" s="19"/>
      <c r="AT21" s="19"/>
      <c r="AU21" s="19"/>
      <c r="AV21" s="19"/>
      <c r="AW21" s="19"/>
      <c r="AY21" s="21" t="s">
        <v>156</v>
      </c>
      <c r="AZ21" s="6">
        <v>100</v>
      </c>
      <c r="BA21" s="39">
        <v>0</v>
      </c>
      <c r="BB21" s="39"/>
      <c r="BC21" s="39"/>
      <c r="BD21" s="39">
        <v>52</v>
      </c>
      <c r="BE21" s="39">
        <v>48</v>
      </c>
      <c r="BF21" s="39">
        <v>-2</v>
      </c>
      <c r="BG21" s="26">
        <f ca="1">BE21+IF(NOT(ISBLANK(OFFSET(BG21,0,6))),N(OFFSET(BG21,0,6)),N(OFFSET(BG21,0,7)))-BF21</f>
        <v>50</v>
      </c>
    </row>
    <row r="22" spans="1:59" s="3" customFormat="1" x14ac:dyDescent="0.3">
      <c r="A22" s="25" t="s">
        <v>157</v>
      </c>
      <c r="B22" s="6">
        <v>75</v>
      </c>
      <c r="C22" s="66">
        <v>425.38</v>
      </c>
      <c r="D22" s="234">
        <v>15</v>
      </c>
      <c r="E22" s="7"/>
      <c r="F22" s="27">
        <v>11</v>
      </c>
      <c r="G22" s="27">
        <v>11</v>
      </c>
      <c r="H22" s="27">
        <v>11</v>
      </c>
      <c r="I22" s="27">
        <v>10</v>
      </c>
      <c r="J22" s="27">
        <v>10</v>
      </c>
      <c r="K22" s="27">
        <v>10</v>
      </c>
      <c r="L22" s="27">
        <v>10</v>
      </c>
      <c r="M22" s="27">
        <v>10</v>
      </c>
      <c r="N22" s="27">
        <v>10</v>
      </c>
      <c r="O22" s="27">
        <v>10</v>
      </c>
      <c r="P22" s="27">
        <v>8</v>
      </c>
      <c r="Q22" s="27">
        <v>8</v>
      </c>
      <c r="R22" s="27">
        <v>8</v>
      </c>
      <c r="S22" s="27">
        <v>8</v>
      </c>
      <c r="T22" s="27">
        <v>8</v>
      </c>
      <c r="U22" s="27">
        <v>8</v>
      </c>
      <c r="V22" s="27">
        <v>8</v>
      </c>
      <c r="W22" s="27">
        <v>8</v>
      </c>
      <c r="X22" s="27">
        <v>8</v>
      </c>
      <c r="Y22" s="27">
        <v>8</v>
      </c>
      <c r="Z22" s="27">
        <v>6</v>
      </c>
      <c r="AA22" s="372">
        <f ca="1">Y22+IF(NOT(ISBLANK(OFFSET(AA22,0,6))),N(OFFSET(AA22,0,6)),N(OFFSET(AA22,0,7)))-Z22</f>
        <v>2</v>
      </c>
      <c r="AB22" s="7"/>
      <c r="AC22" s="78"/>
      <c r="AD22" s="7"/>
      <c r="AE22" s="345"/>
      <c r="AF22" s="7"/>
      <c r="AG22" s="19">
        <v>0</v>
      </c>
      <c r="AH22" s="19">
        <v>0</v>
      </c>
      <c r="AI22" s="19"/>
      <c r="AJ22" s="19"/>
      <c r="AK22" s="117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Y22" s="22" t="s">
        <v>158</v>
      </c>
      <c r="AZ22" s="6">
        <v>200</v>
      </c>
      <c r="BA22" s="39">
        <v>0</v>
      </c>
      <c r="BB22" s="39"/>
      <c r="BC22" s="39"/>
      <c r="BD22" s="39">
        <v>43</v>
      </c>
      <c r="BE22" s="39">
        <v>38</v>
      </c>
      <c r="BF22" s="39">
        <v>-1</v>
      </c>
      <c r="BG22" s="26">
        <f ca="1">BE22+IF(NOT(ISBLANK(OFFSET(BG22,0,6))),N(OFFSET(BG22,0,6)),N(OFFSET(BG22,0,7)))-BF22</f>
        <v>39</v>
      </c>
    </row>
    <row r="23" spans="1:59" s="3" customFormat="1" x14ac:dyDescent="0.3">
      <c r="A23" s="25" t="s">
        <v>159</v>
      </c>
      <c r="B23" s="6">
        <v>150</v>
      </c>
      <c r="C23" s="66">
        <v>427.5</v>
      </c>
      <c r="D23" s="234"/>
      <c r="E23" s="7"/>
      <c r="F23" s="2"/>
      <c r="G23" s="2"/>
      <c r="H23" s="2"/>
      <c r="I23" s="2"/>
      <c r="J23" s="2"/>
      <c r="K23" s="2"/>
      <c r="L23" s="2"/>
      <c r="M23" s="2"/>
      <c r="N23" s="27">
        <v>0</v>
      </c>
      <c r="O23" s="27">
        <v>0</v>
      </c>
      <c r="P23" s="27">
        <v>0</v>
      </c>
      <c r="Q23" s="290">
        <v>20</v>
      </c>
      <c r="R23" s="27">
        <v>19</v>
      </c>
      <c r="S23" s="27">
        <v>16</v>
      </c>
      <c r="T23" s="27">
        <v>15</v>
      </c>
      <c r="U23" s="27"/>
      <c r="V23" s="27"/>
      <c r="W23" s="27"/>
      <c r="X23" s="27">
        <v>6</v>
      </c>
      <c r="Y23" s="27">
        <v>6</v>
      </c>
      <c r="Z23" s="290">
        <v>45</v>
      </c>
      <c r="AA23" s="372">
        <f ca="1">Y23+IF(NOT(ISBLANK(OFFSET(AA23,0,6))),N(OFFSET(AA23,0,6)),N(OFFSET(AA23,0,7)))-Z23</f>
        <v>-39</v>
      </c>
      <c r="AB23" s="7"/>
      <c r="AC23" s="78"/>
      <c r="AD23" s="7"/>
      <c r="AE23" s="345"/>
      <c r="AF23" s="7"/>
      <c r="AG23" s="19">
        <v>0</v>
      </c>
      <c r="AH23" s="19">
        <v>0</v>
      </c>
      <c r="AI23" s="19"/>
      <c r="AJ23" s="19"/>
      <c r="AK23" s="117"/>
      <c r="AL23" s="19"/>
      <c r="AM23" s="19"/>
      <c r="AN23" s="19"/>
      <c r="AO23" s="19"/>
      <c r="AP23" s="19"/>
      <c r="AQ23" s="19"/>
      <c r="AR23" s="19"/>
      <c r="AS23" s="19"/>
      <c r="AT23" s="75"/>
      <c r="AU23" s="75"/>
      <c r="AV23" s="75"/>
      <c r="AW23" s="75"/>
      <c r="AY23" s="22" t="s">
        <v>160</v>
      </c>
      <c r="AZ23" s="6">
        <v>150</v>
      </c>
      <c r="BA23" s="39">
        <v>0</v>
      </c>
      <c r="BB23" s="39"/>
      <c r="BC23" s="39"/>
      <c r="BD23" s="39">
        <v>43</v>
      </c>
      <c r="BE23" s="39">
        <v>37</v>
      </c>
      <c r="BF23" s="39">
        <v>0</v>
      </c>
      <c r="BG23" s="26">
        <f ca="1">BE23+IF(NOT(ISBLANK(OFFSET(BG23,0,6))),N(OFFSET(BG23,0,6)),N(OFFSET(BG23,0,7)))-BF23</f>
        <v>37</v>
      </c>
    </row>
    <row r="24" spans="1:59" x14ac:dyDescent="0.3">
      <c r="AC24" s="347"/>
      <c r="AG24" s="11"/>
      <c r="AH24" s="11"/>
      <c r="AI24" s="11"/>
      <c r="AJ24" s="11"/>
      <c r="AK24" s="11"/>
      <c r="AL24" s="11"/>
      <c r="AT24" s="11"/>
      <c r="AU24" s="11"/>
      <c r="AV24" s="11"/>
      <c r="AW24" s="11"/>
    </row>
    <row r="25" spans="1:59" x14ac:dyDescent="0.3">
      <c r="A25" s="378" t="s">
        <v>161</v>
      </c>
      <c r="B25" s="379" t="s">
        <v>123</v>
      </c>
      <c r="C25" s="379" t="s">
        <v>124</v>
      </c>
      <c r="D25" s="379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35" t="s">
        <v>129</v>
      </c>
      <c r="AC25" s="347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</row>
    <row r="26" spans="1:59" ht="18.75" hidden="1" customHeight="1" x14ac:dyDescent="0.3">
      <c r="A26" s="382" t="s">
        <v>252</v>
      </c>
      <c r="B26" s="383">
        <v>100</v>
      </c>
      <c r="C26" s="198">
        <v>722</v>
      </c>
      <c r="D26" s="396"/>
      <c r="F26" s="39">
        <v>0</v>
      </c>
      <c r="G26" s="39">
        <v>0</v>
      </c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26" t="e">
        <f ca="1">Y26+IF(NOT(ISBLANK(OFFSET(AA26,0,6))),N(OFFSET(AA26,0,6)),N(OFFSET(AA26,0,7)))-#REF!</f>
        <v>#REF!</v>
      </c>
      <c r="AC26" s="347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</row>
    <row r="27" spans="1:59" x14ac:dyDescent="0.3">
      <c r="A27" s="384" t="s">
        <v>162</v>
      </c>
      <c r="B27" s="385">
        <v>100</v>
      </c>
      <c r="C27" s="199">
        <v>790</v>
      </c>
      <c r="D27" s="396"/>
      <c r="F27" s="39">
        <v>187</v>
      </c>
      <c r="G27" s="39">
        <v>114</v>
      </c>
      <c r="H27" s="39">
        <v>114</v>
      </c>
      <c r="I27" s="39">
        <v>114</v>
      </c>
      <c r="J27" s="39">
        <v>114</v>
      </c>
      <c r="K27" s="39">
        <v>114</v>
      </c>
      <c r="L27" s="39">
        <v>111</v>
      </c>
      <c r="M27" s="39">
        <v>111</v>
      </c>
      <c r="N27" s="39">
        <v>111</v>
      </c>
      <c r="O27" s="39">
        <v>108</v>
      </c>
      <c r="P27" s="39">
        <v>104</v>
      </c>
      <c r="Q27" s="39">
        <v>104</v>
      </c>
      <c r="R27" s="39">
        <v>104</v>
      </c>
      <c r="S27" s="39">
        <v>104</v>
      </c>
      <c r="T27" s="39">
        <v>104</v>
      </c>
      <c r="U27" s="39">
        <v>104</v>
      </c>
      <c r="V27" s="39">
        <v>104</v>
      </c>
      <c r="W27" s="39">
        <v>104</v>
      </c>
      <c r="X27" s="39">
        <v>104</v>
      </c>
      <c r="Y27" s="39">
        <v>104</v>
      </c>
      <c r="Z27" s="39">
        <v>102</v>
      </c>
      <c r="AA27" s="372">
        <f t="shared" ref="AA27:AA46" ca="1" si="0">Y27+IF(NOT(ISBLANK(OFFSET(AA27,0,6))),N(OFFSET(AA27,0,6)),N(OFFSET(AA27,0,7)))-Z27</f>
        <v>2</v>
      </c>
      <c r="AC27" s="347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</row>
    <row r="28" spans="1:59" ht="18" hidden="1" customHeight="1" x14ac:dyDescent="0.3">
      <c r="A28" s="386" t="s">
        <v>253</v>
      </c>
      <c r="B28" s="159">
        <v>150</v>
      </c>
      <c r="C28" s="200">
        <v>715.5</v>
      </c>
      <c r="D28" s="396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72">
        <f t="shared" ca="1" si="0"/>
        <v>0</v>
      </c>
      <c r="AC28" s="347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</row>
    <row r="29" spans="1:59" ht="18" hidden="1" customHeight="1" x14ac:dyDescent="0.3">
      <c r="A29" s="386" t="s">
        <v>254</v>
      </c>
      <c r="B29" s="159">
        <v>100</v>
      </c>
      <c r="C29" s="200">
        <v>746</v>
      </c>
      <c r="D29" s="396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72">
        <f t="shared" ca="1" si="0"/>
        <v>0</v>
      </c>
      <c r="AC29" s="347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</row>
    <row r="30" spans="1:59" ht="18" hidden="1" customHeight="1" x14ac:dyDescent="0.3">
      <c r="A30" s="386" t="s">
        <v>255</v>
      </c>
      <c r="B30" s="159">
        <v>50</v>
      </c>
      <c r="C30" s="200">
        <v>777</v>
      </c>
      <c r="D30" s="396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72">
        <f t="shared" ca="1" si="0"/>
        <v>0</v>
      </c>
      <c r="AC30" s="347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</row>
    <row r="31" spans="1:59" ht="18" hidden="1" customHeight="1" x14ac:dyDescent="0.3">
      <c r="A31" s="386" t="s">
        <v>256</v>
      </c>
      <c r="B31" s="159">
        <v>200</v>
      </c>
      <c r="C31" s="200">
        <v>486</v>
      </c>
      <c r="D31" s="396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72">
        <f t="shared" ca="1" si="0"/>
        <v>0</v>
      </c>
      <c r="AC31" s="347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</row>
    <row r="32" spans="1:59" ht="18" hidden="1" customHeight="1" x14ac:dyDescent="0.3">
      <c r="A32" s="386" t="s">
        <v>257</v>
      </c>
      <c r="B32" s="159">
        <v>150</v>
      </c>
      <c r="C32" s="200">
        <v>459</v>
      </c>
      <c r="D32" s="396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72">
        <f t="shared" ca="1" si="0"/>
        <v>0</v>
      </c>
      <c r="AC32" s="347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</row>
    <row r="33" spans="1:59" hidden="1" x14ac:dyDescent="0.3">
      <c r="A33" s="386" t="s">
        <v>163</v>
      </c>
      <c r="B33" s="159">
        <v>100</v>
      </c>
      <c r="C33" s="200">
        <v>295</v>
      </c>
      <c r="D33" s="396"/>
      <c r="F33" s="39">
        <v>15</v>
      </c>
      <c r="G33" s="39">
        <v>15</v>
      </c>
      <c r="H33" s="39">
        <v>15</v>
      </c>
      <c r="I33" s="39">
        <v>15</v>
      </c>
      <c r="J33" s="39">
        <v>0</v>
      </c>
      <c r="K33" s="39">
        <v>0</v>
      </c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72">
        <f t="shared" ca="1" si="0"/>
        <v>0</v>
      </c>
      <c r="AC33" s="347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</row>
    <row r="34" spans="1:59" hidden="1" x14ac:dyDescent="0.3">
      <c r="A34" s="386" t="s">
        <v>164</v>
      </c>
      <c r="B34" s="159">
        <v>100</v>
      </c>
      <c r="C34" s="200">
        <v>283</v>
      </c>
      <c r="D34" s="396"/>
      <c r="F34" s="39">
        <v>8</v>
      </c>
      <c r="G34" s="39">
        <v>8</v>
      </c>
      <c r="H34" s="39">
        <v>8</v>
      </c>
      <c r="I34" s="39">
        <v>8</v>
      </c>
      <c r="J34" s="39">
        <v>0</v>
      </c>
      <c r="K34" s="39">
        <v>0</v>
      </c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72">
        <f t="shared" ca="1" si="0"/>
        <v>0</v>
      </c>
      <c r="AC34" s="347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</row>
    <row r="35" spans="1:59" hidden="1" x14ac:dyDescent="0.3">
      <c r="A35" s="382" t="s">
        <v>258</v>
      </c>
      <c r="B35" s="383">
        <v>150</v>
      </c>
      <c r="C35" s="241">
        <v>781.05</v>
      </c>
      <c r="D35" s="396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72">
        <f t="shared" ca="1" si="0"/>
        <v>0</v>
      </c>
      <c r="AC35" s="347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</row>
    <row r="36" spans="1:59" ht="18.75" hidden="1" customHeight="1" x14ac:dyDescent="0.3">
      <c r="A36" s="382" t="s">
        <v>259</v>
      </c>
      <c r="B36" s="383">
        <v>100</v>
      </c>
      <c r="C36" s="241">
        <v>789</v>
      </c>
      <c r="D36" s="396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72">
        <f t="shared" ca="1" si="0"/>
        <v>0</v>
      </c>
      <c r="AC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</row>
    <row r="37" spans="1:59" ht="18.75" hidden="1" customHeight="1" x14ac:dyDescent="0.3">
      <c r="A37" s="382" t="s">
        <v>260</v>
      </c>
      <c r="B37" s="383">
        <v>75</v>
      </c>
      <c r="C37" s="241">
        <v>844.05</v>
      </c>
      <c r="D37" s="396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72">
        <f t="shared" ca="1" si="0"/>
        <v>0</v>
      </c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</row>
    <row r="38" spans="1:59" ht="18.75" hidden="1" customHeight="1" x14ac:dyDescent="0.3">
      <c r="A38" s="382" t="s">
        <v>261</v>
      </c>
      <c r="B38" s="383">
        <v>200</v>
      </c>
      <c r="C38" s="241">
        <v>450</v>
      </c>
      <c r="D38" s="396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72">
        <f t="shared" ca="1" si="0"/>
        <v>0</v>
      </c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</row>
    <row r="39" spans="1:59" ht="18.75" hidden="1" customHeight="1" x14ac:dyDescent="0.3">
      <c r="A39" s="382" t="s">
        <v>262</v>
      </c>
      <c r="B39" s="383">
        <v>150</v>
      </c>
      <c r="C39" s="241">
        <v>430.5</v>
      </c>
      <c r="D39" s="396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72">
        <f t="shared" ca="1" si="0"/>
        <v>0</v>
      </c>
      <c r="AC39" s="41"/>
      <c r="AG39" s="401"/>
      <c r="AH39" s="401"/>
      <c r="AI39" s="401"/>
      <c r="AJ39" s="401"/>
      <c r="AK39" s="401"/>
      <c r="AL39" s="40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</row>
    <row r="40" spans="1:59" hidden="1" x14ac:dyDescent="0.3">
      <c r="A40" s="399" t="s">
        <v>263</v>
      </c>
      <c r="B40" s="134">
        <v>150</v>
      </c>
      <c r="C40" s="246">
        <v>298</v>
      </c>
      <c r="D40" s="396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72">
        <f t="shared" ca="1" si="0"/>
        <v>0</v>
      </c>
      <c r="AC40" s="41"/>
      <c r="AG40" s="401"/>
      <c r="AH40" s="401"/>
      <c r="AI40" s="401"/>
      <c r="AJ40" s="401"/>
      <c r="AK40" s="401"/>
      <c r="AL40" s="401"/>
      <c r="AM40" s="401"/>
      <c r="AN40" s="401"/>
      <c r="AO40" s="401"/>
      <c r="AP40" s="11"/>
      <c r="AQ40" s="11"/>
      <c r="AR40" s="11"/>
      <c r="AS40" s="11"/>
      <c r="AT40" s="11"/>
      <c r="AU40" s="11"/>
      <c r="AV40" s="11"/>
      <c r="AW40" s="11"/>
    </row>
    <row r="41" spans="1:59" hidden="1" x14ac:dyDescent="0.3">
      <c r="A41" s="397" t="s">
        <v>264</v>
      </c>
      <c r="B41" s="398">
        <v>100</v>
      </c>
      <c r="C41" s="246"/>
      <c r="D41" s="396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72">
        <f t="shared" ca="1" si="0"/>
        <v>0</v>
      </c>
      <c r="AC41" s="41"/>
      <c r="AG41" s="41"/>
      <c r="AH41" s="41"/>
      <c r="AI41" s="41"/>
      <c r="AJ41" s="41"/>
      <c r="AK41" s="41"/>
      <c r="AL41" s="41"/>
      <c r="AM41" s="401"/>
      <c r="AN41" s="401"/>
      <c r="AO41" s="401"/>
      <c r="AP41" s="11"/>
      <c r="AQ41" s="11"/>
      <c r="AR41" s="11"/>
      <c r="AS41" s="11"/>
      <c r="AT41" s="11"/>
      <c r="AU41" s="11"/>
      <c r="AV41" s="11"/>
      <c r="AW41" s="11"/>
      <c r="AY41" s="41"/>
      <c r="AZ41" s="41"/>
      <c r="BA41" s="41"/>
      <c r="BB41" s="41"/>
      <c r="BC41" s="41"/>
      <c r="BD41" s="41"/>
      <c r="BE41" s="41"/>
      <c r="BF41" s="41"/>
      <c r="BG41" s="41"/>
    </row>
    <row r="42" spans="1:59" hidden="1" x14ac:dyDescent="0.3">
      <c r="A42" s="397" t="s">
        <v>165</v>
      </c>
      <c r="B42" s="398">
        <v>25</v>
      </c>
      <c r="C42" s="246"/>
      <c r="D42" s="396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72">
        <f t="shared" ca="1" si="0"/>
        <v>0</v>
      </c>
      <c r="AC42" s="41"/>
      <c r="AG42" s="41"/>
      <c r="AH42" s="41"/>
      <c r="AI42" s="41"/>
      <c r="AJ42" s="41"/>
      <c r="AK42" s="41"/>
      <c r="AL42" s="41"/>
      <c r="AM42" s="41"/>
      <c r="AN42" s="41"/>
      <c r="AO42" s="41"/>
      <c r="AP42" s="11"/>
      <c r="AQ42" s="11"/>
      <c r="AR42" s="11"/>
      <c r="AS42" s="11"/>
      <c r="AT42" s="11"/>
      <c r="AU42" s="11"/>
      <c r="AV42" s="11"/>
      <c r="AW42" s="11"/>
      <c r="AY42" s="41"/>
      <c r="AZ42" s="41"/>
      <c r="BA42" s="41"/>
      <c r="BB42" s="41"/>
      <c r="BC42" s="41"/>
      <c r="BD42" s="41"/>
      <c r="BE42" s="41"/>
      <c r="BF42" s="41"/>
      <c r="BG42" s="41"/>
    </row>
    <row r="43" spans="1:59" hidden="1" x14ac:dyDescent="0.3">
      <c r="A43" s="397" t="s">
        <v>166</v>
      </c>
      <c r="B43" s="398">
        <v>25</v>
      </c>
      <c r="C43" s="246"/>
      <c r="D43" s="396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72">
        <f t="shared" ca="1" si="0"/>
        <v>0</v>
      </c>
      <c r="AC43" s="41"/>
      <c r="AG43" s="41"/>
      <c r="AH43" s="41"/>
      <c r="AI43" s="41"/>
      <c r="AJ43" s="41"/>
      <c r="AK43" s="41"/>
      <c r="AL43" s="41"/>
      <c r="AM43" s="41"/>
      <c r="AN43" s="41"/>
      <c r="AO43" s="41"/>
      <c r="AP43" s="11"/>
      <c r="AQ43" s="11"/>
      <c r="AR43" s="11"/>
      <c r="AS43" s="11"/>
      <c r="AT43" s="11"/>
      <c r="AU43" s="11"/>
      <c r="AV43" s="11"/>
      <c r="AW43" s="11"/>
      <c r="AY43" s="41"/>
      <c r="AZ43" s="41"/>
      <c r="BA43" s="41"/>
      <c r="BB43" s="41"/>
      <c r="BC43" s="41"/>
      <c r="BD43" s="41"/>
      <c r="BE43" s="41"/>
      <c r="BF43" s="41"/>
      <c r="BG43" s="41"/>
    </row>
    <row r="44" spans="1:59" hidden="1" x14ac:dyDescent="0.3">
      <c r="A44" s="397" t="s">
        <v>167</v>
      </c>
      <c r="B44" s="398">
        <v>25</v>
      </c>
      <c r="C44" s="246"/>
      <c r="D44" s="396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72">
        <f t="shared" ca="1" si="0"/>
        <v>0</v>
      </c>
      <c r="AC44" s="41"/>
      <c r="AG44" s="41"/>
      <c r="AH44" s="41"/>
      <c r="AI44" s="41"/>
      <c r="AJ44" s="41"/>
      <c r="AK44" s="41"/>
      <c r="AL44" s="41"/>
      <c r="AM44" s="41"/>
      <c r="AN44" s="41"/>
      <c r="AO44" s="41"/>
      <c r="AP44" s="11"/>
      <c r="AQ44" s="11"/>
      <c r="AR44" s="11"/>
      <c r="AS44" s="11"/>
      <c r="AT44" s="11"/>
      <c r="AU44" s="11"/>
      <c r="AV44" s="11"/>
      <c r="AW44" s="11"/>
      <c r="AY44" s="41"/>
      <c r="AZ44" s="41"/>
      <c r="BA44" s="41"/>
      <c r="BB44" s="41"/>
      <c r="BC44" s="41"/>
      <c r="BD44" s="41"/>
      <c r="BE44" s="41"/>
      <c r="BF44" s="41"/>
      <c r="BG44" s="41"/>
    </row>
    <row r="45" spans="1:59" hidden="1" x14ac:dyDescent="0.3">
      <c r="A45" s="404" t="s">
        <v>226</v>
      </c>
      <c r="B45" s="405">
        <v>100</v>
      </c>
      <c r="C45" s="252">
        <v>841.1</v>
      </c>
      <c r="D45" s="396"/>
      <c r="F45" s="39">
        <v>1</v>
      </c>
      <c r="G45" s="39">
        <v>1</v>
      </c>
      <c r="H45" s="39">
        <v>1</v>
      </c>
      <c r="I45" s="39">
        <v>1</v>
      </c>
      <c r="J45" s="39">
        <v>1</v>
      </c>
      <c r="K45" s="39">
        <v>0</v>
      </c>
      <c r="L45" s="39">
        <v>0</v>
      </c>
      <c r="M45" s="39">
        <v>0</v>
      </c>
      <c r="N45" s="39">
        <v>0</v>
      </c>
      <c r="O45" s="39">
        <v>0</v>
      </c>
      <c r="P45" s="39">
        <v>0</v>
      </c>
      <c r="Q45" s="39">
        <v>0</v>
      </c>
      <c r="R45" s="39">
        <v>0</v>
      </c>
      <c r="S45" s="39"/>
      <c r="T45" s="39"/>
      <c r="U45" s="39"/>
      <c r="V45" s="39"/>
      <c r="W45" s="39"/>
      <c r="X45" s="39"/>
      <c r="Y45" s="39"/>
      <c r="Z45" s="39"/>
      <c r="AA45" s="372">
        <f t="shared" ca="1" si="0"/>
        <v>0</v>
      </c>
      <c r="AC45" s="41"/>
      <c r="AM45" s="41"/>
      <c r="AN45" s="41"/>
      <c r="AO45" s="41"/>
      <c r="AP45" s="11"/>
      <c r="AQ45" s="11"/>
      <c r="AR45" s="11"/>
      <c r="AS45" s="11"/>
      <c r="AT45" s="401"/>
      <c r="AU45" s="401"/>
      <c r="AV45" s="401"/>
      <c r="AW45" s="401"/>
    </row>
    <row r="46" spans="1:59" x14ac:dyDescent="0.3">
      <c r="A46" s="25" t="s">
        <v>169</v>
      </c>
      <c r="B46" s="6">
        <v>150</v>
      </c>
      <c r="C46" s="77">
        <v>805.35</v>
      </c>
      <c r="D46" s="396"/>
      <c r="F46" s="6">
        <v>72</v>
      </c>
      <c r="G46" s="6">
        <v>40</v>
      </c>
      <c r="H46" s="6">
        <v>34</v>
      </c>
      <c r="I46" s="6">
        <v>32</v>
      </c>
      <c r="J46" s="6">
        <v>32</v>
      </c>
      <c r="K46" s="6">
        <v>32</v>
      </c>
      <c r="L46" s="6">
        <v>32</v>
      </c>
      <c r="M46" s="6">
        <v>30</v>
      </c>
      <c r="N46" s="6">
        <v>25</v>
      </c>
      <c r="O46" s="6">
        <v>21</v>
      </c>
      <c r="P46" s="6">
        <v>9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>
        <v>0</v>
      </c>
      <c r="Z46" s="6">
        <v>0</v>
      </c>
      <c r="AA46" s="372">
        <f t="shared" ca="1" si="0"/>
        <v>0</v>
      </c>
      <c r="AC46" s="41"/>
      <c r="AP46" s="11"/>
      <c r="AQ46" s="11"/>
      <c r="AR46" s="11"/>
      <c r="AS46" s="11"/>
      <c r="AT46" s="401"/>
      <c r="AU46" s="401"/>
      <c r="AV46" s="401"/>
      <c r="AW46" s="401"/>
    </row>
    <row r="47" spans="1:59" hidden="1" x14ac:dyDescent="0.3">
      <c r="A47" s="25" t="s">
        <v>170</v>
      </c>
      <c r="B47" s="6">
        <v>100</v>
      </c>
      <c r="C47" s="77">
        <v>792.2</v>
      </c>
      <c r="D47" s="396"/>
      <c r="F47" s="6">
        <v>87</v>
      </c>
      <c r="G47" s="6">
        <v>37</v>
      </c>
      <c r="H47" s="6">
        <v>33</v>
      </c>
      <c r="I47" s="6">
        <v>29</v>
      </c>
      <c r="J47" s="6">
        <v>19</v>
      </c>
      <c r="K47" s="6">
        <v>34</v>
      </c>
      <c r="L47" s="6">
        <v>28</v>
      </c>
      <c r="M47" s="6">
        <v>17</v>
      </c>
      <c r="N47" s="6">
        <v>17</v>
      </c>
      <c r="O47" s="6">
        <v>17</v>
      </c>
      <c r="P47" s="6">
        <v>7</v>
      </c>
      <c r="Q47" s="6">
        <v>0</v>
      </c>
      <c r="R47" s="6">
        <v>0</v>
      </c>
      <c r="S47" s="6"/>
      <c r="T47" s="6"/>
      <c r="U47" s="6"/>
      <c r="V47" s="6"/>
      <c r="W47" s="6"/>
      <c r="X47" s="6"/>
      <c r="Y47" s="6"/>
      <c r="Z47" s="6"/>
      <c r="AA47" s="26" t="e">
        <f ca="1">Y47+IF(NOT(ISBLANK(OFFSET(AA47,0,6))),N(OFFSET(AA47,0,6)),N(OFFSET(AA47,0,7)))-#REF!</f>
        <v>#REF!</v>
      </c>
      <c r="AC47" s="41"/>
      <c r="AG47" s="11"/>
      <c r="AH47" s="11"/>
      <c r="AI47" s="11"/>
      <c r="AJ47" s="11"/>
      <c r="AK47" s="11"/>
      <c r="AL47" s="11"/>
      <c r="AP47" s="11"/>
      <c r="AQ47" s="11"/>
      <c r="AR47" s="11"/>
      <c r="AS47" s="11"/>
      <c r="AT47" s="401"/>
      <c r="AU47" s="401"/>
      <c r="AV47" s="401"/>
      <c r="AW47" s="401"/>
    </row>
    <row r="48" spans="1:59" hidden="1" x14ac:dyDescent="0.3">
      <c r="A48" s="25" t="s">
        <v>171</v>
      </c>
      <c r="B48" s="6">
        <v>200</v>
      </c>
      <c r="C48" s="77">
        <v>487.2</v>
      </c>
      <c r="D48" s="396"/>
      <c r="F48" s="6">
        <v>45</v>
      </c>
      <c r="G48" s="6">
        <v>6</v>
      </c>
      <c r="H48" s="373">
        <v>26</v>
      </c>
      <c r="I48" s="6">
        <v>15</v>
      </c>
      <c r="J48" s="6">
        <v>26</v>
      </c>
      <c r="K48" s="6">
        <v>14</v>
      </c>
      <c r="L48" s="6">
        <v>1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/>
      <c r="T48" s="6"/>
      <c r="U48" s="6"/>
      <c r="V48" s="6"/>
      <c r="W48" s="6"/>
      <c r="X48" s="6"/>
      <c r="Y48" s="6"/>
      <c r="Z48" s="6"/>
      <c r="AA48" s="26" t="e">
        <f ca="1">Y48+IF(NOT(ISBLANK(OFFSET(AA48,0,6))),N(OFFSET(AA48,0,6)),N(OFFSET(AA48,0,7)))-#REF!</f>
        <v>#REF!</v>
      </c>
      <c r="AC48" s="41"/>
      <c r="AM48" s="11"/>
      <c r="AN48" s="11"/>
      <c r="AO48" s="11"/>
      <c r="AP48" s="11"/>
      <c r="AQ48" s="11"/>
      <c r="AR48" s="11"/>
      <c r="AS48" s="11"/>
      <c r="AT48" s="401"/>
      <c r="AU48" s="401"/>
      <c r="AV48" s="401"/>
      <c r="AW48" s="401"/>
    </row>
    <row r="49" spans="1:49" hidden="1" x14ac:dyDescent="0.3">
      <c r="A49" s="25" t="s">
        <v>172</v>
      </c>
      <c r="B49" s="6">
        <v>150</v>
      </c>
      <c r="C49" s="77">
        <v>460.35</v>
      </c>
      <c r="D49" s="396"/>
      <c r="F49" s="6">
        <v>54</v>
      </c>
      <c r="G49" s="6">
        <v>17</v>
      </c>
      <c r="H49" s="6">
        <v>14</v>
      </c>
      <c r="I49" s="6">
        <v>4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R49" s="6">
        <v>0</v>
      </c>
      <c r="S49" s="6"/>
      <c r="T49" s="6"/>
      <c r="U49" s="6"/>
      <c r="V49" s="6"/>
      <c r="W49" s="6"/>
      <c r="X49" s="6"/>
      <c r="Y49" s="6"/>
      <c r="Z49" s="6"/>
      <c r="AA49" s="26" t="e">
        <f ca="1">Y49+IF(NOT(ISBLANK(OFFSET(AA49,0,6))),N(OFFSET(AA49,0,6)),N(OFFSET(AA49,0,7)))-#REF!</f>
        <v>#REF!</v>
      </c>
      <c r="AC49" s="41"/>
      <c r="AP49" s="11"/>
      <c r="AQ49" s="11"/>
      <c r="AR49" s="11"/>
      <c r="AS49" s="11"/>
      <c r="AT49" s="401"/>
      <c r="AU49" s="401"/>
      <c r="AV49" s="401"/>
      <c r="AW49" s="401"/>
    </row>
    <row r="50" spans="1:49" hidden="1" x14ac:dyDescent="0.3">
      <c r="A50" s="25" t="s">
        <v>173</v>
      </c>
      <c r="B50" s="6">
        <v>10</v>
      </c>
      <c r="C50" s="77">
        <v>120</v>
      </c>
      <c r="D50" s="396"/>
      <c r="F50" s="39">
        <v>10</v>
      </c>
      <c r="G50" s="39">
        <v>10</v>
      </c>
      <c r="H50" s="39">
        <v>10</v>
      </c>
      <c r="I50" s="39">
        <v>10</v>
      </c>
      <c r="J50" s="39">
        <v>0</v>
      </c>
      <c r="K50" s="39">
        <v>0</v>
      </c>
      <c r="L50" s="39">
        <v>0</v>
      </c>
      <c r="M50" s="39">
        <v>0</v>
      </c>
      <c r="N50" s="39">
        <v>0</v>
      </c>
      <c r="O50" s="39">
        <v>0</v>
      </c>
      <c r="P50" s="39">
        <v>0</v>
      </c>
      <c r="Q50" s="39">
        <v>0</v>
      </c>
      <c r="R50" s="39">
        <v>0</v>
      </c>
      <c r="S50" s="39"/>
      <c r="T50" s="39"/>
      <c r="U50" s="39"/>
      <c r="V50" s="39"/>
      <c r="W50" s="39"/>
      <c r="X50" s="39"/>
      <c r="Y50" s="39"/>
      <c r="Z50" s="39"/>
      <c r="AA50" s="26" t="e">
        <f ca="1">Y50+IF(NOT(ISBLANK(OFFSET(AA50,0,6))),N(OFFSET(AA50,0,6)),N(OFFSET(AA50,0,7)))-#REF!</f>
        <v>#REF!</v>
      </c>
      <c r="AC50" s="41"/>
      <c r="AP50" s="11"/>
      <c r="AQ50" s="11"/>
      <c r="AR50" s="11"/>
      <c r="AS50" s="11"/>
      <c r="AT50" s="401"/>
      <c r="AU50" s="401"/>
      <c r="AV50" s="401"/>
      <c r="AW50" s="401"/>
    </row>
    <row r="51" spans="1:49" x14ac:dyDescent="0.3">
      <c r="AC51" s="41"/>
      <c r="AP51" s="11"/>
      <c r="AQ51" s="11"/>
      <c r="AR51" s="11"/>
      <c r="AS51" s="11"/>
      <c r="AT51" s="401"/>
      <c r="AU51" s="401"/>
      <c r="AV51" s="401"/>
      <c r="AW51" s="401"/>
    </row>
    <row r="52" spans="1:49" ht="21" customHeight="1" x14ac:dyDescent="0.3">
      <c r="A52" s="394" t="s">
        <v>174</v>
      </c>
      <c r="B52" s="394"/>
      <c r="C52" s="394"/>
      <c r="AC52" s="41"/>
      <c r="AP52" s="11"/>
      <c r="AQ52" s="11"/>
      <c r="AR52" s="11"/>
      <c r="AS52" s="11"/>
      <c r="AT52" s="41"/>
      <c r="AU52" s="41"/>
      <c r="AV52" s="41"/>
      <c r="AW52" s="41"/>
    </row>
    <row r="53" spans="1:49" x14ac:dyDescent="0.3">
      <c r="A53" s="361" t="s">
        <v>175</v>
      </c>
      <c r="B53" s="361" t="s">
        <v>246</v>
      </c>
      <c r="C53" s="361" t="s">
        <v>176</v>
      </c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F53" s="41"/>
      <c r="AP53" s="11"/>
      <c r="AQ53" s="11"/>
      <c r="AR53" s="11"/>
      <c r="AS53" s="11"/>
      <c r="AT53" s="41"/>
      <c r="AU53" s="41"/>
      <c r="AV53" s="41"/>
      <c r="AW53" s="41"/>
    </row>
    <row r="54" spans="1:49" x14ac:dyDescent="0.3">
      <c r="A54" s="181" t="s">
        <v>265</v>
      </c>
      <c r="B54" s="157"/>
      <c r="C54" s="158">
        <v>50</v>
      </c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C54" s="41"/>
      <c r="AP54" s="11"/>
      <c r="AQ54" s="11"/>
      <c r="AR54" s="11"/>
      <c r="AS54" s="11"/>
      <c r="AT54" s="41"/>
      <c r="AU54" s="41"/>
      <c r="AV54" s="41"/>
      <c r="AW54" s="41"/>
    </row>
    <row r="55" spans="1:49" x14ac:dyDescent="0.3">
      <c r="A55" s="185"/>
      <c r="C55" s="374"/>
      <c r="D55" s="374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C55" s="41"/>
      <c r="AP55" s="11"/>
      <c r="AQ55" s="11"/>
      <c r="AR55" s="11"/>
      <c r="AS55" s="11"/>
      <c r="AT55" s="41"/>
      <c r="AU55" s="41"/>
      <c r="AV55" s="41"/>
      <c r="AW55" s="41"/>
    </row>
    <row r="56" spans="1:49" x14ac:dyDescent="0.3">
      <c r="A56" s="472" t="s">
        <v>177</v>
      </c>
      <c r="B56" s="467"/>
      <c r="C56" s="467"/>
      <c r="D56" s="469"/>
      <c r="F56" s="356">
        <v>46013</v>
      </c>
      <c r="G56" s="356">
        <v>46020</v>
      </c>
      <c r="H56" s="356">
        <v>46027</v>
      </c>
      <c r="I56" s="356">
        <v>46034</v>
      </c>
      <c r="J56" s="356">
        <v>46041</v>
      </c>
      <c r="K56" s="356">
        <v>46048</v>
      </c>
      <c r="L56" s="356">
        <v>46055</v>
      </c>
      <c r="M56" s="356">
        <v>46062</v>
      </c>
      <c r="N56" s="356">
        <v>46069</v>
      </c>
      <c r="O56" s="356">
        <v>46076</v>
      </c>
      <c r="P56" s="356">
        <v>46083</v>
      </c>
      <c r="Q56" s="356">
        <v>46090</v>
      </c>
      <c r="R56" s="356">
        <v>46097</v>
      </c>
      <c r="S56" s="356">
        <v>46104</v>
      </c>
      <c r="T56" s="356">
        <v>46111</v>
      </c>
      <c r="U56" s="356">
        <v>46118</v>
      </c>
      <c r="V56" s="356">
        <v>46125</v>
      </c>
      <c r="W56" s="356">
        <v>46132</v>
      </c>
      <c r="X56" s="356">
        <v>46139</v>
      </c>
      <c r="Y56" s="356">
        <v>46146</v>
      </c>
      <c r="Z56" s="356">
        <v>46154</v>
      </c>
      <c r="AC56" s="41"/>
      <c r="AP56" s="11"/>
      <c r="AQ56" s="11"/>
      <c r="AR56" s="11"/>
      <c r="AS56" s="11"/>
      <c r="AT56" s="41"/>
      <c r="AU56" s="41"/>
      <c r="AV56" s="41"/>
      <c r="AW56" s="41"/>
    </row>
    <row r="57" spans="1:49" ht="18.75" hidden="1" customHeight="1" x14ac:dyDescent="0.3">
      <c r="A57" s="470" t="s">
        <v>266</v>
      </c>
      <c r="B57" s="467"/>
      <c r="C57" s="467"/>
      <c r="D57" s="469"/>
      <c r="F57" s="358"/>
      <c r="G57" s="358"/>
      <c r="H57" s="358"/>
      <c r="I57" s="358"/>
      <c r="J57" s="358"/>
      <c r="K57" s="358"/>
      <c r="L57" s="358"/>
      <c r="M57" s="358"/>
      <c r="N57" s="358"/>
      <c r="O57" s="358"/>
      <c r="P57" s="358"/>
      <c r="Q57" s="358"/>
      <c r="R57" s="358"/>
      <c r="S57" s="358"/>
      <c r="T57" s="358"/>
      <c r="U57" s="358"/>
      <c r="V57" s="358"/>
      <c r="W57" s="358"/>
      <c r="X57" s="358"/>
      <c r="Y57" s="358"/>
      <c r="Z57" s="358"/>
      <c r="AC57" s="41"/>
      <c r="AP57" s="11"/>
      <c r="AQ57" s="11"/>
      <c r="AR57" s="11"/>
      <c r="AS57" s="11"/>
      <c r="AT57" s="11"/>
      <c r="AU57" s="11"/>
      <c r="AV57" s="11"/>
      <c r="AW57" s="11"/>
    </row>
    <row r="58" spans="1:49" ht="18.75" hidden="1" customHeight="1" x14ac:dyDescent="0.3">
      <c r="A58" s="470" t="s">
        <v>267</v>
      </c>
      <c r="B58" s="467"/>
      <c r="C58" s="467"/>
      <c r="D58" s="469"/>
      <c r="F58" s="358"/>
      <c r="G58" s="358"/>
      <c r="H58" s="358"/>
      <c r="I58" s="358"/>
      <c r="J58" s="358"/>
      <c r="K58" s="358"/>
      <c r="L58" s="358"/>
      <c r="M58" s="358"/>
      <c r="N58" s="358"/>
      <c r="O58" s="358"/>
      <c r="P58" s="358"/>
      <c r="Q58" s="358"/>
      <c r="R58" s="358"/>
      <c r="S58" s="358"/>
      <c r="T58" s="358"/>
      <c r="U58" s="358"/>
      <c r="V58" s="358"/>
      <c r="W58" s="358"/>
      <c r="X58" s="358"/>
      <c r="Y58" s="358"/>
      <c r="Z58" s="358"/>
      <c r="AC58" s="41"/>
      <c r="AP58" s="11"/>
      <c r="AQ58" s="11"/>
      <c r="AR58" s="11"/>
      <c r="AS58" s="11"/>
      <c r="AT58" s="349"/>
      <c r="AU58" s="349"/>
      <c r="AV58" s="349"/>
      <c r="AW58" s="349"/>
    </row>
    <row r="59" spans="1:49" ht="18.75" hidden="1" customHeight="1" x14ac:dyDescent="0.3">
      <c r="A59" s="470" t="s">
        <v>268</v>
      </c>
      <c r="B59" s="467"/>
      <c r="C59" s="467"/>
      <c r="D59" s="469"/>
      <c r="F59" s="358"/>
      <c r="G59" s="358"/>
      <c r="H59" s="358"/>
      <c r="I59" s="358"/>
      <c r="J59" s="358"/>
      <c r="K59" s="358"/>
      <c r="L59" s="358"/>
      <c r="M59" s="358"/>
      <c r="N59" s="358"/>
      <c r="O59" s="358"/>
      <c r="P59" s="358"/>
      <c r="Q59" s="358"/>
      <c r="R59" s="358"/>
      <c r="S59" s="358"/>
      <c r="T59" s="358"/>
      <c r="U59" s="358"/>
      <c r="V59" s="358"/>
      <c r="W59" s="358"/>
      <c r="X59" s="358"/>
      <c r="Y59" s="358"/>
      <c r="Z59" s="358"/>
      <c r="AC59" s="41"/>
      <c r="AP59" s="11"/>
      <c r="AQ59" s="11"/>
      <c r="AR59" s="11"/>
      <c r="AS59" s="11"/>
      <c r="AT59" s="349"/>
      <c r="AU59" s="349"/>
      <c r="AV59" s="349"/>
      <c r="AW59" s="349"/>
    </row>
    <row r="60" spans="1:49" ht="18.75" hidden="1" customHeight="1" x14ac:dyDescent="0.3">
      <c r="A60" s="470" t="s">
        <v>269</v>
      </c>
      <c r="B60" s="467"/>
      <c r="C60" s="467"/>
      <c r="D60" s="469"/>
      <c r="F60" s="358"/>
      <c r="G60" s="358"/>
      <c r="H60" s="358"/>
      <c r="I60" s="358"/>
      <c r="J60" s="358"/>
      <c r="K60" s="358"/>
      <c r="L60" s="358"/>
      <c r="M60" s="358"/>
      <c r="N60" s="358"/>
      <c r="O60" s="358"/>
      <c r="P60" s="358"/>
      <c r="Q60" s="358"/>
      <c r="R60" s="358"/>
      <c r="S60" s="358"/>
      <c r="T60" s="358"/>
      <c r="U60" s="358"/>
      <c r="V60" s="358"/>
      <c r="W60" s="358"/>
      <c r="X60" s="358"/>
      <c r="Y60" s="358"/>
      <c r="Z60" s="358"/>
      <c r="AC60" s="41"/>
      <c r="AP60" s="11"/>
      <c r="AQ60" s="11"/>
      <c r="AR60" s="11"/>
      <c r="AS60" s="11"/>
    </row>
    <row r="61" spans="1:49" ht="18.75" hidden="1" customHeight="1" x14ac:dyDescent="0.3">
      <c r="A61" s="470" t="s">
        <v>270</v>
      </c>
      <c r="B61" s="467"/>
      <c r="C61" s="467"/>
      <c r="D61" s="469"/>
      <c r="F61" s="358"/>
      <c r="G61" s="358"/>
      <c r="H61" s="358"/>
      <c r="I61" s="358"/>
      <c r="J61" s="358"/>
      <c r="K61" s="358"/>
      <c r="L61" s="358"/>
      <c r="M61" s="358"/>
      <c r="N61" s="358"/>
      <c r="O61" s="358"/>
      <c r="P61" s="358"/>
      <c r="Q61" s="358"/>
      <c r="R61" s="358"/>
      <c r="S61" s="358"/>
      <c r="T61" s="358"/>
      <c r="U61" s="358"/>
      <c r="V61" s="358"/>
      <c r="W61" s="358"/>
      <c r="X61" s="358"/>
      <c r="Y61" s="358"/>
      <c r="Z61" s="358"/>
      <c r="AC61" s="41"/>
      <c r="AP61" s="11"/>
      <c r="AQ61" s="11"/>
      <c r="AR61" s="11"/>
      <c r="AS61" s="11"/>
    </row>
    <row r="62" spans="1:49" ht="18.75" hidden="1" customHeight="1" x14ac:dyDescent="0.3">
      <c r="A62" s="470" t="s">
        <v>271</v>
      </c>
      <c r="B62" s="467"/>
      <c r="C62" s="467"/>
      <c r="D62" s="469"/>
      <c r="F62" s="358"/>
      <c r="G62" s="358"/>
      <c r="H62" s="358"/>
      <c r="I62" s="358"/>
      <c r="J62" s="358"/>
      <c r="K62" s="358"/>
      <c r="L62" s="358"/>
      <c r="M62" s="358"/>
      <c r="N62" s="358"/>
      <c r="O62" s="358"/>
      <c r="P62" s="358"/>
      <c r="Q62" s="358"/>
      <c r="R62" s="358"/>
      <c r="S62" s="358"/>
      <c r="T62" s="358"/>
      <c r="U62" s="358"/>
      <c r="V62" s="358"/>
      <c r="W62" s="358"/>
      <c r="X62" s="358"/>
      <c r="Y62" s="358"/>
      <c r="Z62" s="358"/>
      <c r="AP62" s="11"/>
      <c r="AQ62" s="11"/>
      <c r="AR62" s="11"/>
      <c r="AS62" s="11"/>
    </row>
    <row r="63" spans="1:49" ht="18.75" hidden="1" customHeight="1" x14ac:dyDescent="0.3">
      <c r="A63" s="470" t="s">
        <v>272</v>
      </c>
      <c r="B63" s="467"/>
      <c r="C63" s="467"/>
      <c r="D63" s="469"/>
      <c r="F63" s="358"/>
      <c r="G63" s="358"/>
      <c r="H63" s="358"/>
      <c r="I63" s="358"/>
      <c r="J63" s="358"/>
      <c r="K63" s="358"/>
      <c r="L63" s="358"/>
      <c r="M63" s="358"/>
      <c r="N63" s="358"/>
      <c r="O63" s="358"/>
      <c r="P63" s="358"/>
      <c r="Q63" s="358"/>
      <c r="R63" s="358"/>
      <c r="S63" s="358"/>
      <c r="T63" s="358"/>
      <c r="U63" s="358"/>
      <c r="V63" s="358"/>
      <c r="W63" s="358"/>
      <c r="X63" s="358"/>
      <c r="Y63" s="358"/>
      <c r="Z63" s="358"/>
      <c r="AC63" s="347"/>
      <c r="AP63" s="11"/>
      <c r="AQ63" s="11"/>
      <c r="AR63" s="11"/>
      <c r="AS63" s="11"/>
    </row>
    <row r="64" spans="1:49" ht="18.75" hidden="1" customHeight="1" x14ac:dyDescent="0.3">
      <c r="A64" s="470" t="s">
        <v>273</v>
      </c>
      <c r="B64" s="467"/>
      <c r="C64" s="467"/>
      <c r="D64" s="469"/>
      <c r="F64" s="358"/>
      <c r="G64" s="358"/>
      <c r="H64" s="358"/>
      <c r="I64" s="358"/>
      <c r="J64" s="358"/>
      <c r="K64" s="358"/>
      <c r="L64" s="358"/>
      <c r="M64" s="358"/>
      <c r="N64" s="358"/>
      <c r="O64" s="358"/>
      <c r="P64" s="358"/>
      <c r="Q64" s="358"/>
      <c r="R64" s="358"/>
      <c r="S64" s="358"/>
      <c r="T64" s="358"/>
      <c r="U64" s="358"/>
      <c r="V64" s="358"/>
      <c r="W64" s="358"/>
      <c r="X64" s="358"/>
      <c r="Y64" s="358"/>
      <c r="Z64" s="358"/>
      <c r="AC64" s="347"/>
      <c r="AP64" s="11"/>
      <c r="AQ64" s="11"/>
      <c r="AR64" s="11"/>
      <c r="AS64" s="11"/>
      <c r="AT64" s="11"/>
      <c r="AU64" s="11"/>
      <c r="AV64" s="11"/>
      <c r="AW64" s="11"/>
    </row>
    <row r="65" spans="1:49" ht="18.75" hidden="1" customHeight="1" x14ac:dyDescent="0.3">
      <c r="A65" s="470" t="s">
        <v>274</v>
      </c>
      <c r="B65" s="467"/>
      <c r="C65" s="467"/>
      <c r="D65" s="469"/>
      <c r="F65" s="358"/>
      <c r="G65" s="358"/>
      <c r="H65" s="358"/>
      <c r="I65" s="358"/>
      <c r="J65" s="358"/>
      <c r="K65" s="358"/>
      <c r="L65" s="358"/>
      <c r="M65" s="358"/>
      <c r="N65" s="358"/>
      <c r="O65" s="358"/>
      <c r="P65" s="358"/>
      <c r="Q65" s="358"/>
      <c r="R65" s="358"/>
      <c r="S65" s="358"/>
      <c r="T65" s="358"/>
      <c r="U65" s="358"/>
      <c r="V65" s="358"/>
      <c r="W65" s="358"/>
      <c r="X65" s="358"/>
      <c r="Y65" s="358"/>
      <c r="Z65" s="358"/>
      <c r="AC65" s="347"/>
      <c r="AP65" s="11"/>
      <c r="AQ65" s="11"/>
      <c r="AR65" s="11"/>
      <c r="AS65" s="11"/>
      <c r="AT65" s="11"/>
      <c r="AU65" s="11"/>
      <c r="AV65" s="11"/>
      <c r="AW65" s="11"/>
    </row>
    <row r="66" spans="1:49" ht="18.75" hidden="1" customHeight="1" x14ac:dyDescent="0.3">
      <c r="A66" s="470" t="s">
        <v>275</v>
      </c>
      <c r="B66" s="467"/>
      <c r="C66" s="467"/>
      <c r="D66" s="469"/>
      <c r="F66" s="358"/>
      <c r="G66" s="358"/>
      <c r="H66" s="358"/>
      <c r="I66" s="358"/>
      <c r="J66" s="358"/>
      <c r="K66" s="358"/>
      <c r="L66" s="358"/>
      <c r="M66" s="358"/>
      <c r="N66" s="358"/>
      <c r="O66" s="358"/>
      <c r="P66" s="358"/>
      <c r="Q66" s="358"/>
      <c r="R66" s="358"/>
      <c r="S66" s="358"/>
      <c r="T66" s="358"/>
      <c r="U66" s="358"/>
      <c r="V66" s="358"/>
      <c r="W66" s="358"/>
      <c r="X66" s="358"/>
      <c r="Y66" s="358"/>
      <c r="Z66" s="358"/>
      <c r="AP66" s="11"/>
      <c r="AQ66" s="11"/>
      <c r="AR66" s="11"/>
      <c r="AS66" s="11"/>
      <c r="AT66" s="11"/>
      <c r="AU66" s="11"/>
      <c r="AV66" s="11"/>
      <c r="AW66" s="11"/>
    </row>
    <row r="67" spans="1:49" ht="18.75" hidden="1" customHeight="1" x14ac:dyDescent="0.3">
      <c r="A67" s="470" t="s">
        <v>276</v>
      </c>
      <c r="B67" s="467"/>
      <c r="C67" s="467"/>
      <c r="D67" s="469"/>
      <c r="F67" s="358"/>
      <c r="G67" s="358"/>
      <c r="H67" s="358"/>
      <c r="I67" s="358"/>
      <c r="J67" s="358"/>
      <c r="K67" s="358"/>
      <c r="L67" s="358"/>
      <c r="M67" s="358"/>
      <c r="N67" s="358"/>
      <c r="O67" s="358"/>
      <c r="P67" s="358"/>
      <c r="Q67" s="358"/>
      <c r="R67" s="358"/>
      <c r="S67" s="358"/>
      <c r="T67" s="358"/>
      <c r="U67" s="358"/>
      <c r="V67" s="358"/>
      <c r="W67" s="358"/>
      <c r="X67" s="358"/>
      <c r="Y67" s="358"/>
      <c r="Z67" s="358"/>
      <c r="AP67" s="401"/>
      <c r="AQ67" s="401"/>
      <c r="AR67" s="401"/>
      <c r="AS67" s="401"/>
    </row>
    <row r="68" spans="1:49" ht="18.75" hidden="1" customHeight="1" x14ac:dyDescent="0.3">
      <c r="A68" s="470" t="s">
        <v>277</v>
      </c>
      <c r="B68" s="467"/>
      <c r="C68" s="467"/>
      <c r="D68" s="469"/>
      <c r="F68" s="358"/>
      <c r="G68" s="358"/>
      <c r="H68" s="358"/>
      <c r="I68" s="358"/>
      <c r="J68" s="358"/>
      <c r="K68" s="358"/>
      <c r="L68" s="358"/>
      <c r="M68" s="358"/>
      <c r="N68" s="358"/>
      <c r="O68" s="358"/>
      <c r="P68" s="358"/>
      <c r="Q68" s="358"/>
      <c r="R68" s="358"/>
      <c r="S68" s="358"/>
      <c r="T68" s="358"/>
      <c r="U68" s="358"/>
      <c r="V68" s="358"/>
      <c r="W68" s="358"/>
      <c r="X68" s="358"/>
      <c r="Y68" s="358"/>
      <c r="Z68" s="358"/>
      <c r="AP68" s="401"/>
      <c r="AQ68" s="401"/>
      <c r="AR68" s="401"/>
      <c r="AS68" s="401"/>
    </row>
    <row r="69" spans="1:49" ht="18.75" hidden="1" customHeight="1" x14ac:dyDescent="0.3">
      <c r="A69" s="470" t="s">
        <v>278</v>
      </c>
      <c r="B69" s="467"/>
      <c r="C69" s="467"/>
      <c r="D69" s="469"/>
      <c r="F69" s="358"/>
      <c r="G69" s="358"/>
      <c r="H69" s="358"/>
      <c r="I69" s="358"/>
      <c r="J69" s="358"/>
      <c r="K69" s="358"/>
      <c r="L69" s="358"/>
      <c r="M69" s="358"/>
      <c r="N69" s="358"/>
      <c r="O69" s="358"/>
      <c r="P69" s="358"/>
      <c r="Q69" s="358"/>
      <c r="R69" s="358"/>
      <c r="S69" s="358"/>
      <c r="T69" s="358"/>
      <c r="U69" s="358"/>
      <c r="V69" s="358"/>
      <c r="W69" s="358"/>
      <c r="X69" s="358"/>
      <c r="Y69" s="358"/>
      <c r="Z69" s="358"/>
      <c r="AP69" s="41"/>
      <c r="AQ69" s="41"/>
      <c r="AR69" s="41"/>
      <c r="AS69" s="41"/>
    </row>
    <row r="70" spans="1:49" ht="18.75" hidden="1" customHeight="1" x14ac:dyDescent="0.3">
      <c r="A70" s="470" t="s">
        <v>279</v>
      </c>
      <c r="B70" s="467"/>
      <c r="C70" s="467"/>
      <c r="D70" s="469"/>
      <c r="F70" s="358"/>
      <c r="G70" s="358"/>
      <c r="H70" s="358"/>
      <c r="I70" s="358"/>
      <c r="J70" s="358"/>
      <c r="K70" s="358"/>
      <c r="L70" s="358"/>
      <c r="M70" s="358"/>
      <c r="N70" s="358"/>
      <c r="O70" s="358"/>
      <c r="P70" s="358"/>
      <c r="Q70" s="358"/>
      <c r="R70" s="358"/>
      <c r="S70" s="358"/>
      <c r="T70" s="358"/>
      <c r="U70" s="358"/>
      <c r="V70" s="358"/>
      <c r="W70" s="358"/>
      <c r="X70" s="358"/>
      <c r="Y70" s="358"/>
      <c r="Z70" s="358"/>
      <c r="AP70" s="41"/>
      <c r="AQ70" s="41"/>
      <c r="AR70" s="41"/>
      <c r="AS70" s="41"/>
    </row>
    <row r="71" spans="1:49" ht="18.75" hidden="1" customHeight="1" x14ac:dyDescent="0.3">
      <c r="A71" s="470" t="s">
        <v>280</v>
      </c>
      <c r="B71" s="467"/>
      <c r="C71" s="467"/>
      <c r="D71" s="469"/>
      <c r="F71" s="358"/>
      <c r="G71" s="358"/>
      <c r="H71" s="358"/>
      <c r="I71" s="358"/>
      <c r="J71" s="358"/>
      <c r="K71" s="358"/>
      <c r="L71" s="358"/>
      <c r="M71" s="358"/>
      <c r="N71" s="358"/>
      <c r="O71" s="358"/>
      <c r="P71" s="358"/>
      <c r="Q71" s="358"/>
      <c r="R71" s="358"/>
      <c r="S71" s="358"/>
      <c r="T71" s="358"/>
      <c r="U71" s="358"/>
      <c r="V71" s="358"/>
      <c r="W71" s="358"/>
      <c r="X71" s="358"/>
      <c r="Y71" s="358"/>
      <c r="Z71" s="358"/>
      <c r="AP71" s="41"/>
      <c r="AQ71" s="41"/>
      <c r="AR71" s="41"/>
      <c r="AS71" s="41"/>
    </row>
    <row r="72" spans="1:49" ht="18.75" hidden="1" customHeight="1" x14ac:dyDescent="0.3">
      <c r="A72" s="470" t="s">
        <v>281</v>
      </c>
      <c r="B72" s="467"/>
      <c r="C72" s="467"/>
      <c r="D72" s="469"/>
      <c r="F72" s="358"/>
      <c r="G72" s="358"/>
      <c r="H72" s="358"/>
      <c r="I72" s="358"/>
      <c r="J72" s="358"/>
      <c r="K72" s="358"/>
      <c r="L72" s="358"/>
      <c r="M72" s="358"/>
      <c r="N72" s="358"/>
      <c r="O72" s="358"/>
      <c r="P72" s="358"/>
      <c r="Q72" s="358"/>
      <c r="R72" s="358"/>
      <c r="S72" s="358"/>
      <c r="T72" s="358"/>
      <c r="U72" s="358"/>
      <c r="V72" s="358"/>
      <c r="W72" s="358"/>
      <c r="X72" s="358"/>
      <c r="Y72" s="358"/>
      <c r="Z72" s="358"/>
      <c r="AP72" s="41"/>
      <c r="AQ72" s="41"/>
      <c r="AR72" s="41"/>
      <c r="AS72" s="41"/>
    </row>
    <row r="73" spans="1:49" ht="18.75" hidden="1" customHeight="1" x14ac:dyDescent="0.3">
      <c r="A73" s="470" t="s">
        <v>282</v>
      </c>
      <c r="B73" s="467"/>
      <c r="C73" s="467"/>
      <c r="D73" s="469"/>
      <c r="F73" s="358"/>
      <c r="G73" s="358"/>
      <c r="H73" s="358"/>
      <c r="I73" s="358"/>
      <c r="J73" s="358"/>
      <c r="K73" s="358"/>
      <c r="L73" s="358"/>
      <c r="M73" s="358"/>
      <c r="N73" s="358"/>
      <c r="O73" s="358"/>
      <c r="P73" s="358"/>
      <c r="Q73" s="358"/>
      <c r="R73" s="358"/>
      <c r="S73" s="358"/>
      <c r="T73" s="358"/>
      <c r="U73" s="358"/>
      <c r="V73" s="358"/>
      <c r="W73" s="358"/>
      <c r="X73" s="358"/>
      <c r="Y73" s="358"/>
      <c r="Z73" s="358"/>
      <c r="AP73" s="41"/>
      <c r="AQ73" s="41"/>
      <c r="AR73" s="41"/>
      <c r="AS73" s="41"/>
    </row>
    <row r="74" spans="1:49" ht="18.75" hidden="1" customHeight="1" x14ac:dyDescent="0.3">
      <c r="A74" s="470" t="s">
        <v>283</v>
      </c>
      <c r="B74" s="467"/>
      <c r="C74" s="467"/>
      <c r="D74" s="469"/>
      <c r="F74" s="358"/>
      <c r="G74" s="358"/>
      <c r="H74" s="358"/>
      <c r="I74" s="358"/>
      <c r="J74" s="358"/>
      <c r="K74" s="358"/>
      <c r="L74" s="358"/>
      <c r="M74" s="358"/>
      <c r="N74" s="358"/>
      <c r="O74" s="358"/>
      <c r="P74" s="358"/>
      <c r="Q74" s="358"/>
      <c r="R74" s="358"/>
      <c r="S74" s="358"/>
      <c r="T74" s="358"/>
      <c r="U74" s="358"/>
      <c r="V74" s="358"/>
      <c r="W74" s="358"/>
      <c r="X74" s="358"/>
      <c r="Y74" s="358"/>
      <c r="Z74" s="358"/>
      <c r="AP74" s="11"/>
      <c r="AQ74" s="11"/>
      <c r="AR74" s="11"/>
      <c r="AS74" s="11"/>
    </row>
    <row r="75" spans="1:49" ht="18.75" hidden="1" customHeight="1" x14ac:dyDescent="0.3">
      <c r="A75" s="470" t="s">
        <v>284</v>
      </c>
      <c r="B75" s="467"/>
      <c r="C75" s="467"/>
      <c r="D75" s="469"/>
      <c r="F75" s="358"/>
      <c r="G75" s="358"/>
      <c r="H75" s="358"/>
      <c r="I75" s="358"/>
      <c r="J75" s="358"/>
      <c r="K75" s="358"/>
      <c r="L75" s="358"/>
      <c r="M75" s="358"/>
      <c r="N75" s="358"/>
      <c r="O75" s="358"/>
      <c r="P75" s="358"/>
      <c r="Q75" s="358"/>
      <c r="R75" s="358"/>
      <c r="S75" s="358"/>
      <c r="T75" s="358"/>
      <c r="U75" s="358"/>
      <c r="V75" s="358"/>
      <c r="W75" s="358"/>
      <c r="X75" s="358"/>
      <c r="Y75" s="358"/>
      <c r="Z75" s="358"/>
      <c r="AP75" s="349"/>
      <c r="AQ75" s="349"/>
      <c r="AR75" s="349"/>
      <c r="AS75" s="349"/>
    </row>
    <row r="76" spans="1:49" ht="18.75" hidden="1" customHeight="1" x14ac:dyDescent="0.3">
      <c r="A76" s="470" t="s">
        <v>285</v>
      </c>
      <c r="B76" s="467"/>
      <c r="C76" s="467"/>
      <c r="D76" s="469"/>
      <c r="F76" s="358"/>
      <c r="G76" s="358"/>
      <c r="H76" s="358"/>
      <c r="I76" s="358"/>
      <c r="J76" s="358"/>
      <c r="K76" s="358"/>
      <c r="L76" s="358"/>
      <c r="M76" s="358"/>
      <c r="N76" s="358"/>
      <c r="O76" s="358"/>
      <c r="P76" s="358"/>
      <c r="Q76" s="358"/>
      <c r="R76" s="358"/>
      <c r="S76" s="358"/>
      <c r="T76" s="358"/>
      <c r="U76" s="358"/>
      <c r="V76" s="358"/>
      <c r="W76" s="358"/>
      <c r="X76" s="358"/>
      <c r="Y76" s="358"/>
      <c r="Z76" s="358"/>
      <c r="AP76" s="349"/>
      <c r="AQ76" s="349"/>
      <c r="AR76" s="349"/>
      <c r="AS76" s="349"/>
    </row>
    <row r="77" spans="1:49" ht="18.75" hidden="1" customHeight="1" x14ac:dyDescent="0.3">
      <c r="A77" s="470" t="s">
        <v>286</v>
      </c>
      <c r="B77" s="467"/>
      <c r="C77" s="467"/>
      <c r="D77" s="469"/>
      <c r="F77" s="358"/>
      <c r="G77" s="358"/>
      <c r="H77" s="358"/>
      <c r="I77" s="358"/>
      <c r="J77" s="358"/>
      <c r="K77" s="358"/>
      <c r="L77" s="358"/>
      <c r="M77" s="358"/>
      <c r="N77" s="358"/>
      <c r="O77" s="358"/>
      <c r="P77" s="358"/>
      <c r="Q77" s="358"/>
      <c r="R77" s="358"/>
      <c r="S77" s="358"/>
      <c r="T77" s="358"/>
      <c r="U77" s="358"/>
      <c r="V77" s="358"/>
      <c r="W77" s="358"/>
      <c r="X77" s="358"/>
      <c r="Y77" s="358"/>
      <c r="Z77" s="358"/>
    </row>
    <row r="78" spans="1:49" ht="18.75" hidden="1" customHeight="1" x14ac:dyDescent="0.3">
      <c r="A78" s="470" t="s">
        <v>287</v>
      </c>
      <c r="B78" s="467"/>
      <c r="C78" s="467"/>
      <c r="D78" s="469"/>
      <c r="F78" s="358"/>
      <c r="G78" s="358"/>
      <c r="H78" s="358"/>
      <c r="I78" s="358"/>
      <c r="J78" s="358"/>
      <c r="K78" s="358"/>
      <c r="L78" s="358"/>
      <c r="M78" s="358"/>
      <c r="N78" s="358"/>
      <c r="O78" s="358"/>
      <c r="P78" s="358"/>
      <c r="Q78" s="358"/>
      <c r="R78" s="358"/>
      <c r="S78" s="358"/>
      <c r="T78" s="358"/>
      <c r="U78" s="358"/>
      <c r="V78" s="358"/>
      <c r="W78" s="358"/>
      <c r="X78" s="358"/>
      <c r="Y78" s="358"/>
      <c r="Z78" s="358"/>
    </row>
    <row r="79" spans="1:49" ht="18.75" hidden="1" customHeight="1" x14ac:dyDescent="0.3">
      <c r="A79" s="470" t="s">
        <v>288</v>
      </c>
      <c r="B79" s="467"/>
      <c r="C79" s="467"/>
      <c r="D79" s="469"/>
      <c r="F79" s="358"/>
      <c r="G79" s="358"/>
      <c r="H79" s="358"/>
      <c r="I79" s="358"/>
      <c r="J79" s="358"/>
      <c r="K79" s="358"/>
      <c r="L79" s="358"/>
      <c r="M79" s="358"/>
      <c r="N79" s="358"/>
      <c r="O79" s="358"/>
      <c r="P79" s="358"/>
      <c r="Q79" s="358"/>
      <c r="R79" s="358"/>
      <c r="S79" s="358"/>
      <c r="T79" s="358"/>
      <c r="U79" s="358"/>
      <c r="V79" s="358"/>
      <c r="W79" s="358"/>
      <c r="X79" s="358"/>
      <c r="Y79" s="358"/>
      <c r="Z79" s="358"/>
    </row>
    <row r="80" spans="1:49" ht="18.75" hidden="1" customHeight="1" x14ac:dyDescent="0.3">
      <c r="A80" s="470" t="s">
        <v>289</v>
      </c>
      <c r="B80" s="467"/>
      <c r="C80" s="467"/>
      <c r="D80" s="469"/>
      <c r="F80" s="358"/>
      <c r="G80" s="358"/>
      <c r="H80" s="358"/>
      <c r="I80" s="358"/>
      <c r="J80" s="358"/>
      <c r="K80" s="358"/>
      <c r="L80" s="358"/>
      <c r="M80" s="358"/>
      <c r="N80" s="358"/>
      <c r="O80" s="358"/>
      <c r="P80" s="358"/>
      <c r="Q80" s="358"/>
      <c r="R80" s="358"/>
      <c r="S80" s="358"/>
      <c r="T80" s="358"/>
      <c r="U80" s="358"/>
      <c r="V80" s="358"/>
      <c r="W80" s="358"/>
      <c r="X80" s="358"/>
      <c r="Y80" s="358"/>
      <c r="Z80" s="358"/>
    </row>
    <row r="81" spans="1:45" ht="18.75" hidden="1" customHeight="1" x14ac:dyDescent="0.3">
      <c r="A81" s="470" t="s">
        <v>290</v>
      </c>
      <c r="B81" s="467"/>
      <c r="C81" s="467"/>
      <c r="D81" s="469"/>
      <c r="F81" s="358"/>
      <c r="G81" s="358"/>
      <c r="H81" s="358"/>
      <c r="I81" s="358"/>
      <c r="J81" s="358"/>
      <c r="K81" s="358"/>
      <c r="L81" s="358"/>
      <c r="M81" s="358"/>
      <c r="N81" s="358"/>
      <c r="O81" s="358"/>
      <c r="P81" s="358"/>
      <c r="Q81" s="358"/>
      <c r="R81" s="358"/>
      <c r="S81" s="358"/>
      <c r="T81" s="358"/>
      <c r="U81" s="358"/>
      <c r="V81" s="358"/>
      <c r="W81" s="358"/>
      <c r="X81" s="358"/>
      <c r="Y81" s="358"/>
      <c r="Z81" s="358"/>
      <c r="AP81" s="11"/>
      <c r="AQ81" s="11"/>
      <c r="AR81" s="11"/>
      <c r="AS81" s="11"/>
    </row>
    <row r="82" spans="1:45" ht="18.75" hidden="1" customHeight="1" x14ac:dyDescent="0.3">
      <c r="A82" s="470" t="s">
        <v>291</v>
      </c>
      <c r="B82" s="467"/>
      <c r="C82" s="467"/>
      <c r="D82" s="469"/>
      <c r="F82" s="358"/>
      <c r="G82" s="358"/>
      <c r="H82" s="358"/>
      <c r="I82" s="358"/>
      <c r="J82" s="358"/>
      <c r="K82" s="358"/>
      <c r="L82" s="358"/>
      <c r="M82" s="358"/>
      <c r="N82" s="358"/>
      <c r="O82" s="358"/>
      <c r="P82" s="358"/>
      <c r="Q82" s="358"/>
      <c r="R82" s="358"/>
      <c r="S82" s="358"/>
      <c r="T82" s="358"/>
      <c r="U82" s="358"/>
      <c r="V82" s="358"/>
      <c r="W82" s="358"/>
      <c r="X82" s="358"/>
      <c r="Y82" s="358"/>
      <c r="Z82" s="358"/>
      <c r="AP82" s="11"/>
      <c r="AQ82" s="11"/>
      <c r="AR82" s="11"/>
      <c r="AS82" s="11"/>
    </row>
    <row r="83" spans="1:45" ht="18.75" hidden="1" customHeight="1" x14ac:dyDescent="0.3">
      <c r="A83" s="470" t="s">
        <v>292</v>
      </c>
      <c r="B83" s="467"/>
      <c r="C83" s="467"/>
      <c r="D83" s="469"/>
      <c r="F83" s="358"/>
      <c r="G83" s="358"/>
      <c r="H83" s="358"/>
      <c r="I83" s="358"/>
      <c r="J83" s="358"/>
      <c r="K83" s="358"/>
      <c r="L83" s="358"/>
      <c r="M83" s="358"/>
      <c r="N83" s="358"/>
      <c r="O83" s="358"/>
      <c r="P83" s="358"/>
      <c r="Q83" s="358"/>
      <c r="R83" s="358"/>
      <c r="S83" s="358"/>
      <c r="T83" s="358"/>
      <c r="U83" s="358"/>
      <c r="V83" s="358"/>
      <c r="W83" s="358"/>
      <c r="X83" s="358"/>
      <c r="Y83" s="358"/>
      <c r="Z83" s="358"/>
      <c r="AP83" s="11"/>
      <c r="AQ83" s="11"/>
      <c r="AR83" s="11"/>
      <c r="AS83" s="11"/>
    </row>
    <row r="84" spans="1:45" ht="18.75" hidden="1" customHeight="1" x14ac:dyDescent="0.3">
      <c r="A84" s="470" t="s">
        <v>293</v>
      </c>
      <c r="B84" s="467"/>
      <c r="C84" s="467"/>
      <c r="D84" s="469"/>
      <c r="F84" s="358"/>
      <c r="G84" s="358"/>
      <c r="H84" s="358"/>
      <c r="I84" s="358"/>
      <c r="J84" s="358"/>
      <c r="K84" s="358"/>
      <c r="L84" s="358"/>
      <c r="M84" s="358"/>
      <c r="N84" s="358"/>
      <c r="O84" s="358"/>
      <c r="P84" s="358"/>
      <c r="Q84" s="358"/>
      <c r="R84" s="358"/>
      <c r="S84" s="358"/>
      <c r="T84" s="358"/>
      <c r="U84" s="358"/>
      <c r="V84" s="358"/>
      <c r="W84" s="358"/>
      <c r="X84" s="358"/>
      <c r="Y84" s="358"/>
      <c r="Z84" s="358"/>
    </row>
    <row r="85" spans="1:45" ht="18.75" hidden="1" customHeight="1" x14ac:dyDescent="0.3">
      <c r="A85" s="470" t="s">
        <v>294</v>
      </c>
      <c r="B85" s="467"/>
      <c r="C85" s="467"/>
      <c r="D85" s="469"/>
      <c r="F85" s="358"/>
      <c r="G85" s="358"/>
      <c r="H85" s="358"/>
      <c r="I85" s="358"/>
      <c r="J85" s="358"/>
      <c r="K85" s="358"/>
      <c r="L85" s="358"/>
      <c r="M85" s="358"/>
      <c r="N85" s="358"/>
      <c r="O85" s="358"/>
      <c r="P85" s="358"/>
      <c r="Q85" s="358"/>
      <c r="R85" s="358"/>
      <c r="S85" s="358"/>
      <c r="T85" s="358"/>
      <c r="U85" s="358"/>
      <c r="V85" s="358"/>
      <c r="W85" s="358"/>
      <c r="X85" s="358"/>
      <c r="Y85" s="358"/>
      <c r="Z85" s="358"/>
    </row>
    <row r="86" spans="1:45" ht="18.75" hidden="1" customHeight="1" x14ac:dyDescent="0.3">
      <c r="A86" s="470" t="s">
        <v>295</v>
      </c>
      <c r="B86" s="467"/>
      <c r="C86" s="467"/>
      <c r="D86" s="469"/>
      <c r="F86" s="358"/>
      <c r="G86" s="358"/>
      <c r="H86" s="358"/>
      <c r="I86" s="358"/>
      <c r="J86" s="358"/>
      <c r="K86" s="358"/>
      <c r="L86" s="358"/>
      <c r="M86" s="358"/>
      <c r="N86" s="358"/>
      <c r="O86" s="358"/>
      <c r="P86" s="358"/>
      <c r="Q86" s="358"/>
      <c r="R86" s="358"/>
      <c r="S86" s="358"/>
      <c r="T86" s="358"/>
      <c r="U86" s="358"/>
      <c r="V86" s="358"/>
      <c r="W86" s="358"/>
      <c r="X86" s="358"/>
      <c r="Y86" s="358"/>
      <c r="Z86" s="358"/>
    </row>
    <row r="87" spans="1:45" ht="18.75" hidden="1" customHeight="1" x14ac:dyDescent="0.3">
      <c r="A87" s="470" t="s">
        <v>296</v>
      </c>
      <c r="B87" s="467"/>
      <c r="C87" s="467"/>
      <c r="D87" s="469"/>
      <c r="F87" s="358"/>
      <c r="G87" s="358"/>
      <c r="H87" s="358"/>
      <c r="I87" s="358"/>
      <c r="J87" s="358"/>
      <c r="K87" s="358"/>
      <c r="L87" s="358"/>
      <c r="M87" s="358"/>
      <c r="N87" s="358"/>
      <c r="O87" s="358"/>
      <c r="P87" s="358"/>
      <c r="Q87" s="358"/>
      <c r="R87" s="358"/>
      <c r="S87" s="358"/>
      <c r="T87" s="358"/>
      <c r="U87" s="358"/>
      <c r="V87" s="358"/>
      <c r="W87" s="358"/>
      <c r="X87" s="358"/>
      <c r="Y87" s="358"/>
      <c r="Z87" s="358"/>
    </row>
    <row r="88" spans="1:45" ht="18.75" hidden="1" customHeight="1" x14ac:dyDescent="0.3">
      <c r="A88" s="470" t="s">
        <v>297</v>
      </c>
      <c r="B88" s="467"/>
      <c r="C88" s="467"/>
      <c r="D88" s="469"/>
      <c r="F88" s="358"/>
      <c r="G88" s="358"/>
      <c r="H88" s="358"/>
      <c r="I88" s="358"/>
      <c r="J88" s="358"/>
      <c r="K88" s="358"/>
      <c r="L88" s="358"/>
      <c r="M88" s="358"/>
      <c r="N88" s="358"/>
      <c r="O88" s="358"/>
      <c r="P88" s="358"/>
      <c r="Q88" s="358"/>
      <c r="R88" s="358"/>
      <c r="S88" s="358"/>
      <c r="T88" s="358"/>
      <c r="U88" s="358"/>
      <c r="V88" s="358"/>
      <c r="W88" s="358"/>
      <c r="X88" s="358"/>
      <c r="Y88" s="358"/>
      <c r="Z88" s="358"/>
    </row>
    <row r="89" spans="1:45" ht="18.75" hidden="1" customHeight="1" x14ac:dyDescent="0.3">
      <c r="A89" s="470" t="s">
        <v>298</v>
      </c>
      <c r="B89" s="467"/>
      <c r="C89" s="467"/>
      <c r="D89" s="469"/>
      <c r="F89" s="358"/>
      <c r="G89" s="358"/>
      <c r="H89" s="358"/>
      <c r="I89" s="358"/>
      <c r="J89" s="358"/>
      <c r="K89" s="358"/>
      <c r="L89" s="358"/>
      <c r="M89" s="358"/>
      <c r="N89" s="358"/>
      <c r="O89" s="358"/>
      <c r="P89" s="358"/>
      <c r="Q89" s="358"/>
      <c r="R89" s="358"/>
      <c r="S89" s="358"/>
      <c r="T89" s="358"/>
      <c r="U89" s="358"/>
      <c r="V89" s="358"/>
      <c r="W89" s="358"/>
      <c r="X89" s="358"/>
      <c r="Y89" s="358"/>
      <c r="Z89" s="358"/>
    </row>
    <row r="90" spans="1:45" ht="18.75" hidden="1" customHeight="1" x14ac:dyDescent="0.3">
      <c r="A90" s="470" t="s">
        <v>299</v>
      </c>
      <c r="B90" s="467"/>
      <c r="C90" s="467"/>
      <c r="D90" s="469"/>
      <c r="F90" s="358"/>
      <c r="G90" s="358"/>
      <c r="H90" s="358"/>
      <c r="I90" s="358"/>
      <c r="J90" s="358"/>
      <c r="K90" s="358"/>
      <c r="L90" s="358"/>
      <c r="M90" s="358"/>
      <c r="N90" s="358"/>
      <c r="O90" s="358"/>
      <c r="P90" s="358"/>
      <c r="Q90" s="358"/>
      <c r="R90" s="358"/>
      <c r="S90" s="358"/>
      <c r="T90" s="358"/>
      <c r="U90" s="358"/>
      <c r="V90" s="358"/>
      <c r="W90" s="358"/>
      <c r="X90" s="358"/>
      <c r="Y90" s="358"/>
      <c r="Z90" s="358"/>
    </row>
    <row r="91" spans="1:45" ht="18.75" hidden="1" customHeight="1" x14ac:dyDescent="0.3">
      <c r="A91" s="470" t="s">
        <v>300</v>
      </c>
      <c r="B91" s="467"/>
      <c r="C91" s="467"/>
      <c r="D91" s="469"/>
      <c r="F91" s="358"/>
      <c r="G91" s="358"/>
      <c r="H91" s="358"/>
      <c r="I91" s="358"/>
      <c r="J91" s="358"/>
      <c r="K91" s="358"/>
      <c r="L91" s="358"/>
      <c r="M91" s="358"/>
      <c r="N91" s="358"/>
      <c r="O91" s="358"/>
      <c r="P91" s="358"/>
      <c r="Q91" s="358"/>
      <c r="R91" s="358"/>
      <c r="S91" s="358"/>
      <c r="T91" s="358"/>
      <c r="U91" s="358"/>
      <c r="V91" s="358"/>
      <c r="W91" s="358"/>
      <c r="X91" s="358"/>
      <c r="Y91" s="358"/>
      <c r="Z91" s="358"/>
    </row>
    <row r="92" spans="1:45" ht="18.75" hidden="1" customHeight="1" x14ac:dyDescent="0.3">
      <c r="A92" s="470" t="s">
        <v>301</v>
      </c>
      <c r="B92" s="467"/>
      <c r="C92" s="467"/>
      <c r="D92" s="469"/>
      <c r="F92" s="358"/>
      <c r="G92" s="358"/>
      <c r="H92" s="358"/>
      <c r="I92" s="358"/>
      <c r="J92" s="358"/>
      <c r="K92" s="358"/>
      <c r="L92" s="358"/>
      <c r="M92" s="358"/>
      <c r="N92" s="358"/>
      <c r="O92" s="358"/>
      <c r="P92" s="358"/>
      <c r="Q92" s="358"/>
      <c r="R92" s="358"/>
      <c r="S92" s="358"/>
      <c r="T92" s="358"/>
      <c r="U92" s="358"/>
      <c r="V92" s="358"/>
      <c r="W92" s="358"/>
      <c r="X92" s="358"/>
      <c r="Y92" s="358"/>
      <c r="Z92" s="358"/>
    </row>
    <row r="93" spans="1:45" ht="18.75" hidden="1" customHeight="1" x14ac:dyDescent="0.3">
      <c r="A93" s="470" t="s">
        <v>302</v>
      </c>
      <c r="B93" s="467"/>
      <c r="C93" s="467"/>
      <c r="D93" s="469"/>
      <c r="F93" s="358"/>
      <c r="G93" s="358"/>
      <c r="H93" s="358"/>
      <c r="I93" s="358"/>
      <c r="J93" s="358"/>
      <c r="K93" s="358"/>
      <c r="L93" s="358"/>
      <c r="M93" s="358"/>
      <c r="N93" s="358"/>
      <c r="O93" s="358"/>
      <c r="P93" s="358"/>
      <c r="Q93" s="358"/>
      <c r="R93" s="358"/>
      <c r="S93" s="358"/>
      <c r="T93" s="358"/>
      <c r="U93" s="358"/>
      <c r="V93" s="358"/>
      <c r="W93" s="358"/>
      <c r="X93" s="358"/>
      <c r="Y93" s="358"/>
      <c r="Z93" s="358"/>
    </row>
    <row r="94" spans="1:45" ht="18.75" hidden="1" customHeight="1" x14ac:dyDescent="0.3">
      <c r="A94" s="470" t="s">
        <v>303</v>
      </c>
      <c r="B94" s="467"/>
      <c r="C94" s="467"/>
      <c r="D94" s="469"/>
      <c r="F94" s="358"/>
      <c r="G94" s="358"/>
      <c r="H94" s="358"/>
      <c r="I94" s="358"/>
      <c r="J94" s="358"/>
      <c r="K94" s="358"/>
      <c r="L94" s="358"/>
      <c r="M94" s="358"/>
      <c r="N94" s="358"/>
      <c r="O94" s="358"/>
      <c r="P94" s="358"/>
      <c r="Q94" s="358"/>
      <c r="R94" s="358"/>
      <c r="S94" s="358"/>
      <c r="T94" s="358"/>
      <c r="U94" s="358"/>
      <c r="V94" s="358"/>
      <c r="W94" s="358"/>
      <c r="X94" s="358"/>
      <c r="Y94" s="358"/>
      <c r="Z94" s="358"/>
    </row>
    <row r="95" spans="1:45" ht="18.75" hidden="1" customHeight="1" x14ac:dyDescent="0.3">
      <c r="A95" s="470" t="s">
        <v>304</v>
      </c>
      <c r="B95" s="467"/>
      <c r="C95" s="467"/>
      <c r="D95" s="469"/>
      <c r="F95" s="358"/>
      <c r="G95" s="358"/>
      <c r="H95" s="358"/>
      <c r="I95" s="358"/>
      <c r="J95" s="358"/>
      <c r="K95" s="358"/>
      <c r="L95" s="358"/>
      <c r="M95" s="358"/>
      <c r="N95" s="358"/>
      <c r="O95" s="358"/>
      <c r="P95" s="358"/>
      <c r="Q95" s="358"/>
      <c r="R95" s="358"/>
      <c r="S95" s="358"/>
      <c r="T95" s="358"/>
      <c r="U95" s="358"/>
      <c r="V95" s="358"/>
      <c r="W95" s="358"/>
      <c r="X95" s="358"/>
      <c r="Y95" s="358"/>
      <c r="Z95" s="358"/>
    </row>
    <row r="96" spans="1:45" ht="18.75" hidden="1" customHeight="1" x14ac:dyDescent="0.3">
      <c r="A96" s="470" t="s">
        <v>305</v>
      </c>
      <c r="B96" s="467"/>
      <c r="C96" s="467"/>
      <c r="D96" s="469"/>
      <c r="F96" s="358"/>
      <c r="G96" s="358"/>
      <c r="H96" s="358"/>
      <c r="I96" s="358"/>
      <c r="J96" s="358"/>
      <c r="K96" s="358"/>
      <c r="L96" s="358"/>
      <c r="M96" s="358"/>
      <c r="N96" s="358"/>
      <c r="O96" s="358"/>
      <c r="P96" s="358"/>
      <c r="Q96" s="358"/>
      <c r="R96" s="358"/>
      <c r="S96" s="358"/>
      <c r="T96" s="358"/>
      <c r="U96" s="358"/>
      <c r="V96" s="358"/>
      <c r="W96" s="358"/>
      <c r="X96" s="358"/>
      <c r="Y96" s="358"/>
      <c r="Z96" s="358"/>
    </row>
    <row r="97" spans="1:26" ht="18.75" hidden="1" customHeight="1" x14ac:dyDescent="0.3">
      <c r="A97" s="470" t="s">
        <v>306</v>
      </c>
      <c r="B97" s="467"/>
      <c r="C97" s="467"/>
      <c r="D97" s="469"/>
      <c r="F97" s="358"/>
      <c r="G97" s="358"/>
      <c r="H97" s="358"/>
      <c r="I97" s="358"/>
      <c r="J97" s="358"/>
      <c r="K97" s="358"/>
      <c r="L97" s="358"/>
      <c r="M97" s="358"/>
      <c r="N97" s="358"/>
      <c r="O97" s="358"/>
      <c r="P97" s="358"/>
      <c r="Q97" s="358"/>
      <c r="R97" s="358"/>
      <c r="S97" s="358"/>
      <c r="T97" s="358"/>
      <c r="U97" s="358"/>
      <c r="V97" s="358"/>
      <c r="W97" s="358"/>
      <c r="X97" s="358"/>
      <c r="Y97" s="358"/>
      <c r="Z97" s="358"/>
    </row>
    <row r="98" spans="1:26" ht="18.75" hidden="1" customHeight="1" x14ac:dyDescent="0.3">
      <c r="A98" s="470" t="s">
        <v>307</v>
      </c>
      <c r="B98" s="467"/>
      <c r="C98" s="467"/>
      <c r="D98" s="469"/>
      <c r="F98" s="358"/>
      <c r="G98" s="358"/>
      <c r="H98" s="358"/>
      <c r="I98" s="358"/>
      <c r="J98" s="358"/>
      <c r="K98" s="358"/>
      <c r="L98" s="358"/>
      <c r="M98" s="358"/>
      <c r="N98" s="358"/>
      <c r="O98" s="358"/>
      <c r="P98" s="358"/>
      <c r="Q98" s="358"/>
      <c r="R98" s="358"/>
      <c r="S98" s="358"/>
      <c r="T98" s="358"/>
      <c r="U98" s="358"/>
      <c r="V98" s="358"/>
      <c r="W98" s="358"/>
      <c r="X98" s="358"/>
      <c r="Y98" s="358"/>
      <c r="Z98" s="358"/>
    </row>
    <row r="99" spans="1:26" ht="18.75" hidden="1" customHeight="1" x14ac:dyDescent="0.3">
      <c r="A99" s="470" t="s">
        <v>308</v>
      </c>
      <c r="B99" s="467"/>
      <c r="C99" s="467"/>
      <c r="D99" s="469"/>
      <c r="F99" s="358"/>
      <c r="G99" s="358"/>
      <c r="H99" s="358"/>
      <c r="I99" s="358"/>
      <c r="J99" s="358"/>
      <c r="K99" s="358"/>
      <c r="L99" s="358"/>
      <c r="M99" s="358"/>
      <c r="N99" s="358"/>
      <c r="O99" s="358"/>
      <c r="P99" s="358"/>
      <c r="Q99" s="358"/>
      <c r="R99" s="358"/>
      <c r="S99" s="358"/>
      <c r="T99" s="358"/>
      <c r="U99" s="358"/>
      <c r="V99" s="358"/>
      <c r="W99" s="358"/>
      <c r="X99" s="358"/>
      <c r="Y99" s="358"/>
      <c r="Z99" s="358"/>
    </row>
    <row r="100" spans="1:26" ht="18.75" hidden="1" customHeight="1" x14ac:dyDescent="0.3">
      <c r="A100" s="470" t="s">
        <v>309</v>
      </c>
      <c r="B100" s="467"/>
      <c r="C100" s="467"/>
      <c r="D100" s="469"/>
      <c r="F100" s="358"/>
      <c r="G100" s="358"/>
      <c r="H100" s="358"/>
      <c r="I100" s="358"/>
      <c r="J100" s="358"/>
      <c r="K100" s="358"/>
      <c r="L100" s="358"/>
      <c r="M100" s="358"/>
      <c r="N100" s="358"/>
      <c r="O100" s="358"/>
      <c r="P100" s="358"/>
      <c r="Q100" s="358"/>
      <c r="R100" s="358"/>
      <c r="S100" s="358"/>
      <c r="T100" s="358"/>
      <c r="U100" s="358"/>
      <c r="V100" s="358"/>
      <c r="W100" s="358"/>
      <c r="X100" s="358"/>
      <c r="Y100" s="358"/>
      <c r="Z100" s="358"/>
    </row>
    <row r="101" spans="1:26" ht="18.75" hidden="1" customHeight="1" x14ac:dyDescent="0.3">
      <c r="A101" s="470" t="s">
        <v>310</v>
      </c>
      <c r="B101" s="467"/>
      <c r="C101" s="467"/>
      <c r="D101" s="469"/>
      <c r="F101" s="358"/>
      <c r="G101" s="358"/>
      <c r="H101" s="358"/>
      <c r="I101" s="358"/>
      <c r="J101" s="358"/>
      <c r="K101" s="358"/>
      <c r="L101" s="358"/>
      <c r="M101" s="358"/>
      <c r="N101" s="358"/>
      <c r="O101" s="358"/>
      <c r="P101" s="358"/>
      <c r="Q101" s="358"/>
      <c r="R101" s="358"/>
      <c r="S101" s="358"/>
      <c r="T101" s="358"/>
      <c r="U101" s="358"/>
      <c r="V101" s="358"/>
      <c r="W101" s="358"/>
      <c r="X101" s="358"/>
      <c r="Y101" s="358"/>
      <c r="Z101" s="358"/>
    </row>
    <row r="102" spans="1:26" ht="18.75" hidden="1" customHeight="1" x14ac:dyDescent="0.3">
      <c r="A102" s="470" t="s">
        <v>311</v>
      </c>
      <c r="B102" s="467"/>
      <c r="C102" s="467"/>
      <c r="D102" s="469"/>
      <c r="F102" s="358"/>
      <c r="G102" s="358"/>
      <c r="H102" s="358"/>
      <c r="I102" s="358"/>
      <c r="J102" s="358"/>
      <c r="K102" s="358"/>
      <c r="L102" s="358"/>
      <c r="M102" s="358"/>
      <c r="N102" s="358"/>
      <c r="O102" s="358"/>
      <c r="P102" s="358"/>
      <c r="Q102" s="358"/>
      <c r="R102" s="358"/>
      <c r="S102" s="358"/>
      <c r="T102" s="358"/>
      <c r="U102" s="358"/>
      <c r="V102" s="358"/>
      <c r="W102" s="358"/>
      <c r="X102" s="358"/>
      <c r="Y102" s="358"/>
      <c r="Z102" s="358"/>
    </row>
    <row r="103" spans="1:26" ht="18.75" hidden="1" customHeight="1" x14ac:dyDescent="0.3">
      <c r="A103" s="470" t="s">
        <v>312</v>
      </c>
      <c r="B103" s="467"/>
      <c r="C103" s="467"/>
      <c r="D103" s="469"/>
      <c r="F103" s="358"/>
      <c r="G103" s="358"/>
      <c r="H103" s="358"/>
      <c r="I103" s="358"/>
      <c r="J103" s="358"/>
      <c r="K103" s="358"/>
      <c r="L103" s="358"/>
      <c r="M103" s="358"/>
      <c r="N103" s="358"/>
      <c r="O103" s="358"/>
      <c r="P103" s="358"/>
      <c r="Q103" s="358"/>
      <c r="R103" s="358"/>
      <c r="S103" s="358"/>
      <c r="T103" s="358"/>
      <c r="U103" s="358"/>
      <c r="V103" s="358"/>
      <c r="W103" s="358"/>
      <c r="X103" s="358"/>
      <c r="Y103" s="358"/>
      <c r="Z103" s="358"/>
    </row>
    <row r="104" spans="1:26" ht="18.75" hidden="1" customHeight="1" x14ac:dyDescent="0.3">
      <c r="A104" s="470" t="s">
        <v>313</v>
      </c>
      <c r="B104" s="467"/>
      <c r="C104" s="467"/>
      <c r="D104" s="469"/>
      <c r="F104" s="358"/>
      <c r="G104" s="358"/>
      <c r="H104" s="358"/>
      <c r="I104" s="358"/>
      <c r="J104" s="358"/>
      <c r="K104" s="358"/>
      <c r="L104" s="358"/>
      <c r="M104" s="358"/>
      <c r="N104" s="358"/>
      <c r="O104" s="358"/>
      <c r="P104" s="358"/>
      <c r="Q104" s="358"/>
      <c r="R104" s="358"/>
      <c r="S104" s="358"/>
      <c r="T104" s="358"/>
      <c r="U104" s="358"/>
      <c r="V104" s="358"/>
      <c r="W104" s="358"/>
      <c r="X104" s="358"/>
      <c r="Y104" s="358"/>
      <c r="Z104" s="358"/>
    </row>
    <row r="105" spans="1:26" ht="18.75" hidden="1" customHeight="1" x14ac:dyDescent="0.3">
      <c r="A105" s="470" t="s">
        <v>301</v>
      </c>
      <c r="B105" s="467"/>
      <c r="C105" s="467"/>
      <c r="D105" s="469"/>
      <c r="F105" s="358"/>
      <c r="G105" s="358"/>
      <c r="H105" s="358"/>
      <c r="I105" s="358"/>
      <c r="J105" s="358"/>
      <c r="K105" s="358"/>
      <c r="L105" s="358"/>
      <c r="M105" s="358"/>
      <c r="N105" s="358"/>
      <c r="O105" s="358"/>
      <c r="P105" s="358"/>
      <c r="Q105" s="358"/>
      <c r="R105" s="358"/>
      <c r="S105" s="358"/>
      <c r="T105" s="358"/>
      <c r="U105" s="358"/>
      <c r="V105" s="358"/>
      <c r="W105" s="358"/>
      <c r="X105" s="358"/>
      <c r="Y105" s="358"/>
      <c r="Z105" s="358"/>
    </row>
    <row r="106" spans="1:26" ht="18.75" hidden="1" customHeight="1" x14ac:dyDescent="0.3">
      <c r="A106" s="470" t="s">
        <v>303</v>
      </c>
      <c r="B106" s="467"/>
      <c r="C106" s="467"/>
      <c r="D106" s="469"/>
      <c r="F106" s="358"/>
      <c r="G106" s="358"/>
      <c r="H106" s="358"/>
      <c r="I106" s="358"/>
      <c r="J106" s="358"/>
      <c r="K106" s="358"/>
      <c r="L106" s="358"/>
      <c r="M106" s="358"/>
      <c r="N106" s="358"/>
      <c r="O106" s="358"/>
      <c r="P106" s="358"/>
      <c r="Q106" s="358"/>
      <c r="R106" s="358"/>
      <c r="S106" s="358"/>
      <c r="T106" s="358"/>
      <c r="U106" s="358"/>
      <c r="V106" s="358"/>
      <c r="W106" s="358"/>
      <c r="X106" s="358"/>
      <c r="Y106" s="358"/>
      <c r="Z106" s="358"/>
    </row>
    <row r="107" spans="1:26" ht="18.75" hidden="1" customHeight="1" x14ac:dyDescent="0.3">
      <c r="A107" s="470" t="s">
        <v>314</v>
      </c>
      <c r="B107" s="467"/>
      <c r="C107" s="467"/>
      <c r="D107" s="469"/>
      <c r="F107" s="358"/>
      <c r="G107" s="358"/>
      <c r="H107" s="358"/>
      <c r="I107" s="358"/>
      <c r="J107" s="358"/>
      <c r="K107" s="358"/>
      <c r="L107" s="358"/>
      <c r="M107" s="358"/>
      <c r="N107" s="358"/>
      <c r="O107" s="358"/>
      <c r="P107" s="358"/>
      <c r="Q107" s="358"/>
      <c r="R107" s="358"/>
      <c r="S107" s="358"/>
      <c r="T107" s="358"/>
      <c r="U107" s="358"/>
      <c r="V107" s="358"/>
      <c r="W107" s="358"/>
      <c r="X107" s="358"/>
      <c r="Y107" s="358"/>
      <c r="Z107" s="358"/>
    </row>
    <row r="108" spans="1:26" ht="18.75" hidden="1" customHeight="1" x14ac:dyDescent="0.3">
      <c r="A108" s="470" t="s">
        <v>315</v>
      </c>
      <c r="B108" s="467"/>
      <c r="C108" s="467"/>
      <c r="D108" s="469"/>
      <c r="F108" s="358"/>
      <c r="G108" s="358"/>
      <c r="H108" s="358"/>
      <c r="I108" s="358"/>
      <c r="J108" s="358"/>
      <c r="K108" s="358"/>
      <c r="L108" s="358"/>
      <c r="M108" s="358"/>
      <c r="N108" s="358"/>
      <c r="O108" s="358"/>
      <c r="P108" s="358"/>
      <c r="Q108" s="358"/>
      <c r="R108" s="358"/>
      <c r="S108" s="358"/>
      <c r="T108" s="358"/>
      <c r="U108" s="358"/>
      <c r="V108" s="358"/>
      <c r="W108" s="358"/>
      <c r="X108" s="358"/>
      <c r="Y108" s="358"/>
      <c r="Z108" s="358"/>
    </row>
    <row r="109" spans="1:26" ht="18.75" hidden="1" customHeight="1" x14ac:dyDescent="0.3">
      <c r="A109" s="470" t="s">
        <v>316</v>
      </c>
      <c r="B109" s="467"/>
      <c r="C109" s="467"/>
      <c r="D109" s="469"/>
      <c r="F109" s="358"/>
      <c r="G109" s="358"/>
      <c r="H109" s="358"/>
      <c r="I109" s="358"/>
      <c r="J109" s="358"/>
      <c r="K109" s="358"/>
      <c r="L109" s="358"/>
      <c r="M109" s="358"/>
      <c r="N109" s="358"/>
      <c r="O109" s="358"/>
      <c r="P109" s="358"/>
      <c r="Q109" s="358"/>
      <c r="R109" s="358"/>
      <c r="S109" s="358"/>
      <c r="T109" s="358"/>
      <c r="U109" s="358"/>
      <c r="V109" s="358"/>
      <c r="W109" s="358"/>
      <c r="X109" s="358"/>
      <c r="Y109" s="358"/>
      <c r="Z109" s="358"/>
    </row>
    <row r="110" spans="1:26" ht="18.75" hidden="1" customHeight="1" x14ac:dyDescent="0.3">
      <c r="A110" s="470" t="s">
        <v>317</v>
      </c>
      <c r="B110" s="467"/>
      <c r="C110" s="467"/>
      <c r="D110" s="469"/>
      <c r="F110" s="358"/>
      <c r="G110" s="358"/>
      <c r="H110" s="358"/>
      <c r="I110" s="358"/>
      <c r="J110" s="358"/>
      <c r="K110" s="358"/>
      <c r="L110" s="358"/>
      <c r="M110" s="358"/>
      <c r="N110" s="358"/>
      <c r="O110" s="358"/>
      <c r="P110" s="358"/>
      <c r="Q110" s="358"/>
      <c r="R110" s="358"/>
      <c r="S110" s="358"/>
      <c r="T110" s="358"/>
      <c r="U110" s="358"/>
      <c r="V110" s="358"/>
      <c r="W110" s="358"/>
      <c r="X110" s="358"/>
      <c r="Y110" s="358"/>
      <c r="Z110" s="358"/>
    </row>
    <row r="111" spans="1:26" ht="18.75" hidden="1" customHeight="1" x14ac:dyDescent="0.3">
      <c r="A111" s="470" t="s">
        <v>318</v>
      </c>
      <c r="B111" s="467"/>
      <c r="C111" s="467"/>
      <c r="D111" s="469"/>
      <c r="F111" s="358"/>
      <c r="G111" s="358"/>
      <c r="H111" s="358"/>
      <c r="I111" s="358"/>
      <c r="J111" s="358"/>
      <c r="K111" s="358"/>
      <c r="L111" s="358"/>
      <c r="M111" s="358"/>
      <c r="N111" s="358"/>
      <c r="O111" s="358"/>
      <c r="P111" s="358"/>
      <c r="Q111" s="358"/>
      <c r="R111" s="358"/>
      <c r="S111" s="358"/>
      <c r="T111" s="358"/>
      <c r="U111" s="358"/>
      <c r="V111" s="358"/>
      <c r="W111" s="358"/>
      <c r="X111" s="358"/>
      <c r="Y111" s="358"/>
      <c r="Z111" s="358"/>
    </row>
    <row r="112" spans="1:26" ht="18.75" hidden="1" customHeight="1" x14ac:dyDescent="0.3">
      <c r="A112" s="470" t="s">
        <v>319</v>
      </c>
      <c r="B112" s="467"/>
      <c r="C112" s="467"/>
      <c r="D112" s="469"/>
      <c r="F112" s="358"/>
      <c r="G112" s="358"/>
      <c r="H112" s="358"/>
      <c r="I112" s="358"/>
      <c r="J112" s="358"/>
      <c r="K112" s="358"/>
      <c r="L112" s="358"/>
      <c r="M112" s="358"/>
      <c r="N112" s="358"/>
      <c r="O112" s="358"/>
      <c r="P112" s="358"/>
      <c r="Q112" s="358"/>
      <c r="R112" s="358"/>
      <c r="S112" s="358"/>
      <c r="T112" s="358"/>
      <c r="U112" s="358"/>
      <c r="V112" s="358"/>
      <c r="W112" s="358"/>
      <c r="X112" s="358"/>
      <c r="Y112" s="358"/>
      <c r="Z112" s="358"/>
    </row>
    <row r="113" spans="1:26" ht="18.75" hidden="1" customHeight="1" x14ac:dyDescent="0.3">
      <c r="A113" s="470" t="s">
        <v>320</v>
      </c>
      <c r="B113" s="467"/>
      <c r="C113" s="467"/>
      <c r="D113" s="469"/>
      <c r="F113" s="358"/>
      <c r="G113" s="358"/>
      <c r="H113" s="358"/>
      <c r="I113" s="358"/>
      <c r="J113" s="358"/>
      <c r="K113" s="358"/>
      <c r="L113" s="358"/>
      <c r="M113" s="358"/>
      <c r="N113" s="358"/>
      <c r="O113" s="358"/>
      <c r="P113" s="358"/>
      <c r="Q113" s="358"/>
      <c r="R113" s="358"/>
      <c r="S113" s="358"/>
      <c r="T113" s="358"/>
      <c r="U113" s="358"/>
      <c r="V113" s="358"/>
      <c r="W113" s="358"/>
      <c r="X113" s="358"/>
      <c r="Y113" s="358"/>
      <c r="Z113" s="358"/>
    </row>
    <row r="114" spans="1:26" x14ac:dyDescent="0.3">
      <c r="A114" s="470" t="s">
        <v>200</v>
      </c>
      <c r="B114" s="467"/>
      <c r="C114" s="467"/>
      <c r="D114" s="469"/>
      <c r="F114" s="358">
        <v>0</v>
      </c>
      <c r="G114" s="358">
        <v>0</v>
      </c>
      <c r="H114" s="358">
        <v>0</v>
      </c>
      <c r="I114" s="358">
        <v>0</v>
      </c>
      <c r="J114" s="358">
        <v>0</v>
      </c>
      <c r="K114" s="358">
        <v>0</v>
      </c>
      <c r="L114" s="358">
        <v>0</v>
      </c>
      <c r="M114" s="358">
        <v>0</v>
      </c>
      <c r="N114" s="358">
        <v>0</v>
      </c>
      <c r="O114" s="358">
        <v>0</v>
      </c>
      <c r="P114" s="358">
        <v>0</v>
      </c>
      <c r="Q114" s="358">
        <v>0</v>
      </c>
      <c r="R114" s="358">
        <v>0</v>
      </c>
      <c r="S114" s="358">
        <v>0</v>
      </c>
      <c r="T114" s="358">
        <v>0</v>
      </c>
      <c r="U114" s="358">
        <v>0</v>
      </c>
      <c r="V114" s="358">
        <v>0</v>
      </c>
      <c r="W114" s="358">
        <v>0</v>
      </c>
      <c r="X114" s="358">
        <v>0</v>
      </c>
      <c r="Y114" s="358">
        <v>0</v>
      </c>
      <c r="Z114" s="358">
        <v>0</v>
      </c>
    </row>
    <row r="115" spans="1:26" x14ac:dyDescent="0.3">
      <c r="A115" s="470" t="s">
        <v>192</v>
      </c>
      <c r="B115" s="467"/>
      <c r="C115" s="467"/>
      <c r="D115" s="469"/>
      <c r="F115" s="358">
        <v>0</v>
      </c>
      <c r="G115" s="358">
        <v>0</v>
      </c>
      <c r="H115" s="358">
        <v>0</v>
      </c>
      <c r="I115" s="358">
        <v>0</v>
      </c>
      <c r="J115" s="358">
        <v>0</v>
      </c>
      <c r="K115" s="358">
        <v>0</v>
      </c>
      <c r="L115" s="358">
        <v>0</v>
      </c>
      <c r="M115" s="358">
        <v>0</v>
      </c>
      <c r="N115" s="358">
        <v>0</v>
      </c>
      <c r="O115" s="358">
        <v>0</v>
      </c>
      <c r="P115" s="358">
        <v>0</v>
      </c>
      <c r="Q115" s="358">
        <v>0</v>
      </c>
      <c r="R115" s="358">
        <v>0</v>
      </c>
      <c r="S115" s="358">
        <v>0</v>
      </c>
      <c r="T115" s="358">
        <v>0</v>
      </c>
      <c r="U115" s="358">
        <v>0</v>
      </c>
      <c r="V115" s="358">
        <v>0</v>
      </c>
      <c r="W115" s="358">
        <v>0</v>
      </c>
      <c r="X115" s="358">
        <v>0</v>
      </c>
      <c r="Y115" s="358">
        <v>0</v>
      </c>
      <c r="Z115" s="358">
        <v>0</v>
      </c>
    </row>
    <row r="116" spans="1:26" x14ac:dyDescent="0.3">
      <c r="A116" s="470" t="s">
        <v>193</v>
      </c>
      <c r="B116" s="467"/>
      <c r="C116" s="467"/>
      <c r="D116" s="469"/>
      <c r="F116" s="358">
        <v>0</v>
      </c>
      <c r="G116" s="358">
        <v>0</v>
      </c>
      <c r="H116" s="358">
        <v>0</v>
      </c>
      <c r="I116" s="358">
        <v>0</v>
      </c>
      <c r="J116" s="358">
        <v>0</v>
      </c>
      <c r="K116" s="358">
        <v>0</v>
      </c>
      <c r="L116" s="358">
        <v>0</v>
      </c>
      <c r="M116" s="358">
        <v>0</v>
      </c>
      <c r="N116" s="358">
        <v>0</v>
      </c>
      <c r="O116" s="358">
        <v>0</v>
      </c>
      <c r="P116" s="358">
        <v>0</v>
      </c>
      <c r="Q116" s="358">
        <v>0</v>
      </c>
      <c r="R116" s="358">
        <v>0</v>
      </c>
      <c r="S116" s="358">
        <v>0</v>
      </c>
      <c r="T116" s="358">
        <v>0</v>
      </c>
      <c r="U116" s="358">
        <v>0</v>
      </c>
      <c r="V116" s="358">
        <v>0</v>
      </c>
      <c r="W116" s="358">
        <v>0</v>
      </c>
      <c r="X116" s="358">
        <v>0</v>
      </c>
      <c r="Y116" s="358">
        <v>0</v>
      </c>
      <c r="Z116" s="358">
        <v>0</v>
      </c>
    </row>
    <row r="117" spans="1:26" x14ac:dyDescent="0.3">
      <c r="A117" s="470" t="s">
        <v>289</v>
      </c>
      <c r="B117" s="467"/>
      <c r="C117" s="467"/>
      <c r="D117" s="469"/>
      <c r="F117" s="358">
        <v>0</v>
      </c>
      <c r="G117" s="358">
        <v>0</v>
      </c>
      <c r="H117" s="358">
        <v>0</v>
      </c>
      <c r="I117" s="358">
        <v>0</v>
      </c>
      <c r="J117" s="358">
        <v>0</v>
      </c>
      <c r="K117" s="358">
        <v>0</v>
      </c>
      <c r="L117" s="358">
        <v>0</v>
      </c>
      <c r="M117" s="358">
        <v>0</v>
      </c>
      <c r="N117" s="358">
        <v>0</v>
      </c>
      <c r="O117" s="358">
        <v>0</v>
      </c>
      <c r="P117" s="358">
        <v>0</v>
      </c>
      <c r="Q117" s="358">
        <v>0</v>
      </c>
      <c r="R117" s="358">
        <v>0</v>
      </c>
      <c r="S117" s="358">
        <v>0</v>
      </c>
      <c r="T117" s="358">
        <v>0</v>
      </c>
      <c r="U117" s="358">
        <v>0</v>
      </c>
      <c r="V117" s="358">
        <v>0</v>
      </c>
      <c r="W117" s="358">
        <v>0</v>
      </c>
      <c r="X117" s="358">
        <v>0</v>
      </c>
      <c r="Y117" s="358">
        <v>0</v>
      </c>
      <c r="Z117" s="358">
        <v>0</v>
      </c>
    </row>
    <row r="118" spans="1:26" x14ac:dyDescent="0.3">
      <c r="A118" s="470" t="s">
        <v>321</v>
      </c>
      <c r="B118" s="467"/>
      <c r="C118" s="467"/>
      <c r="D118" s="469"/>
      <c r="F118" s="358">
        <v>0</v>
      </c>
      <c r="G118" s="358">
        <v>0</v>
      </c>
      <c r="H118" s="358">
        <v>0</v>
      </c>
      <c r="I118" s="358">
        <v>0</v>
      </c>
      <c r="J118" s="358">
        <v>0</v>
      </c>
      <c r="K118" s="358">
        <v>0</v>
      </c>
      <c r="L118" s="358">
        <v>0</v>
      </c>
      <c r="M118" s="358">
        <v>0</v>
      </c>
      <c r="N118" s="358">
        <v>0</v>
      </c>
      <c r="O118" s="358">
        <v>0</v>
      </c>
      <c r="P118" s="358">
        <v>0</v>
      </c>
      <c r="Q118" s="358">
        <v>0</v>
      </c>
      <c r="R118" s="358">
        <v>0</v>
      </c>
      <c r="S118" s="358">
        <v>0</v>
      </c>
      <c r="T118" s="358">
        <v>0</v>
      </c>
      <c r="U118" s="358">
        <v>0</v>
      </c>
      <c r="V118" s="358">
        <v>0</v>
      </c>
      <c r="W118" s="358">
        <v>0</v>
      </c>
      <c r="X118" s="358">
        <v>0</v>
      </c>
      <c r="Y118" s="358">
        <v>0</v>
      </c>
      <c r="Z118" s="358">
        <v>0</v>
      </c>
    </row>
    <row r="119" spans="1:26" x14ac:dyDescent="0.3">
      <c r="A119" s="470" t="s">
        <v>322</v>
      </c>
      <c r="B119" s="467"/>
      <c r="C119" s="467"/>
      <c r="D119" s="469"/>
      <c r="F119" s="358">
        <v>0</v>
      </c>
      <c r="G119" s="358">
        <v>0</v>
      </c>
      <c r="H119" s="358">
        <v>0</v>
      </c>
      <c r="I119" s="358">
        <v>0</v>
      </c>
      <c r="J119" s="358">
        <v>0</v>
      </c>
      <c r="K119" s="358">
        <v>0</v>
      </c>
      <c r="L119" s="358">
        <v>0</v>
      </c>
      <c r="M119" s="358">
        <v>0</v>
      </c>
      <c r="N119" s="358">
        <v>0</v>
      </c>
      <c r="O119" s="358">
        <v>0</v>
      </c>
      <c r="P119" s="358">
        <v>0</v>
      </c>
      <c r="Q119" s="358">
        <v>0</v>
      </c>
      <c r="R119" s="358">
        <v>0</v>
      </c>
      <c r="S119" s="358">
        <v>0</v>
      </c>
      <c r="T119" s="358">
        <v>0</v>
      </c>
      <c r="U119" s="358">
        <v>0</v>
      </c>
      <c r="V119" s="358">
        <v>0</v>
      </c>
      <c r="W119" s="358">
        <v>0</v>
      </c>
      <c r="X119" s="358">
        <v>0</v>
      </c>
      <c r="Y119" s="358">
        <v>0</v>
      </c>
      <c r="Z119" s="358">
        <v>0</v>
      </c>
    </row>
    <row r="120" spans="1:26" x14ac:dyDescent="0.3">
      <c r="A120" s="470" t="s">
        <v>178</v>
      </c>
      <c r="B120" s="467"/>
      <c r="C120" s="467"/>
      <c r="D120" s="469"/>
      <c r="F120" s="358"/>
      <c r="G120" s="358"/>
      <c r="H120" s="358"/>
      <c r="I120" s="358"/>
      <c r="J120" s="358"/>
      <c r="K120" s="358">
        <v>0</v>
      </c>
      <c r="L120" s="358">
        <v>50</v>
      </c>
      <c r="M120" s="358">
        <v>40</v>
      </c>
      <c r="N120" s="358">
        <v>40</v>
      </c>
      <c r="O120" s="358">
        <v>40</v>
      </c>
      <c r="P120" s="358">
        <v>15</v>
      </c>
      <c r="Q120" s="358">
        <v>15</v>
      </c>
      <c r="R120" s="358">
        <v>15</v>
      </c>
      <c r="S120" s="358">
        <v>15</v>
      </c>
      <c r="T120" s="358">
        <v>0</v>
      </c>
      <c r="U120" s="358">
        <v>0</v>
      </c>
      <c r="V120" s="358">
        <v>0</v>
      </c>
      <c r="W120" s="358">
        <v>0</v>
      </c>
      <c r="X120" s="358">
        <v>0</v>
      </c>
      <c r="Y120" s="358">
        <v>0</v>
      </c>
      <c r="Z120" s="358">
        <v>0</v>
      </c>
    </row>
    <row r="121" spans="1:26" x14ac:dyDescent="0.3">
      <c r="A121" s="470" t="s">
        <v>179</v>
      </c>
      <c r="B121" s="467"/>
      <c r="C121" s="467"/>
      <c r="D121" s="469"/>
      <c r="F121" s="358"/>
      <c r="G121" s="358"/>
      <c r="H121" s="358"/>
      <c r="I121" s="358"/>
      <c r="J121" s="358"/>
      <c r="K121" s="358">
        <v>0</v>
      </c>
      <c r="L121" s="358">
        <v>5</v>
      </c>
      <c r="M121" s="358">
        <v>0</v>
      </c>
      <c r="N121" s="358">
        <v>0</v>
      </c>
      <c r="O121" s="358">
        <v>0</v>
      </c>
      <c r="P121" s="358">
        <v>0</v>
      </c>
      <c r="Q121" s="358">
        <v>0</v>
      </c>
      <c r="R121" s="358">
        <v>0</v>
      </c>
      <c r="S121" s="358">
        <v>0</v>
      </c>
      <c r="T121" s="358">
        <v>0</v>
      </c>
      <c r="U121" s="358">
        <v>0</v>
      </c>
      <c r="V121" s="358">
        <v>0</v>
      </c>
      <c r="W121" s="358">
        <v>0</v>
      </c>
      <c r="X121" s="358">
        <v>0</v>
      </c>
      <c r="Y121" s="358">
        <v>0</v>
      </c>
      <c r="Z121" s="358">
        <v>0</v>
      </c>
    </row>
  </sheetData>
  <mergeCells count="73">
    <mergeCell ref="B2:D2"/>
    <mergeCell ref="C5:C6"/>
    <mergeCell ref="B3:D3"/>
    <mergeCell ref="A56:D56"/>
    <mergeCell ref="A89:D89"/>
    <mergeCell ref="A108:D108"/>
    <mergeCell ref="A118:D118"/>
    <mergeCell ref="A74:D74"/>
    <mergeCell ref="A105:D105"/>
    <mergeCell ref="A101:D101"/>
    <mergeCell ref="A86:D86"/>
    <mergeCell ref="A104:D104"/>
    <mergeCell ref="A57:D57"/>
    <mergeCell ref="A95:D95"/>
    <mergeCell ref="A71:D71"/>
    <mergeCell ref="A113:D113"/>
    <mergeCell ref="A85:D85"/>
    <mergeCell ref="A76:D76"/>
    <mergeCell ref="AY7:BG7"/>
    <mergeCell ref="A61:D61"/>
    <mergeCell ref="A110:D110"/>
    <mergeCell ref="A88:D88"/>
    <mergeCell ref="A69:D69"/>
    <mergeCell ref="A78:D78"/>
    <mergeCell ref="A87:D87"/>
    <mergeCell ref="A65:D65"/>
    <mergeCell ref="A99:D99"/>
    <mergeCell ref="A90:D90"/>
    <mergeCell ref="A66:D66"/>
    <mergeCell ref="A84:D84"/>
    <mergeCell ref="A80:D80"/>
    <mergeCell ref="A75:D75"/>
    <mergeCell ref="A5:A6"/>
    <mergeCell ref="A94:D94"/>
    <mergeCell ref="A103:D103"/>
    <mergeCell ref="A70:D70"/>
    <mergeCell ref="A79:D79"/>
    <mergeCell ref="B5:B6"/>
    <mergeCell ref="D5:D6"/>
    <mergeCell ref="A58:D58"/>
    <mergeCell ref="A77:D77"/>
    <mergeCell ref="A83:D83"/>
    <mergeCell ref="A114:D114"/>
    <mergeCell ref="A92:D92"/>
    <mergeCell ref="A64:D64"/>
    <mergeCell ref="A59:D59"/>
    <mergeCell ref="A82:D82"/>
    <mergeCell ref="A73:D73"/>
    <mergeCell ref="A107:D107"/>
    <mergeCell ref="A60:D60"/>
    <mergeCell ref="A98:D98"/>
    <mergeCell ref="A121:D121"/>
    <mergeCell ref="A117:D117"/>
    <mergeCell ref="A115:D115"/>
    <mergeCell ref="A93:D93"/>
    <mergeCell ref="A111:D111"/>
    <mergeCell ref="A102:D102"/>
    <mergeCell ref="A119:D119"/>
    <mergeCell ref="A120:D120"/>
    <mergeCell ref="A116:D116"/>
    <mergeCell ref="A106:D106"/>
    <mergeCell ref="A91:D91"/>
    <mergeCell ref="A97:D97"/>
    <mergeCell ref="A62:D62"/>
    <mergeCell ref="A100:D100"/>
    <mergeCell ref="A96:D96"/>
    <mergeCell ref="A72:D72"/>
    <mergeCell ref="A109:D109"/>
    <mergeCell ref="A81:D81"/>
    <mergeCell ref="A112:D112"/>
    <mergeCell ref="A63:D63"/>
    <mergeCell ref="A68:D68"/>
    <mergeCell ref="A67:D67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61" fitToHeight="0" orientation="landscape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48">
    <tabColor theme="9"/>
  </sheetPr>
  <dimension ref="A1:BM62"/>
  <sheetViews>
    <sheetView showGridLines="0" topLeftCell="A7" zoomScale="80" zoomScaleNormal="80" zoomScaleSheetLayoutView="70" workbookViewId="0">
      <selection activeCell="AA28" sqref="AA28"/>
    </sheetView>
  </sheetViews>
  <sheetFormatPr defaultColWidth="9.140625" defaultRowHeight="15" x14ac:dyDescent="0.25"/>
  <cols>
    <col min="1" max="1" width="27.85546875" customWidth="1"/>
    <col min="2" max="2" width="9.140625" customWidth="1"/>
    <col min="3" max="3" width="14.28515625" hidden="1" customWidth="1"/>
    <col min="4" max="4" width="14.28515625" customWidth="1"/>
    <col min="5" max="5" width="2.28515625" customWidth="1"/>
    <col min="6" max="6" width="8.28515625" hidden="1" customWidth="1"/>
    <col min="7" max="13" width="13" hidden="1" customWidth="1"/>
    <col min="14" max="14" width="9.28515625" hidden="1" customWidth="1"/>
    <col min="15" max="25" width="13" hidden="1" customWidth="1"/>
    <col min="26" max="26" width="9.28515625" hidden="1" customWidth="1"/>
    <col min="27" max="29" width="13" hidden="1" customWidth="1"/>
    <col min="30" max="31" width="13" customWidth="1"/>
    <col min="32" max="32" width="8.28515625" customWidth="1"/>
    <col min="33" max="33" width="1.140625" customWidth="1"/>
    <col min="34" max="34" width="26" customWidth="1"/>
    <col min="35" max="35" width="1.28515625" customWidth="1"/>
    <col min="36" max="36" width="15.85546875" customWidth="1"/>
    <col min="37" max="37" width="2.140625" customWidth="1"/>
    <col min="38" max="38" width="8.7109375" customWidth="1"/>
    <col min="39" max="39" width="13" customWidth="1"/>
    <col min="40" max="40" width="11.7109375" customWidth="1"/>
    <col min="41" max="42" width="8.7109375" hidden="1" customWidth="1"/>
    <col min="43" max="44" width="13" hidden="1" customWidth="1"/>
    <col min="45" max="45" width="13.85546875" hidden="1" customWidth="1"/>
    <col min="46" max="46" width="8.7109375" hidden="1" customWidth="1"/>
    <col min="47" max="50" width="13" hidden="1" customWidth="1"/>
    <col min="51" max="51" width="9.140625" customWidth="1"/>
    <col min="52" max="52" width="21.85546875" customWidth="1"/>
    <col min="53" max="53" width="9.140625" customWidth="1"/>
    <col min="54" max="58" width="13" hidden="1" customWidth="1"/>
    <col min="59" max="59" width="9.140625" hidden="1" customWidth="1"/>
    <col min="60" max="62" width="13" hidden="1" customWidth="1"/>
    <col min="63" max="64" width="13" customWidth="1"/>
  </cols>
  <sheetData>
    <row r="1" spans="1:65" ht="23.25" customHeight="1" x14ac:dyDescent="0.25">
      <c r="A1" s="477" t="s">
        <v>117</v>
      </c>
      <c r="B1" s="478"/>
      <c r="C1" s="478"/>
      <c r="D1" s="478"/>
      <c r="E1" s="478"/>
      <c r="F1" s="478"/>
      <c r="G1" s="478"/>
      <c r="H1" s="478"/>
      <c r="I1" s="478"/>
      <c r="J1" s="478"/>
      <c r="K1" s="478"/>
      <c r="L1" s="478"/>
      <c r="M1" s="478"/>
      <c r="N1" s="478"/>
      <c r="O1" s="478"/>
      <c r="P1" s="478"/>
      <c r="Q1" s="478"/>
      <c r="R1" s="478"/>
      <c r="S1" s="478"/>
      <c r="T1" s="478"/>
      <c r="U1" s="478"/>
      <c r="V1" s="478"/>
      <c r="W1" s="478"/>
      <c r="X1" s="478"/>
      <c r="Y1" s="478"/>
      <c r="Z1" s="478"/>
      <c r="AA1" s="478"/>
      <c r="AF1" s="338"/>
      <c r="AG1" s="354"/>
      <c r="AH1" s="354"/>
      <c r="AI1" s="354"/>
      <c r="AJ1" s="354"/>
      <c r="AK1" s="353"/>
      <c r="AL1" s="353"/>
      <c r="AM1" s="353"/>
      <c r="AN1" s="353"/>
      <c r="AO1" s="353"/>
      <c r="AP1" s="353"/>
      <c r="AQ1" s="353"/>
      <c r="AR1" s="353"/>
      <c r="AS1" s="353"/>
      <c r="AT1" s="353"/>
      <c r="AU1" s="353"/>
      <c r="AV1" s="353"/>
      <c r="AW1" s="353"/>
      <c r="AX1" s="353"/>
    </row>
    <row r="2" spans="1:65" ht="18.75" x14ac:dyDescent="0.3">
      <c r="A2" s="63" t="s">
        <v>118</v>
      </c>
      <c r="B2" s="473" t="s">
        <v>323</v>
      </c>
      <c r="C2" s="463"/>
      <c r="D2" s="464"/>
      <c r="AG2" s="11"/>
      <c r="AH2" s="41"/>
      <c r="AJ2" s="70"/>
    </row>
    <row r="3" spans="1:65" ht="18.75" x14ac:dyDescent="0.3">
      <c r="A3" s="63" t="s">
        <v>120</v>
      </c>
      <c r="B3" s="465" t="s">
        <v>324</v>
      </c>
      <c r="C3" s="463"/>
      <c r="D3" s="464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442"/>
      <c r="AC3" s="442"/>
      <c r="AD3" s="442"/>
      <c r="AE3" s="442"/>
      <c r="AF3" s="7"/>
      <c r="AG3" s="7"/>
      <c r="AH3" s="41"/>
      <c r="AI3" s="7"/>
    </row>
    <row r="4" spans="1:65" ht="18.75" x14ac:dyDescent="0.3">
      <c r="AG4" s="74"/>
      <c r="AH4" s="41"/>
      <c r="AJ4" s="70"/>
      <c r="AK4" s="154"/>
      <c r="AL4" s="387"/>
      <c r="AM4" s="387"/>
      <c r="AN4" s="387"/>
      <c r="AO4" s="387"/>
      <c r="AP4" s="387"/>
      <c r="AQ4" s="387"/>
      <c r="AR4" s="387"/>
      <c r="AS4" s="387"/>
      <c r="AT4" s="387"/>
      <c r="AU4" s="387"/>
      <c r="AV4" s="387"/>
      <c r="AW4" s="387"/>
      <c r="AX4" s="387"/>
    </row>
    <row r="5" spans="1:65" ht="18.75" customHeight="1" x14ac:dyDescent="0.3">
      <c r="A5" s="460" t="s">
        <v>122</v>
      </c>
      <c r="B5" s="471" t="s">
        <v>123</v>
      </c>
      <c r="C5" s="471" t="s">
        <v>124</v>
      </c>
      <c r="D5" s="474" t="s">
        <v>125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116"/>
      <c r="AH5" s="29" t="s">
        <v>126</v>
      </c>
      <c r="AJ5" s="9" t="s">
        <v>127</v>
      </c>
      <c r="AK5" s="363">
        <v>46161.483290389813</v>
      </c>
      <c r="AL5" s="363"/>
      <c r="AM5" s="363">
        <v>46142</v>
      </c>
      <c r="AN5" s="339" t="s">
        <v>128</v>
      </c>
      <c r="AO5" s="409">
        <v>46065</v>
      </c>
      <c r="AP5" s="363">
        <v>46092</v>
      </c>
      <c r="AQ5" s="363">
        <v>46048</v>
      </c>
      <c r="AR5" s="363">
        <v>46035</v>
      </c>
      <c r="AS5" s="371" t="s">
        <v>128</v>
      </c>
      <c r="AT5" s="363">
        <v>46024</v>
      </c>
      <c r="AU5" s="363">
        <v>46007</v>
      </c>
      <c r="AV5" s="363">
        <v>46001</v>
      </c>
      <c r="AW5" s="363">
        <v>45994</v>
      </c>
      <c r="AX5" s="363">
        <v>45960</v>
      </c>
    </row>
    <row r="6" spans="1:65" s="3" customFormat="1" ht="18.75" x14ac:dyDescent="0.3">
      <c r="A6" s="461"/>
      <c r="B6" s="461"/>
      <c r="C6" s="461"/>
      <c r="D6" s="461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13">
        <v>46160</v>
      </c>
      <c r="AB6" s="13">
        <v>46161.480131284719</v>
      </c>
      <c r="AC6" s="13">
        <v>46161.480804942134</v>
      </c>
      <c r="AD6" s="13">
        <v>46161.482962106478</v>
      </c>
      <c r="AE6" s="13">
        <v>46161.483290792232</v>
      </c>
      <c r="AF6" s="35" t="s">
        <v>129</v>
      </c>
      <c r="AG6" s="116"/>
      <c r="AH6" s="29" t="s">
        <v>126</v>
      </c>
      <c r="AI6" s="31"/>
      <c r="AJ6" s="179"/>
      <c r="AK6" s="363">
        <v>46161.48329039009</v>
      </c>
      <c r="AL6" s="363"/>
      <c r="AM6" s="363">
        <v>46156</v>
      </c>
      <c r="AN6" s="339">
        <v>46148</v>
      </c>
      <c r="AO6" s="409">
        <v>46104</v>
      </c>
      <c r="AP6" s="363">
        <v>46101</v>
      </c>
      <c r="AQ6" s="363">
        <v>46052</v>
      </c>
      <c r="AR6" s="363">
        <v>46038</v>
      </c>
      <c r="AS6" s="371">
        <v>46037</v>
      </c>
      <c r="AT6" s="363">
        <v>46030</v>
      </c>
      <c r="AU6" s="363">
        <v>46014</v>
      </c>
      <c r="AV6" s="363">
        <v>46010</v>
      </c>
      <c r="AW6" s="363">
        <v>46003</v>
      </c>
      <c r="AX6" s="363">
        <v>45967</v>
      </c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5" s="3" customFormat="1" ht="21.75" customHeight="1" x14ac:dyDescent="0.3">
      <c r="A7" s="68" t="s">
        <v>130</v>
      </c>
      <c r="B7" s="5"/>
      <c r="C7" s="5"/>
      <c r="D7" s="233"/>
      <c r="E7" s="11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21"/>
      <c r="AH7" s="12"/>
      <c r="AI7" s="11"/>
      <c r="AJ7" s="124"/>
      <c r="AK7" s="12"/>
      <c r="AL7" s="12"/>
      <c r="AM7" s="12"/>
      <c r="AN7" s="12"/>
      <c r="AO7" s="12" t="s">
        <v>131</v>
      </c>
      <c r="AP7" s="12"/>
      <c r="AQ7" s="12"/>
      <c r="AR7" s="12"/>
      <c r="AS7" s="12"/>
      <c r="AT7" s="12"/>
      <c r="AU7" s="12"/>
      <c r="AV7" s="466"/>
      <c r="AW7" s="466"/>
      <c r="AX7" s="467"/>
      <c r="AY7" s="467"/>
      <c r="AZ7" s="467"/>
      <c r="BA7" s="467"/>
      <c r="BB7" s="467"/>
      <c r="BC7" s="467"/>
      <c r="BD7" s="467"/>
      <c r="BE7" s="447"/>
      <c r="BF7" s="447"/>
      <c r="BG7" s="452"/>
      <c r="BH7" s="443"/>
      <c r="BI7" s="444"/>
      <c r="BJ7" s="444"/>
      <c r="BK7" s="444"/>
      <c r="BL7" s="444"/>
      <c r="BM7" s="412"/>
    </row>
    <row r="8" spans="1:65" s="3" customFormat="1" ht="18.75" x14ac:dyDescent="0.3">
      <c r="A8" s="21" t="s">
        <v>132</v>
      </c>
      <c r="B8" s="6">
        <v>300</v>
      </c>
      <c r="C8" s="82">
        <v>187.12</v>
      </c>
      <c r="D8" s="234">
        <v>200</v>
      </c>
      <c r="E8" s="11"/>
      <c r="F8" s="39">
        <f>600+AQ8</f>
        <v>600</v>
      </c>
      <c r="G8" s="206">
        <v>1200</v>
      </c>
      <c r="H8" s="39">
        <v>1200</v>
      </c>
      <c r="I8" s="39">
        <f>1200-600</f>
        <v>600</v>
      </c>
      <c r="J8" s="39">
        <v>600</v>
      </c>
      <c r="K8" s="39">
        <v>600</v>
      </c>
      <c r="L8" s="39">
        <v>600</v>
      </c>
      <c r="M8" s="39">
        <v>670</v>
      </c>
      <c r="N8" s="39">
        <v>670</v>
      </c>
      <c r="O8" s="39">
        <v>600</v>
      </c>
      <c r="P8" s="39">
        <v>600</v>
      </c>
      <c r="Q8" s="39">
        <v>570</v>
      </c>
      <c r="R8" s="39">
        <v>570</v>
      </c>
      <c r="S8" s="39">
        <v>500</v>
      </c>
      <c r="T8" s="39">
        <v>500</v>
      </c>
      <c r="U8" s="39">
        <v>500</v>
      </c>
      <c r="V8" s="39">
        <v>500</v>
      </c>
      <c r="W8" s="39">
        <v>500</v>
      </c>
      <c r="X8" s="39">
        <v>500</v>
      </c>
      <c r="Y8" s="39">
        <v>450</v>
      </c>
      <c r="Z8" s="39">
        <v>424</v>
      </c>
      <c r="AA8" s="39"/>
      <c r="AB8" s="6"/>
      <c r="AC8" s="6"/>
      <c r="AD8" s="6"/>
      <c r="AE8" s="6"/>
      <c r="AF8" s="372">
        <f ca="1">AD8+IF(NOT(ISBLANK(OFFSET(AF8,0,6))),N(OFFSET(AF8,0,6)),N(OFFSET(AF8,0,7)))-AE8</f>
        <v>0</v>
      </c>
      <c r="AG8" s="355"/>
      <c r="AH8" s="78"/>
      <c r="AI8" s="11"/>
      <c r="AJ8" s="345"/>
      <c r="AK8" s="445">
        <v>0</v>
      </c>
      <c r="AL8" s="19">
        <v>0</v>
      </c>
      <c r="AM8" s="19">
        <v>0</v>
      </c>
      <c r="AN8" s="296"/>
      <c r="AO8" s="19"/>
      <c r="AP8" s="19"/>
      <c r="AQ8" s="19"/>
      <c r="AR8" s="19"/>
      <c r="AS8" s="253" t="s">
        <v>325</v>
      </c>
      <c r="AT8" s="19"/>
      <c r="AU8" s="19">
        <v>600</v>
      </c>
      <c r="AV8" s="19">
        <v>300</v>
      </c>
      <c r="AW8" s="19">
        <v>300</v>
      </c>
      <c r="AX8" s="19"/>
      <c r="AZ8" s="389" t="s">
        <v>130</v>
      </c>
      <c r="BA8" s="376" t="s">
        <v>123</v>
      </c>
      <c r="BB8" s="13">
        <v>46118</v>
      </c>
      <c r="BC8" s="13">
        <v>46125</v>
      </c>
      <c r="BD8" s="13">
        <v>46132</v>
      </c>
      <c r="BE8" s="13">
        <v>46139</v>
      </c>
      <c r="BF8" s="13">
        <v>46146</v>
      </c>
      <c r="BG8" s="13">
        <v>46154</v>
      </c>
      <c r="BH8" s="13">
        <v>46160</v>
      </c>
      <c r="BI8" s="13">
        <v>46161.480130972217</v>
      </c>
      <c r="BJ8" s="13">
        <v>46161.480804664352</v>
      </c>
      <c r="BK8" s="13">
        <v>46161.482961793983</v>
      </c>
      <c r="BL8" s="13">
        <v>46161.483290526638</v>
      </c>
      <c r="BM8" s="35" t="s">
        <v>129</v>
      </c>
    </row>
    <row r="9" spans="1:65" s="3" customFormat="1" ht="18" customHeight="1" x14ac:dyDescent="0.3">
      <c r="A9" s="21" t="s">
        <v>134</v>
      </c>
      <c r="B9" s="6">
        <v>200</v>
      </c>
      <c r="C9" s="82">
        <v>193.08</v>
      </c>
      <c r="D9" s="234">
        <v>300</v>
      </c>
      <c r="E9" s="11"/>
      <c r="F9" s="39">
        <f>513+AQ9</f>
        <v>513</v>
      </c>
      <c r="G9" s="39">
        <v>492</v>
      </c>
      <c r="H9" s="39">
        <v>420</v>
      </c>
      <c r="I9" s="39">
        <v>550</v>
      </c>
      <c r="J9" s="39">
        <v>730</v>
      </c>
      <c r="K9" s="39">
        <v>665</v>
      </c>
      <c r="L9" s="39">
        <v>600</v>
      </c>
      <c r="M9" s="39">
        <v>540</v>
      </c>
      <c r="N9" s="39">
        <v>455</v>
      </c>
      <c r="O9" s="39">
        <v>400</v>
      </c>
      <c r="P9" s="39">
        <v>340</v>
      </c>
      <c r="Q9" s="39">
        <v>280</v>
      </c>
      <c r="R9" s="39">
        <f>235+AL9</f>
        <v>235</v>
      </c>
      <c r="S9" s="39">
        <v>400</v>
      </c>
      <c r="T9" s="39">
        <v>350</v>
      </c>
      <c r="U9" s="39">
        <v>300</v>
      </c>
      <c r="V9" s="39">
        <v>270</v>
      </c>
      <c r="W9" s="39">
        <v>200</v>
      </c>
      <c r="X9" s="39">
        <v>200</v>
      </c>
      <c r="Y9" s="39">
        <v>140</v>
      </c>
      <c r="Z9" s="39">
        <f>0+AI9</f>
        <v>0</v>
      </c>
      <c r="AA9" s="39"/>
      <c r="AB9" s="6"/>
      <c r="AC9" s="6"/>
      <c r="AD9" s="6"/>
      <c r="AE9" s="6"/>
      <c r="AF9" s="372">
        <f ca="1">AD9+IF(NOT(ISBLANK(OFFSET(AF9,0,6))),N(OFFSET(AF9,0,6)),N(OFFSET(AF9,0,7)))-AE9</f>
        <v>0</v>
      </c>
      <c r="AG9" s="109"/>
      <c r="AH9" s="78"/>
      <c r="AI9" s="11"/>
      <c r="AJ9" s="345"/>
      <c r="AK9" s="445">
        <v>0</v>
      </c>
      <c r="AL9" s="19">
        <v>0</v>
      </c>
      <c r="AM9" s="19">
        <v>200</v>
      </c>
      <c r="AN9" s="296"/>
      <c r="AO9" s="117">
        <v>200</v>
      </c>
      <c r="AP9" s="19">
        <v>200</v>
      </c>
      <c r="AQ9" s="19"/>
      <c r="AR9" s="19">
        <v>200</v>
      </c>
      <c r="AS9" s="19"/>
      <c r="AT9" s="19">
        <v>200</v>
      </c>
      <c r="AU9" s="19">
        <v>400</v>
      </c>
      <c r="AV9" s="19">
        <v>200</v>
      </c>
      <c r="AW9" s="19"/>
      <c r="AX9" s="19">
        <v>200</v>
      </c>
      <c r="AZ9" s="364" t="s">
        <v>136</v>
      </c>
      <c r="BA9" s="135">
        <v>200</v>
      </c>
      <c r="BB9" s="39">
        <f>AK9</f>
        <v>0</v>
      </c>
      <c r="BC9" s="39">
        <v>200</v>
      </c>
      <c r="BD9" s="39">
        <v>200</v>
      </c>
      <c r="BE9" s="39">
        <v>200</v>
      </c>
      <c r="BF9" s="39">
        <v>80</v>
      </c>
      <c r="BG9" s="39">
        <v>0</v>
      </c>
      <c r="BH9" s="39"/>
      <c r="BI9" s="6"/>
      <c r="BJ9" s="6"/>
      <c r="BK9" s="6"/>
      <c r="BL9" s="6"/>
      <c r="BM9" s="26">
        <f ca="1">BK9+IF(NOT(ISBLANK(OFFSET(BM9,0,6))),N(OFFSET(BM9,0,6)),N(OFFSET(BM9,0,7)))-BL9</f>
        <v>0</v>
      </c>
    </row>
    <row r="10" spans="1:65" s="3" customFormat="1" ht="18.75" x14ac:dyDescent="0.3">
      <c r="A10" s="21" t="s">
        <v>137</v>
      </c>
      <c r="B10" s="6">
        <v>200</v>
      </c>
      <c r="C10" s="82">
        <v>253.83</v>
      </c>
      <c r="D10" s="234">
        <v>250</v>
      </c>
      <c r="E10" s="11"/>
      <c r="F10" s="39">
        <f>400+AQ10</f>
        <v>400</v>
      </c>
      <c r="G10" s="39">
        <v>287</v>
      </c>
      <c r="H10" s="39">
        <v>267</v>
      </c>
      <c r="I10" s="39">
        <v>440</v>
      </c>
      <c r="J10" s="39">
        <v>400</v>
      </c>
      <c r="K10" s="39">
        <v>380</v>
      </c>
      <c r="L10" s="39">
        <v>345</v>
      </c>
      <c r="M10" s="39">
        <v>315</v>
      </c>
      <c r="N10" s="39">
        <v>280</v>
      </c>
      <c r="O10" s="39">
        <v>200</v>
      </c>
      <c r="P10" s="39">
        <v>200</v>
      </c>
      <c r="Q10" s="39">
        <v>170</v>
      </c>
      <c r="R10" s="39">
        <f>140+AL10</f>
        <v>140</v>
      </c>
      <c r="S10" s="39">
        <v>300</v>
      </c>
      <c r="T10" s="39">
        <v>275</v>
      </c>
      <c r="U10" s="39">
        <v>225</v>
      </c>
      <c r="V10" s="39">
        <v>225</v>
      </c>
      <c r="W10" s="39">
        <v>225</v>
      </c>
      <c r="X10" s="39">
        <v>225</v>
      </c>
      <c r="Y10" s="39">
        <v>150</v>
      </c>
      <c r="Z10" s="39">
        <v>150</v>
      </c>
      <c r="AA10" s="39"/>
      <c r="AB10" s="6"/>
      <c r="AC10" s="6"/>
      <c r="AD10" s="6"/>
      <c r="AE10" s="6"/>
      <c r="AF10" s="372">
        <f ca="1">AD10+IF(NOT(ISBLANK(OFFSET(AF10,0,6))),N(OFFSET(AF10,0,6)),N(OFFSET(AF10,0,7)))-AE10</f>
        <v>0</v>
      </c>
      <c r="AG10" s="109"/>
      <c r="AH10" s="78"/>
      <c r="AI10" s="11"/>
      <c r="AJ10" s="345"/>
      <c r="AK10" s="445">
        <v>0</v>
      </c>
      <c r="AL10" s="19">
        <v>0</v>
      </c>
      <c r="AM10" s="19">
        <v>0</v>
      </c>
      <c r="AN10" s="296"/>
      <c r="AO10" s="117">
        <v>200</v>
      </c>
      <c r="AP10" s="19">
        <v>200</v>
      </c>
      <c r="AQ10" s="19"/>
      <c r="AR10" s="19"/>
      <c r="AS10" s="19"/>
      <c r="AT10" s="19">
        <v>200</v>
      </c>
      <c r="AU10" s="19">
        <v>200</v>
      </c>
      <c r="AV10" s="19">
        <v>200</v>
      </c>
      <c r="AW10" s="19"/>
      <c r="AX10" s="19"/>
      <c r="AZ10" s="21" t="s">
        <v>138</v>
      </c>
      <c r="BA10" s="6">
        <v>200</v>
      </c>
      <c r="BB10" s="39">
        <f>AK10</f>
        <v>0</v>
      </c>
      <c r="BC10" s="39">
        <v>200</v>
      </c>
      <c r="BD10" s="39">
        <v>200</v>
      </c>
      <c r="BE10" s="39">
        <v>200</v>
      </c>
      <c r="BF10" s="39">
        <v>50</v>
      </c>
      <c r="BG10" s="39">
        <v>0</v>
      </c>
      <c r="BH10" s="39"/>
      <c r="BI10" s="6"/>
      <c r="BJ10" s="6"/>
      <c r="BK10" s="6"/>
      <c r="BL10" s="6"/>
      <c r="BM10" s="26">
        <f ca="1">BK10+IF(NOT(ISBLANK(OFFSET(BM10,0,6))),N(OFFSET(BM10,0,6)),N(OFFSET(BM10,0,7)))-BL10</f>
        <v>0</v>
      </c>
    </row>
    <row r="11" spans="1:65" s="3" customFormat="1" ht="18.75" x14ac:dyDescent="0.3">
      <c r="A11" s="22" t="s">
        <v>139</v>
      </c>
      <c r="B11" s="6">
        <v>100</v>
      </c>
      <c r="C11" s="82">
        <v>184.57</v>
      </c>
      <c r="D11" s="234">
        <v>30</v>
      </c>
      <c r="E11" s="11"/>
      <c r="F11" s="39">
        <v>37</v>
      </c>
      <c r="G11" s="39">
        <v>0</v>
      </c>
      <c r="H11" s="39">
        <v>0</v>
      </c>
      <c r="I11" s="39">
        <v>100</v>
      </c>
      <c r="J11" s="39">
        <v>100</v>
      </c>
      <c r="K11" s="39">
        <v>100</v>
      </c>
      <c r="L11" s="39">
        <v>100</v>
      </c>
      <c r="M11" s="39">
        <v>100</v>
      </c>
      <c r="N11" s="39">
        <v>100</v>
      </c>
      <c r="O11" s="39">
        <v>100</v>
      </c>
      <c r="P11" s="39">
        <v>100</v>
      </c>
      <c r="Q11" s="39">
        <v>100</v>
      </c>
      <c r="R11" s="39">
        <v>100</v>
      </c>
      <c r="S11" s="39">
        <v>100</v>
      </c>
      <c r="T11" s="39">
        <v>100</v>
      </c>
      <c r="U11" s="39">
        <v>100</v>
      </c>
      <c r="V11" s="39">
        <v>100</v>
      </c>
      <c r="W11" s="39">
        <v>100</v>
      </c>
      <c r="X11" s="39">
        <v>100</v>
      </c>
      <c r="Y11" s="39">
        <v>100</v>
      </c>
      <c r="Z11" s="39">
        <f>100+AI11</f>
        <v>100</v>
      </c>
      <c r="AA11" s="39"/>
      <c r="AB11" s="6"/>
      <c r="AC11" s="6"/>
      <c r="AD11" s="6"/>
      <c r="AE11" s="6"/>
      <c r="AF11" s="372">
        <f ca="1">AD11+IF(NOT(ISBLANK(OFFSET(AF11,0,6))),N(OFFSET(AF11,0,6)),N(OFFSET(AF11,0,7)))-AE11</f>
        <v>0</v>
      </c>
      <c r="AG11" s="109"/>
      <c r="AH11" s="411" t="s">
        <v>326</v>
      </c>
      <c r="AI11" s="11"/>
      <c r="AJ11" s="345"/>
      <c r="AK11" s="445">
        <v>0</v>
      </c>
      <c r="AL11" s="19">
        <v>0</v>
      </c>
      <c r="AM11" s="19">
        <v>100</v>
      </c>
      <c r="AN11" s="296"/>
      <c r="AO11" s="117"/>
      <c r="AP11" s="19"/>
      <c r="AQ11" s="19"/>
      <c r="AR11" s="19"/>
      <c r="AS11" s="19"/>
      <c r="AT11" s="19">
        <v>100</v>
      </c>
      <c r="AU11" s="19"/>
      <c r="AV11" s="19"/>
      <c r="AW11" s="19"/>
      <c r="AX11" s="19"/>
      <c r="AZ11" s="22" t="s">
        <v>140</v>
      </c>
      <c r="BA11" s="6">
        <v>100</v>
      </c>
      <c r="BB11" s="39">
        <v>0</v>
      </c>
      <c r="BC11" s="39">
        <v>0</v>
      </c>
      <c r="BD11" s="39">
        <v>0</v>
      </c>
      <c r="BE11" s="39">
        <v>0</v>
      </c>
      <c r="BF11" s="39">
        <v>100</v>
      </c>
      <c r="BG11" s="39">
        <v>0</v>
      </c>
      <c r="BH11" s="39"/>
      <c r="BI11" s="6"/>
      <c r="BJ11" s="6"/>
      <c r="BK11" s="6"/>
      <c r="BL11" s="6"/>
      <c r="BM11" s="26">
        <f ca="1">BK11+IF(NOT(ISBLANK(OFFSET(BM11,0,6))),N(OFFSET(BM11,0,6)),N(OFFSET(BM11,0,7)))-BL11</f>
        <v>0</v>
      </c>
    </row>
    <row r="12" spans="1:65" s="3" customFormat="1" ht="16.5" customHeight="1" x14ac:dyDescent="0.3">
      <c r="A12" s="23"/>
      <c r="B12" s="1"/>
      <c r="C12" s="64"/>
      <c r="D12" s="235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1"/>
      <c r="AC12" s="1"/>
      <c r="AD12" s="1"/>
      <c r="AE12" s="1"/>
      <c r="AF12" s="2"/>
      <c r="AH12" s="342"/>
      <c r="AI12" s="11"/>
      <c r="AJ12" s="351"/>
      <c r="AK12" s="388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Z12" s="23"/>
      <c r="BA12" s="1"/>
      <c r="BB12" s="2"/>
      <c r="BC12" s="2"/>
      <c r="BD12" s="2"/>
      <c r="BE12" s="2"/>
      <c r="BF12" s="2"/>
      <c r="BG12" s="2"/>
      <c r="BH12" s="2"/>
      <c r="BI12" s="1"/>
      <c r="BJ12" s="1"/>
      <c r="BK12" s="1"/>
      <c r="BL12" s="1"/>
    </row>
    <row r="13" spans="1:65" s="3" customFormat="1" ht="18.75" x14ac:dyDescent="0.3">
      <c r="A13" s="24" t="s">
        <v>141</v>
      </c>
      <c r="B13" s="12"/>
      <c r="C13" s="65"/>
      <c r="D13" s="395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13">
        <v>46160</v>
      </c>
      <c r="AB13" s="13">
        <v>46161.480131284719</v>
      </c>
      <c r="AC13" s="13">
        <v>46161.480804942134</v>
      </c>
      <c r="AD13" s="13">
        <v>46161.482962106478</v>
      </c>
      <c r="AE13" s="13">
        <v>46161.483290792581</v>
      </c>
      <c r="AF13" s="35" t="s">
        <v>129</v>
      </c>
      <c r="AH13" s="29" t="s">
        <v>126</v>
      </c>
      <c r="AI13" s="11"/>
      <c r="AJ13" s="9" t="s">
        <v>127</v>
      </c>
      <c r="AK13" s="449">
        <v>46161.483290390563</v>
      </c>
      <c r="AL13" s="363"/>
      <c r="AM13" s="363">
        <v>46142</v>
      </c>
      <c r="AN13" s="339">
        <v>46148</v>
      </c>
      <c r="AO13" s="409">
        <v>46065</v>
      </c>
      <c r="AP13" s="363">
        <v>46092</v>
      </c>
      <c r="AQ13" s="363">
        <v>46048</v>
      </c>
      <c r="AR13" s="363">
        <v>46035</v>
      </c>
      <c r="AS13" s="371">
        <v>46037</v>
      </c>
      <c r="AT13" s="363">
        <v>46024</v>
      </c>
      <c r="AU13" s="363">
        <v>46007</v>
      </c>
      <c r="AV13" s="363">
        <v>46001</v>
      </c>
      <c r="AW13" s="363">
        <v>45994</v>
      </c>
      <c r="AX13" s="363">
        <v>45960</v>
      </c>
      <c r="AZ13" s="389" t="s">
        <v>141</v>
      </c>
      <c r="BA13" s="376" t="s">
        <v>123</v>
      </c>
      <c r="BB13" s="13">
        <v>46118</v>
      </c>
      <c r="BC13" s="13">
        <v>46125</v>
      </c>
      <c r="BD13" s="13">
        <v>46132</v>
      </c>
      <c r="BE13" s="13">
        <v>46139</v>
      </c>
      <c r="BF13" s="13">
        <v>46146</v>
      </c>
      <c r="BG13" s="13">
        <v>46154</v>
      </c>
      <c r="BH13" s="13">
        <v>46160</v>
      </c>
      <c r="BI13" s="13">
        <v>46161.480130972217</v>
      </c>
      <c r="BJ13" s="13">
        <v>46161.480804664352</v>
      </c>
      <c r="BK13" s="13">
        <v>46161.482961793983</v>
      </c>
      <c r="BL13" s="13">
        <v>46161.483290527038</v>
      </c>
      <c r="BM13" s="35" t="s">
        <v>129</v>
      </c>
    </row>
    <row r="14" spans="1:65" s="3" customFormat="1" ht="18.75" x14ac:dyDescent="0.3">
      <c r="A14" s="25" t="s">
        <v>224</v>
      </c>
      <c r="B14" s="6">
        <v>500</v>
      </c>
      <c r="C14" s="66">
        <v>99.26</v>
      </c>
      <c r="D14" s="234">
        <v>2</v>
      </c>
      <c r="E14" s="7"/>
      <c r="F14" s="39">
        <v>3</v>
      </c>
      <c r="G14" s="39">
        <v>2</v>
      </c>
      <c r="H14" s="39">
        <v>2</v>
      </c>
      <c r="I14" s="39">
        <v>5</v>
      </c>
      <c r="J14" s="39">
        <v>7</v>
      </c>
      <c r="K14" s="39">
        <v>7</v>
      </c>
      <c r="L14" s="39">
        <v>7</v>
      </c>
      <c r="M14" s="39">
        <v>7</v>
      </c>
      <c r="N14" s="357">
        <v>7</v>
      </c>
      <c r="O14" s="357">
        <v>7</v>
      </c>
      <c r="P14" s="357">
        <v>7</v>
      </c>
      <c r="Q14" s="357">
        <v>7</v>
      </c>
      <c r="R14" s="357">
        <v>6</v>
      </c>
      <c r="S14" s="357">
        <v>6</v>
      </c>
      <c r="T14" s="357">
        <v>5</v>
      </c>
      <c r="U14" s="357">
        <v>5</v>
      </c>
      <c r="V14" s="357">
        <v>5</v>
      </c>
      <c r="W14" s="357">
        <v>5</v>
      </c>
      <c r="X14" s="357">
        <v>5</v>
      </c>
      <c r="Y14" s="357">
        <v>5</v>
      </c>
      <c r="Z14" s="357">
        <v>4</v>
      </c>
      <c r="AA14" s="357"/>
      <c r="AB14" s="455"/>
      <c r="AC14" s="455"/>
      <c r="AD14" s="455"/>
      <c r="AE14" s="455"/>
      <c r="AF14" s="372">
        <f ca="1">AD14+IF(NOT(ISBLANK(OFFSET(AF14,0,6))),N(OFFSET(AF14,0,6)),N(OFFSET(AF14,0,7)))-AE14</f>
        <v>0</v>
      </c>
      <c r="AH14" s="78"/>
      <c r="AI14" s="7"/>
      <c r="AJ14" s="345"/>
      <c r="AK14" s="112">
        <v>0</v>
      </c>
      <c r="AL14" s="19">
        <v>0</v>
      </c>
      <c r="AM14" s="19">
        <v>0</v>
      </c>
      <c r="AN14" s="296"/>
      <c r="AO14" s="117">
        <v>4</v>
      </c>
      <c r="AP14" s="19"/>
      <c r="AQ14" s="19"/>
      <c r="AR14" s="19">
        <v>2</v>
      </c>
      <c r="AS14" s="19"/>
      <c r="AT14" s="19">
        <v>4</v>
      </c>
      <c r="AU14" s="19"/>
      <c r="AV14" s="19"/>
      <c r="AW14" s="19"/>
      <c r="AX14" s="19">
        <v>2</v>
      </c>
      <c r="AZ14" s="364" t="s">
        <v>143</v>
      </c>
      <c r="BA14" s="135">
        <v>200</v>
      </c>
      <c r="BB14" s="39">
        <f>AK14</f>
        <v>0</v>
      </c>
      <c r="BC14" s="39">
        <v>3</v>
      </c>
      <c r="BD14" s="39">
        <v>3</v>
      </c>
      <c r="BE14" s="39">
        <v>3</v>
      </c>
      <c r="BF14" s="39">
        <v>2</v>
      </c>
      <c r="BG14" s="39">
        <v>0</v>
      </c>
      <c r="BH14" s="39"/>
      <c r="BI14" s="6"/>
      <c r="BJ14" s="6"/>
      <c r="BK14" s="6"/>
      <c r="BL14" s="6"/>
      <c r="BM14" s="26">
        <f ca="1">BK14+IF(NOT(ISBLANK(OFFSET(BM14,0,6))),N(OFFSET(BM14,0,6)),N(OFFSET(BM14,0,7)))-BL14</f>
        <v>0</v>
      </c>
    </row>
    <row r="15" spans="1:65" s="3" customFormat="1" ht="18.75" x14ac:dyDescent="0.3">
      <c r="A15" s="25" t="s">
        <v>225</v>
      </c>
      <c r="B15" s="6">
        <v>2000</v>
      </c>
      <c r="C15" s="66">
        <v>55.36</v>
      </c>
      <c r="D15" s="234">
        <v>1</v>
      </c>
      <c r="E15" s="7"/>
      <c r="F15" s="39">
        <v>3</v>
      </c>
      <c r="G15" s="39">
        <v>2</v>
      </c>
      <c r="H15" s="39">
        <v>2</v>
      </c>
      <c r="I15" s="39">
        <v>1</v>
      </c>
      <c r="J15" s="39">
        <v>4</v>
      </c>
      <c r="K15" s="39">
        <v>4</v>
      </c>
      <c r="L15" s="39">
        <v>4</v>
      </c>
      <c r="M15" s="39">
        <v>4</v>
      </c>
      <c r="N15" s="357">
        <v>4</v>
      </c>
      <c r="O15" s="357">
        <v>4</v>
      </c>
      <c r="P15" s="357">
        <v>4</v>
      </c>
      <c r="Q15" s="357">
        <v>4</v>
      </c>
      <c r="R15" s="357">
        <v>4</v>
      </c>
      <c r="S15" s="357">
        <v>4</v>
      </c>
      <c r="T15" s="357">
        <v>4</v>
      </c>
      <c r="U15" s="357">
        <v>4</v>
      </c>
      <c r="V15" s="357">
        <v>4</v>
      </c>
      <c r="W15" s="357">
        <v>4</v>
      </c>
      <c r="X15" s="357">
        <v>4</v>
      </c>
      <c r="Y15" s="357">
        <v>4</v>
      </c>
      <c r="Z15" s="357">
        <v>4</v>
      </c>
      <c r="AA15" s="357"/>
      <c r="AB15" s="455"/>
      <c r="AC15" s="455"/>
      <c r="AD15" s="455"/>
      <c r="AE15" s="455"/>
      <c r="AF15" s="372">
        <f ca="1">AD15+IF(NOT(ISBLANK(OFFSET(AF15,0,6))),N(OFFSET(AF15,0,6)),N(OFFSET(AF15,0,7)))-AE15</f>
        <v>0</v>
      </c>
      <c r="AH15" s="78"/>
      <c r="AI15" s="7"/>
      <c r="AJ15" s="345"/>
      <c r="AK15" s="112">
        <v>0</v>
      </c>
      <c r="AL15" s="19">
        <v>0</v>
      </c>
      <c r="AM15" s="19">
        <v>0</v>
      </c>
      <c r="AN15" s="296"/>
      <c r="AO15" s="117">
        <v>1</v>
      </c>
      <c r="AP15" s="19"/>
      <c r="AQ15" s="19"/>
      <c r="AR15" s="19">
        <v>3</v>
      </c>
      <c r="AS15" s="19"/>
      <c r="AT15" s="19"/>
      <c r="AU15" s="19"/>
      <c r="AV15" s="19">
        <v>1</v>
      </c>
      <c r="AW15" s="19"/>
      <c r="AX15" s="19"/>
      <c r="AZ15" s="21" t="s">
        <v>146</v>
      </c>
      <c r="BA15" s="6">
        <v>200</v>
      </c>
      <c r="BB15" s="39">
        <f>AK15</f>
        <v>0</v>
      </c>
      <c r="BC15" s="39">
        <v>1</v>
      </c>
      <c r="BD15" s="39">
        <v>1</v>
      </c>
      <c r="BE15" s="39">
        <v>1</v>
      </c>
      <c r="BF15" s="39">
        <v>1</v>
      </c>
      <c r="BG15" s="39">
        <v>0</v>
      </c>
      <c r="BH15" s="39"/>
      <c r="BI15" s="6"/>
      <c r="BJ15" s="6"/>
      <c r="BK15" s="6"/>
      <c r="BL15" s="6"/>
      <c r="BM15" s="26">
        <f ca="1">BK15+IF(NOT(ISBLANK(OFFSET(BM15,0,6))),N(OFFSET(BM15,0,6)),N(OFFSET(BM15,0,7)))-BL15</f>
        <v>0</v>
      </c>
    </row>
    <row r="16" spans="1:65" s="3" customFormat="1" ht="18.75" x14ac:dyDescent="0.25">
      <c r="A16" s="25" t="s">
        <v>147</v>
      </c>
      <c r="B16" s="6">
        <v>200</v>
      </c>
      <c r="C16" s="66">
        <v>10.28</v>
      </c>
      <c r="D16" s="234">
        <v>2</v>
      </c>
      <c r="E16" s="1"/>
      <c r="F16" s="39">
        <f>4+AQ16</f>
        <v>4</v>
      </c>
      <c r="G16" s="39">
        <v>8</v>
      </c>
      <c r="H16" s="39">
        <v>8</v>
      </c>
      <c r="I16" s="39">
        <v>8</v>
      </c>
      <c r="J16" s="39">
        <v>8</v>
      </c>
      <c r="K16" s="39">
        <v>8</v>
      </c>
      <c r="L16" s="39">
        <v>7</v>
      </c>
      <c r="M16" s="39">
        <v>7</v>
      </c>
      <c r="N16" s="357">
        <v>7</v>
      </c>
      <c r="O16" s="357">
        <v>7</v>
      </c>
      <c r="P16" s="357">
        <v>7</v>
      </c>
      <c r="Q16" s="357">
        <v>7</v>
      </c>
      <c r="R16" s="357">
        <v>7</v>
      </c>
      <c r="S16" s="357">
        <v>7</v>
      </c>
      <c r="T16" s="357">
        <v>7</v>
      </c>
      <c r="U16" s="357">
        <v>7</v>
      </c>
      <c r="V16" s="357">
        <v>7</v>
      </c>
      <c r="W16" s="357">
        <v>7</v>
      </c>
      <c r="X16" s="357">
        <v>7</v>
      </c>
      <c r="Y16" s="357">
        <f>7-5</f>
        <v>2</v>
      </c>
      <c r="Z16" s="357">
        <v>2</v>
      </c>
      <c r="AA16" s="357"/>
      <c r="AB16" s="455"/>
      <c r="AC16" s="455"/>
      <c r="AD16" s="455"/>
      <c r="AE16" s="455"/>
      <c r="AF16" s="372">
        <f ca="1">AD16+IF(NOT(ISBLANK(OFFSET(AF16,0,6))),N(OFFSET(AF16,0,6)),N(OFFSET(AF16,0,7)))-AE16</f>
        <v>0</v>
      </c>
      <c r="AH16" s="78"/>
      <c r="AI16" s="1"/>
      <c r="AJ16" s="345"/>
      <c r="AK16" s="445">
        <v>0</v>
      </c>
      <c r="AL16" s="19">
        <v>0</v>
      </c>
      <c r="AM16" s="19">
        <v>0</v>
      </c>
      <c r="AN16" s="253" t="s">
        <v>327</v>
      </c>
      <c r="AO16" s="19"/>
      <c r="AP16" s="19"/>
      <c r="AQ16" s="19"/>
      <c r="AR16" s="19"/>
      <c r="AS16" s="19"/>
      <c r="AT16" s="19"/>
      <c r="AU16" s="19">
        <v>6</v>
      </c>
      <c r="AV16" s="19"/>
      <c r="AW16" s="19">
        <v>4</v>
      </c>
      <c r="AX16" s="19"/>
    </row>
    <row r="17" spans="1:65" s="3" customFormat="1" ht="18.75" x14ac:dyDescent="0.25">
      <c r="A17" s="25" t="s">
        <v>148</v>
      </c>
      <c r="B17" s="6">
        <v>3000</v>
      </c>
      <c r="C17" s="66">
        <v>71.8</v>
      </c>
      <c r="D17" s="234">
        <v>1</v>
      </c>
      <c r="E17" s="1"/>
      <c r="F17" s="39">
        <f>2+AQ17</f>
        <v>2</v>
      </c>
      <c r="G17" s="39">
        <v>3</v>
      </c>
      <c r="H17" s="39">
        <v>3</v>
      </c>
      <c r="I17" s="39">
        <v>6</v>
      </c>
      <c r="J17" s="39">
        <v>6</v>
      </c>
      <c r="K17" s="39">
        <v>6</v>
      </c>
      <c r="L17" s="39">
        <v>6</v>
      </c>
      <c r="M17" s="39">
        <v>6</v>
      </c>
      <c r="N17" s="357">
        <v>5</v>
      </c>
      <c r="O17" s="357">
        <v>5</v>
      </c>
      <c r="P17" s="357">
        <v>5</v>
      </c>
      <c r="Q17" s="357">
        <v>5</v>
      </c>
      <c r="R17" s="357">
        <v>5</v>
      </c>
      <c r="S17" s="357">
        <v>5</v>
      </c>
      <c r="T17" s="357">
        <v>5</v>
      </c>
      <c r="U17" s="357">
        <v>5</v>
      </c>
      <c r="V17" s="357">
        <v>5</v>
      </c>
      <c r="W17" s="357">
        <v>5</v>
      </c>
      <c r="X17" s="357">
        <v>5</v>
      </c>
      <c r="Y17" s="357">
        <v>5</v>
      </c>
      <c r="Z17" s="357">
        <v>4</v>
      </c>
      <c r="AA17" s="357"/>
      <c r="AB17" s="455"/>
      <c r="AC17" s="455"/>
      <c r="AD17" s="455"/>
      <c r="AE17" s="455"/>
      <c r="AF17" s="372">
        <f ca="1">AD17+IF(NOT(ISBLANK(OFFSET(AF17,0,6))),N(OFFSET(AF17,0,6)),N(OFFSET(AF17,0,7)))-AE17</f>
        <v>0</v>
      </c>
      <c r="AH17" s="411" t="s">
        <v>328</v>
      </c>
      <c r="AI17" s="1"/>
      <c r="AJ17" s="345"/>
      <c r="AK17" s="445">
        <v>0</v>
      </c>
      <c r="AL17" s="19">
        <v>0</v>
      </c>
      <c r="AM17" s="19">
        <v>0</v>
      </c>
      <c r="AN17" s="19"/>
      <c r="AO17" s="19"/>
      <c r="AP17" s="19"/>
      <c r="AQ17" s="19"/>
      <c r="AR17" s="19"/>
      <c r="AS17" s="19"/>
      <c r="AT17" s="19">
        <v>1</v>
      </c>
      <c r="AU17" s="19">
        <v>3</v>
      </c>
      <c r="AV17" s="19"/>
      <c r="AW17" s="19">
        <v>1</v>
      </c>
      <c r="AX17" s="19">
        <v>1</v>
      </c>
    </row>
    <row r="18" spans="1:65" s="3" customFormat="1" ht="14.25" customHeight="1" x14ac:dyDescent="0.25">
      <c r="A18" s="23"/>
      <c r="D18" s="235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1"/>
      <c r="AC18" s="1"/>
      <c r="AD18" s="1"/>
      <c r="AE18" s="1"/>
      <c r="AH18" s="341"/>
      <c r="AJ18" s="352"/>
      <c r="AK18" s="388"/>
      <c r="AL18" s="388"/>
      <c r="AM18" s="388"/>
      <c r="AN18" s="388"/>
      <c r="AO18" s="388"/>
      <c r="AP18" s="388"/>
      <c r="AQ18" s="388"/>
      <c r="AR18" s="388"/>
      <c r="AS18" s="388"/>
      <c r="AT18" s="388"/>
      <c r="AU18" s="388"/>
      <c r="AV18" s="388"/>
      <c r="AW18" s="388"/>
      <c r="AX18" s="388"/>
    </row>
    <row r="19" spans="1:65" s="3" customFormat="1" ht="18.75" x14ac:dyDescent="0.3">
      <c r="A19" s="24" t="s">
        <v>150</v>
      </c>
      <c r="B19" s="12"/>
      <c r="C19" s="61"/>
      <c r="D19" s="395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13">
        <v>46160</v>
      </c>
      <c r="AB19" s="13">
        <v>46161.480131284719</v>
      </c>
      <c r="AC19" s="13">
        <v>46161.480804942134</v>
      </c>
      <c r="AD19" s="13">
        <v>46161.482962106478</v>
      </c>
      <c r="AE19" s="13">
        <v>46161.483290792727</v>
      </c>
      <c r="AF19" s="35" t="s">
        <v>129</v>
      </c>
      <c r="AH19" s="29" t="s">
        <v>126</v>
      </c>
      <c r="AI19" s="11"/>
      <c r="AJ19" s="9" t="s">
        <v>127</v>
      </c>
      <c r="AK19" s="363">
        <v>46161.483290390883</v>
      </c>
      <c r="AL19" s="363"/>
      <c r="AM19" s="363">
        <v>46142</v>
      </c>
      <c r="AN19" s="339">
        <v>46148</v>
      </c>
      <c r="AO19" s="409">
        <v>46065</v>
      </c>
      <c r="AP19" s="363">
        <v>46092</v>
      </c>
      <c r="AQ19" s="363">
        <v>46048</v>
      </c>
      <c r="AR19" s="363">
        <v>46035</v>
      </c>
      <c r="AS19" s="371">
        <v>46037</v>
      </c>
      <c r="AT19" s="363">
        <v>46024</v>
      </c>
      <c r="AU19" s="363">
        <v>46007</v>
      </c>
      <c r="AV19" s="363">
        <v>46001</v>
      </c>
      <c r="AW19" s="363">
        <v>45994</v>
      </c>
      <c r="AX19" s="363">
        <v>45960</v>
      </c>
      <c r="AZ19" s="389" t="s">
        <v>150</v>
      </c>
      <c r="BA19" s="376" t="s">
        <v>123</v>
      </c>
      <c r="BB19" s="13">
        <v>46118</v>
      </c>
      <c r="BC19" s="13">
        <v>46125</v>
      </c>
      <c r="BD19" s="13">
        <v>46132</v>
      </c>
      <c r="BE19" s="13">
        <v>46139</v>
      </c>
      <c r="BF19" s="13">
        <v>46146</v>
      </c>
      <c r="BG19" s="13">
        <v>46154</v>
      </c>
      <c r="BH19" s="13">
        <v>46160</v>
      </c>
      <c r="BI19" s="13">
        <v>46161.480130972217</v>
      </c>
      <c r="BJ19" s="13">
        <v>46161.480804664352</v>
      </c>
      <c r="BK19" s="13">
        <v>46161.482961793983</v>
      </c>
      <c r="BL19" s="13">
        <v>46161.483290527212</v>
      </c>
      <c r="BM19" s="35" t="s">
        <v>129</v>
      </c>
    </row>
    <row r="20" spans="1:65" s="3" customFormat="1" ht="18.75" x14ac:dyDescent="0.3">
      <c r="A20" s="25" t="s">
        <v>153</v>
      </c>
      <c r="B20" s="6">
        <v>150</v>
      </c>
      <c r="C20" s="82">
        <v>334.31</v>
      </c>
      <c r="D20" s="234">
        <v>60</v>
      </c>
      <c r="E20" s="1"/>
      <c r="F20" s="27">
        <v>13</v>
      </c>
      <c r="G20" s="27">
        <v>9</v>
      </c>
      <c r="H20" s="27">
        <v>7</v>
      </c>
      <c r="I20" s="27">
        <v>14</v>
      </c>
      <c r="J20" s="27">
        <v>11</v>
      </c>
      <c r="K20" s="27">
        <v>6</v>
      </c>
      <c r="L20" s="27">
        <v>184</v>
      </c>
      <c r="M20" s="27">
        <v>168</v>
      </c>
      <c r="N20" s="27">
        <v>165</v>
      </c>
      <c r="O20" s="27">
        <v>155</v>
      </c>
      <c r="P20" s="27">
        <v>143</v>
      </c>
      <c r="Q20" s="27">
        <v>132</v>
      </c>
      <c r="R20" s="27">
        <v>128</v>
      </c>
      <c r="S20" s="27">
        <v>120</v>
      </c>
      <c r="T20" s="27">
        <v>117</v>
      </c>
      <c r="U20" s="27"/>
      <c r="V20" s="27"/>
      <c r="W20" s="27"/>
      <c r="X20" s="27">
        <v>107</v>
      </c>
      <c r="Y20" s="27">
        <v>107</v>
      </c>
      <c r="Z20" s="27">
        <v>106</v>
      </c>
      <c r="AA20" s="27">
        <v>100</v>
      </c>
      <c r="AB20" s="451">
        <v>100</v>
      </c>
      <c r="AC20" s="451">
        <v>100</v>
      </c>
      <c r="AD20" s="451">
        <v>100</v>
      </c>
      <c r="AE20" s="451">
        <v>100</v>
      </c>
      <c r="AF20" s="372">
        <f ca="1">AD20+IF(NOT(ISBLANK(OFFSET(AF20,0,6))),N(OFFSET(AF20,0,6)),N(OFFSET(AF20,0,7)))-AE20</f>
        <v>0</v>
      </c>
      <c r="AG20" s="362"/>
      <c r="AH20" s="78"/>
      <c r="AI20" s="1"/>
      <c r="AJ20" s="345"/>
      <c r="AK20" s="445">
        <v>0</v>
      </c>
      <c r="AL20" s="19">
        <v>0</v>
      </c>
      <c r="AM20" s="19">
        <v>0</v>
      </c>
      <c r="AN20" s="19"/>
      <c r="AO20" s="117"/>
      <c r="AP20" s="19"/>
      <c r="AQ20" s="19">
        <v>150</v>
      </c>
      <c r="AR20" s="19"/>
      <c r="AS20" s="19"/>
      <c r="AT20" s="19"/>
      <c r="AU20" s="19"/>
      <c r="AV20" s="19"/>
      <c r="AW20" s="19"/>
      <c r="AX20" s="19"/>
      <c r="AZ20" s="364" t="s">
        <v>154</v>
      </c>
      <c r="BA20" s="135">
        <v>150</v>
      </c>
      <c r="BB20" s="39">
        <v>0</v>
      </c>
      <c r="BC20" s="39"/>
      <c r="BD20" s="39"/>
      <c r="BE20" s="39">
        <v>36</v>
      </c>
      <c r="BF20" s="39">
        <v>34</v>
      </c>
      <c r="BG20" s="39">
        <v>2</v>
      </c>
      <c r="BH20" s="39">
        <v>1</v>
      </c>
      <c r="BI20" s="6"/>
      <c r="BJ20" s="6"/>
      <c r="BK20" s="6"/>
      <c r="BL20" s="6"/>
      <c r="BM20" s="26">
        <f ca="1">BK20+IF(NOT(ISBLANK(OFFSET(BM20,0,6))),N(OFFSET(BM20,0,6)),N(OFFSET(BM20,0,7)))-BL20</f>
        <v>0</v>
      </c>
    </row>
    <row r="21" spans="1:65" s="3" customFormat="1" ht="18.75" x14ac:dyDescent="0.3">
      <c r="A21" s="25" t="s">
        <v>155</v>
      </c>
      <c r="B21" s="6">
        <v>100</v>
      </c>
      <c r="C21" s="81">
        <v>292.25</v>
      </c>
      <c r="D21" s="236">
        <v>60</v>
      </c>
      <c r="E21" s="1"/>
      <c r="F21" s="27">
        <v>44</v>
      </c>
      <c r="G21" s="27">
        <v>38</v>
      </c>
      <c r="H21" s="27">
        <v>38</v>
      </c>
      <c r="I21" s="27">
        <v>28</v>
      </c>
      <c r="J21" s="27">
        <v>27</v>
      </c>
      <c r="K21" s="27">
        <v>19</v>
      </c>
      <c r="L21" s="27">
        <v>146</v>
      </c>
      <c r="M21" s="27">
        <v>124</v>
      </c>
      <c r="N21" s="27">
        <v>129</v>
      </c>
      <c r="O21" s="27">
        <v>109</v>
      </c>
      <c r="P21" s="27">
        <v>95</v>
      </c>
      <c r="Q21" s="27">
        <v>81</v>
      </c>
      <c r="R21" s="27">
        <v>73</v>
      </c>
      <c r="S21" s="27">
        <v>68</v>
      </c>
      <c r="T21" s="27">
        <v>57</v>
      </c>
      <c r="U21" s="27"/>
      <c r="V21" s="27"/>
      <c r="W21" s="27"/>
      <c r="X21" s="27">
        <v>31</v>
      </c>
      <c r="Y21" s="27">
        <v>26</v>
      </c>
      <c r="Z21" s="27">
        <v>72</v>
      </c>
      <c r="AA21" s="27">
        <v>65</v>
      </c>
      <c r="AB21" s="451">
        <v>65</v>
      </c>
      <c r="AC21" s="451">
        <v>65</v>
      </c>
      <c r="AD21" s="451">
        <v>65</v>
      </c>
      <c r="AE21" s="451">
        <v>65</v>
      </c>
      <c r="AF21" s="372">
        <f ca="1">AD21+IF(NOT(ISBLANK(OFFSET(AF21,0,6))),N(OFFSET(AF21,0,6)),N(OFFSET(AF21,0,7)))-AE21</f>
        <v>0</v>
      </c>
      <c r="AG21" s="362"/>
      <c r="AH21" s="78"/>
      <c r="AI21" s="1"/>
      <c r="AJ21" s="345"/>
      <c r="AK21" s="445">
        <v>0</v>
      </c>
      <c r="AL21" s="19">
        <v>0</v>
      </c>
      <c r="AM21" s="19">
        <v>0</v>
      </c>
      <c r="AN21" s="19"/>
      <c r="AO21" s="117"/>
      <c r="AP21" s="19"/>
      <c r="AQ21" s="19">
        <v>100</v>
      </c>
      <c r="AR21" s="19"/>
      <c r="AS21" s="19"/>
      <c r="AT21" s="19"/>
      <c r="AU21" s="19"/>
      <c r="AV21" s="19"/>
      <c r="AW21" s="19"/>
      <c r="AX21" s="19"/>
      <c r="AZ21" s="21" t="s">
        <v>156</v>
      </c>
      <c r="BA21" s="6">
        <v>100</v>
      </c>
      <c r="BB21" s="39">
        <v>0</v>
      </c>
      <c r="BC21" s="39"/>
      <c r="BD21" s="39"/>
      <c r="BE21" s="39">
        <v>29</v>
      </c>
      <c r="BF21" s="39">
        <v>27</v>
      </c>
      <c r="BG21" s="39">
        <v>1</v>
      </c>
      <c r="BH21" s="39">
        <v>1</v>
      </c>
      <c r="BI21" s="6"/>
      <c r="BJ21" s="6"/>
      <c r="BK21" s="6"/>
      <c r="BL21" s="6"/>
      <c r="BM21" s="26">
        <f ca="1">BK21+IF(NOT(ISBLANK(OFFSET(BM21,0,6))),N(OFFSET(BM21,0,6)),N(OFFSET(BM21,0,7)))-BL21</f>
        <v>0</v>
      </c>
    </row>
    <row r="22" spans="1:65" s="3" customFormat="1" ht="18.75" x14ac:dyDescent="0.3">
      <c r="A22" s="25" t="s">
        <v>157</v>
      </c>
      <c r="B22" s="6">
        <v>75</v>
      </c>
      <c r="C22" s="66">
        <v>425.38</v>
      </c>
      <c r="D22" s="234">
        <v>10</v>
      </c>
      <c r="E22" s="7"/>
      <c r="F22" s="27">
        <v>0</v>
      </c>
      <c r="G22" s="27">
        <v>0</v>
      </c>
      <c r="H22" s="27">
        <v>0</v>
      </c>
      <c r="I22" s="27">
        <v>0</v>
      </c>
      <c r="J22" s="27">
        <v>0</v>
      </c>
      <c r="K22" s="27">
        <v>0</v>
      </c>
      <c r="L22" s="27">
        <v>0</v>
      </c>
      <c r="M22" s="27">
        <v>0</v>
      </c>
      <c r="N22" s="27">
        <v>0</v>
      </c>
      <c r="O22" s="27">
        <v>0</v>
      </c>
      <c r="P22" s="27">
        <v>0</v>
      </c>
      <c r="Q22" s="27">
        <v>0</v>
      </c>
      <c r="R22" s="27">
        <v>0</v>
      </c>
      <c r="S22" s="27">
        <v>0</v>
      </c>
      <c r="T22" s="27">
        <v>0</v>
      </c>
      <c r="U22" s="27">
        <v>0</v>
      </c>
      <c r="V22" s="27">
        <v>0</v>
      </c>
      <c r="W22" s="27">
        <v>0</v>
      </c>
      <c r="X22" s="27">
        <v>0</v>
      </c>
      <c r="Y22" s="27">
        <v>0</v>
      </c>
      <c r="Z22" s="27">
        <v>4</v>
      </c>
      <c r="AA22" s="27">
        <v>4</v>
      </c>
      <c r="AB22" s="451">
        <v>4</v>
      </c>
      <c r="AC22" s="451">
        <v>4</v>
      </c>
      <c r="AD22" s="451">
        <v>4</v>
      </c>
      <c r="AE22" s="451">
        <v>4</v>
      </c>
      <c r="AF22" s="372">
        <f ca="1">AD22+IF(NOT(ISBLANK(OFFSET(AF22,0,6))),N(OFFSET(AF22,0,6)),N(OFFSET(AF22,0,7)))-AE22</f>
        <v>0</v>
      </c>
      <c r="AG22" s="362"/>
      <c r="AH22" s="78"/>
      <c r="AI22" s="7"/>
      <c r="AJ22" s="345"/>
      <c r="AK22" s="112">
        <v>0</v>
      </c>
      <c r="AL22" s="19">
        <v>0</v>
      </c>
      <c r="AM22" s="19">
        <v>0</v>
      </c>
      <c r="AN22" s="19"/>
      <c r="AO22" s="117"/>
      <c r="AP22" s="19"/>
      <c r="AQ22" s="19"/>
      <c r="AR22" s="19"/>
      <c r="AS22" s="19"/>
      <c r="AT22" s="19"/>
      <c r="AU22" s="19"/>
      <c r="AV22" s="19"/>
      <c r="AW22" s="19"/>
      <c r="AX22" s="19"/>
      <c r="AZ22" s="22" t="s">
        <v>158</v>
      </c>
      <c r="BA22" s="6">
        <v>200</v>
      </c>
      <c r="BB22" s="39">
        <v>0</v>
      </c>
      <c r="BC22" s="39"/>
      <c r="BD22" s="39"/>
      <c r="BE22" s="39">
        <v>16</v>
      </c>
      <c r="BF22" s="206">
        <v>20</v>
      </c>
      <c r="BG22" s="39">
        <v>0</v>
      </c>
      <c r="BH22" s="39">
        <v>0</v>
      </c>
      <c r="BI22" s="6"/>
      <c r="BJ22" s="6"/>
      <c r="BK22" s="6"/>
      <c r="BL22" s="6"/>
      <c r="BM22" s="26">
        <f ca="1">BK22+IF(NOT(ISBLANK(OFFSET(BM22,0,6))),N(OFFSET(BM22,0,6)),N(OFFSET(BM22,0,7)))-BL22</f>
        <v>0</v>
      </c>
    </row>
    <row r="23" spans="1:65" s="3" customFormat="1" ht="18.75" x14ac:dyDescent="0.3">
      <c r="A23" s="25" t="s">
        <v>159</v>
      </c>
      <c r="B23" s="6">
        <v>150</v>
      </c>
      <c r="C23" s="66">
        <v>427.5</v>
      </c>
      <c r="D23" s="234"/>
      <c r="E23" s="7"/>
      <c r="F23" s="2"/>
      <c r="G23" s="2"/>
      <c r="H23" s="2"/>
      <c r="I23" s="2"/>
      <c r="J23" s="2"/>
      <c r="K23" s="2"/>
      <c r="L23" s="2"/>
      <c r="M23" s="2"/>
      <c r="N23" s="27">
        <v>0</v>
      </c>
      <c r="O23" s="27">
        <v>0</v>
      </c>
      <c r="P23" s="27">
        <v>0</v>
      </c>
      <c r="Q23" s="290">
        <v>20</v>
      </c>
      <c r="R23" s="27">
        <v>13</v>
      </c>
      <c r="S23" s="27">
        <v>3</v>
      </c>
      <c r="T23" s="27">
        <v>0</v>
      </c>
      <c r="U23" s="27">
        <v>0</v>
      </c>
      <c r="V23" s="27">
        <v>0</v>
      </c>
      <c r="W23" s="27">
        <v>0</v>
      </c>
      <c r="X23" s="27">
        <v>0</v>
      </c>
      <c r="Y23" s="27">
        <v>0</v>
      </c>
      <c r="Z23" s="27">
        <v>0</v>
      </c>
      <c r="AA23" s="27">
        <v>0</v>
      </c>
      <c r="AB23" s="451">
        <v>0</v>
      </c>
      <c r="AC23" s="451">
        <v>0</v>
      </c>
      <c r="AD23" s="451">
        <v>0</v>
      </c>
      <c r="AE23" s="451">
        <v>0</v>
      </c>
      <c r="AF23" s="372">
        <f ca="1">AD23+IF(NOT(ISBLANK(OFFSET(AF23,0,6))),N(OFFSET(AF23,0,6)),N(OFFSET(AF23,0,7)))-AE23</f>
        <v>0</v>
      </c>
      <c r="AG23" s="362"/>
      <c r="AH23" s="78"/>
      <c r="AI23" s="7"/>
      <c r="AJ23" s="345"/>
      <c r="AK23" s="112">
        <v>0</v>
      </c>
      <c r="AL23" s="19">
        <v>0</v>
      </c>
      <c r="AM23" s="19">
        <v>0</v>
      </c>
      <c r="AN23" s="19"/>
      <c r="AO23" s="117"/>
      <c r="AP23" s="19"/>
      <c r="AQ23" s="19"/>
      <c r="AR23" s="19"/>
      <c r="AS23" s="19"/>
      <c r="AT23" s="19"/>
      <c r="AU23" s="19"/>
      <c r="AV23" s="75"/>
      <c r="AW23" s="75"/>
      <c r="AX23" s="75"/>
      <c r="AZ23" s="22" t="s">
        <v>160</v>
      </c>
      <c r="BA23" s="6">
        <v>150</v>
      </c>
      <c r="BB23" s="39">
        <v>0</v>
      </c>
      <c r="BC23" s="39"/>
      <c r="BD23" s="39"/>
      <c r="BE23" s="39">
        <v>23</v>
      </c>
      <c r="BF23" s="39">
        <v>17</v>
      </c>
      <c r="BG23" s="39">
        <v>3</v>
      </c>
      <c r="BH23" s="39">
        <v>3</v>
      </c>
      <c r="BI23" s="6"/>
      <c r="BJ23" s="6"/>
      <c r="BK23" s="6"/>
      <c r="BL23" s="6"/>
      <c r="BM23" s="26">
        <f ca="1">BK23+IF(NOT(ISBLANK(OFFSET(BM23,0,6))),N(OFFSET(BM23,0,6)),N(OFFSET(BM23,0,7)))-BL23</f>
        <v>0</v>
      </c>
    </row>
    <row r="24" spans="1:65" ht="18.75" x14ac:dyDescent="0.3">
      <c r="AG24" s="362"/>
      <c r="AH24" s="11"/>
      <c r="AJ24" s="34"/>
      <c r="AK24" s="11"/>
      <c r="AM24" s="11"/>
      <c r="AN24" s="11"/>
      <c r="AO24" s="11"/>
      <c r="AP24" s="11"/>
      <c r="AQ24" s="11"/>
      <c r="AR24" s="11"/>
      <c r="AT24" s="11"/>
      <c r="AU24" s="11"/>
      <c r="AV24" s="11"/>
      <c r="AW24" s="11"/>
      <c r="AX24" s="11"/>
    </row>
    <row r="25" spans="1:65" ht="18.75" x14ac:dyDescent="0.3">
      <c r="A25" s="378" t="s">
        <v>161</v>
      </c>
      <c r="B25" s="379" t="s">
        <v>123</v>
      </c>
      <c r="C25" s="379" t="s">
        <v>124</v>
      </c>
      <c r="D25" s="379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13">
        <v>46160</v>
      </c>
      <c r="AB25" s="13">
        <v>46161.480131284719</v>
      </c>
      <c r="AC25" s="13">
        <v>46161.480804942134</v>
      </c>
      <c r="AD25" s="13">
        <v>46161.482962106478</v>
      </c>
      <c r="AE25" s="13">
        <v>46161.483290792967</v>
      </c>
      <c r="AF25" s="35" t="s">
        <v>129</v>
      </c>
      <c r="AG25" s="362"/>
      <c r="AH25" s="11"/>
      <c r="AJ25" s="34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</row>
    <row r="26" spans="1:65" ht="18.75" x14ac:dyDescent="0.3">
      <c r="A26" s="384" t="s">
        <v>162</v>
      </c>
      <c r="B26" s="385">
        <v>100</v>
      </c>
      <c r="C26" s="199">
        <v>790</v>
      </c>
      <c r="D26" s="396"/>
      <c r="F26" s="39">
        <v>128</v>
      </c>
      <c r="G26" s="39">
        <v>119</v>
      </c>
      <c r="H26" s="39">
        <v>119</v>
      </c>
      <c r="I26" s="39">
        <v>119</v>
      </c>
      <c r="J26" s="39">
        <v>119</v>
      </c>
      <c r="K26" s="39">
        <v>119</v>
      </c>
      <c r="L26" s="39">
        <v>119</v>
      </c>
      <c r="M26" s="39">
        <v>119</v>
      </c>
      <c r="N26" s="39">
        <v>119</v>
      </c>
      <c r="O26" s="39">
        <v>119</v>
      </c>
      <c r="P26" s="39">
        <v>119</v>
      </c>
      <c r="Q26" s="39">
        <v>119</v>
      </c>
      <c r="R26" s="39">
        <v>119</v>
      </c>
      <c r="S26" s="39">
        <v>119</v>
      </c>
      <c r="T26" s="39">
        <v>119</v>
      </c>
      <c r="U26" s="39">
        <v>119</v>
      </c>
      <c r="V26" s="39">
        <v>119</v>
      </c>
      <c r="W26" s="39">
        <v>119</v>
      </c>
      <c r="X26" s="39">
        <v>119</v>
      </c>
      <c r="Y26" s="39">
        <v>119</v>
      </c>
      <c r="Z26" s="39">
        <v>124</v>
      </c>
      <c r="AA26" s="39">
        <v>124</v>
      </c>
      <c r="AB26" s="6">
        <v>124</v>
      </c>
      <c r="AC26" s="6">
        <v>124</v>
      </c>
      <c r="AD26" s="6">
        <v>124</v>
      </c>
      <c r="AE26" s="6">
        <v>124</v>
      </c>
      <c r="AF26" s="372">
        <f t="shared" ref="AF26:AF34" ca="1" si="0">AD26+IF(NOT(ISBLANK(OFFSET(AF26,0,6))),N(OFFSET(AF26,0,6)),N(OFFSET(AF26,0,7)))-AE26</f>
        <v>0</v>
      </c>
      <c r="AG26" s="362"/>
      <c r="AH26" s="11"/>
      <c r="AJ26" s="34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</row>
    <row r="27" spans="1:65" ht="18.75" x14ac:dyDescent="0.3">
      <c r="A27" s="386" t="s">
        <v>164</v>
      </c>
      <c r="B27" s="159">
        <v>100</v>
      </c>
      <c r="C27" s="200">
        <v>283</v>
      </c>
      <c r="D27" s="396"/>
      <c r="F27" s="39">
        <v>2</v>
      </c>
      <c r="G27" s="39">
        <v>2</v>
      </c>
      <c r="H27" s="39">
        <v>2</v>
      </c>
      <c r="I27" s="39">
        <v>2</v>
      </c>
      <c r="J27" s="39">
        <v>0</v>
      </c>
      <c r="K27" s="39">
        <v>0</v>
      </c>
      <c r="L27" s="39"/>
      <c r="M27" s="39"/>
      <c r="N27" s="39"/>
      <c r="O27" s="39"/>
      <c r="P27" s="39"/>
      <c r="Q27" s="39"/>
      <c r="R27" s="39">
        <v>2</v>
      </c>
      <c r="S27" s="39">
        <v>2</v>
      </c>
      <c r="T27" s="39">
        <v>2</v>
      </c>
      <c r="U27" s="39">
        <v>2</v>
      </c>
      <c r="V27" s="39">
        <v>2</v>
      </c>
      <c r="W27" s="39">
        <v>2</v>
      </c>
      <c r="X27" s="39">
        <v>2</v>
      </c>
      <c r="Y27" s="39">
        <v>2</v>
      </c>
      <c r="Z27" s="39">
        <v>2</v>
      </c>
      <c r="AA27" s="39">
        <v>2</v>
      </c>
      <c r="AB27" s="6">
        <v>2</v>
      </c>
      <c r="AC27" s="6">
        <v>2</v>
      </c>
      <c r="AD27" s="6">
        <v>2</v>
      </c>
      <c r="AE27" s="6">
        <v>2</v>
      </c>
      <c r="AF27" s="372">
        <f t="shared" ca="1" si="0"/>
        <v>0</v>
      </c>
      <c r="AG27" s="362"/>
      <c r="AH27" s="11"/>
      <c r="AJ27" s="34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</row>
    <row r="28" spans="1:65" ht="18.75" x14ac:dyDescent="0.3">
      <c r="A28" s="404" t="s">
        <v>226</v>
      </c>
      <c r="B28" s="405">
        <v>100</v>
      </c>
      <c r="C28" s="252">
        <v>841.1</v>
      </c>
      <c r="D28" s="396"/>
      <c r="F28" s="6">
        <v>8</v>
      </c>
      <c r="G28" s="6">
        <v>8</v>
      </c>
      <c r="H28" s="6">
        <v>8</v>
      </c>
      <c r="I28" s="6">
        <v>8</v>
      </c>
      <c r="J28" s="6">
        <v>8</v>
      </c>
      <c r="K28" s="6">
        <v>8</v>
      </c>
      <c r="L28" s="6">
        <v>8</v>
      </c>
      <c r="M28" s="6">
        <v>8</v>
      </c>
      <c r="N28" s="39">
        <v>8</v>
      </c>
      <c r="O28" s="39">
        <v>8</v>
      </c>
      <c r="P28" s="39">
        <v>8</v>
      </c>
      <c r="Q28" s="39">
        <v>8</v>
      </c>
      <c r="R28" s="39">
        <v>8</v>
      </c>
      <c r="S28" s="39">
        <v>8</v>
      </c>
      <c r="T28" s="39">
        <v>8</v>
      </c>
      <c r="U28" s="39">
        <v>8</v>
      </c>
      <c r="V28" s="39">
        <v>8</v>
      </c>
      <c r="W28" s="39">
        <v>8</v>
      </c>
      <c r="X28" s="39">
        <v>8</v>
      </c>
      <c r="Y28" s="39">
        <v>8</v>
      </c>
      <c r="Z28" s="39">
        <v>8</v>
      </c>
      <c r="AA28" s="39">
        <v>8</v>
      </c>
      <c r="AB28" s="6">
        <v>8</v>
      </c>
      <c r="AC28" s="6">
        <v>8</v>
      </c>
      <c r="AD28" s="6">
        <v>8</v>
      </c>
      <c r="AE28" s="6">
        <v>8</v>
      </c>
      <c r="AF28" s="372">
        <f t="shared" ca="1" si="0"/>
        <v>0</v>
      </c>
      <c r="AG28" s="362"/>
      <c r="AH28" s="11"/>
      <c r="AJ28" s="34"/>
      <c r="AK28" s="11"/>
      <c r="AL28" s="11"/>
      <c r="AM28" s="11"/>
      <c r="AN28" s="11"/>
      <c r="AO28" s="11"/>
      <c r="AP28" s="11"/>
      <c r="AQ28" s="401"/>
      <c r="AR28" s="401"/>
      <c r="AS28" s="41"/>
      <c r="AT28" s="401"/>
      <c r="AU28" s="401"/>
      <c r="AV28" s="401"/>
      <c r="AW28" s="401"/>
      <c r="AX28" s="401"/>
    </row>
    <row r="29" spans="1:65" ht="18.75" x14ac:dyDescent="0.3">
      <c r="A29" s="25" t="s">
        <v>169</v>
      </c>
      <c r="B29" s="6">
        <v>150</v>
      </c>
      <c r="C29" s="77">
        <v>805.35</v>
      </c>
      <c r="D29" s="396"/>
      <c r="F29" s="6">
        <v>80</v>
      </c>
      <c r="G29" s="6">
        <v>56</v>
      </c>
      <c r="H29" s="6">
        <v>53</v>
      </c>
      <c r="I29" s="6">
        <v>46</v>
      </c>
      <c r="J29" s="6">
        <v>42</v>
      </c>
      <c r="K29" s="6">
        <v>12</v>
      </c>
      <c r="L29" s="6">
        <v>15</v>
      </c>
      <c r="M29" s="6">
        <v>15</v>
      </c>
      <c r="N29" s="6">
        <v>15</v>
      </c>
      <c r="O29" s="6">
        <v>15</v>
      </c>
      <c r="P29" s="6">
        <v>15</v>
      </c>
      <c r="Q29" s="6">
        <v>15</v>
      </c>
      <c r="R29" s="6">
        <v>15</v>
      </c>
      <c r="S29" s="6">
        <v>15</v>
      </c>
      <c r="T29" s="6">
        <v>15</v>
      </c>
      <c r="U29" s="6">
        <v>15</v>
      </c>
      <c r="V29" s="6">
        <v>15</v>
      </c>
      <c r="W29" s="6">
        <v>15</v>
      </c>
      <c r="X29" s="6">
        <v>15</v>
      </c>
      <c r="Y29" s="6">
        <v>15</v>
      </c>
      <c r="Z29" s="6">
        <v>15</v>
      </c>
      <c r="AA29" s="6">
        <v>15</v>
      </c>
      <c r="AB29" s="6">
        <v>15</v>
      </c>
      <c r="AC29" s="6">
        <v>15</v>
      </c>
      <c r="AD29" s="6">
        <v>15</v>
      </c>
      <c r="AE29" s="6">
        <v>15</v>
      </c>
      <c r="AF29" s="372">
        <f t="shared" ca="1" si="0"/>
        <v>0</v>
      </c>
      <c r="AG29" s="362"/>
      <c r="AH29" s="401"/>
      <c r="AJ29" s="34"/>
      <c r="AK29" s="11"/>
      <c r="AL29" s="11"/>
      <c r="AM29" s="11"/>
      <c r="AN29" s="11"/>
      <c r="AO29" s="11"/>
      <c r="AP29" s="11"/>
      <c r="AQ29" s="41"/>
      <c r="AR29" s="41"/>
      <c r="AS29" s="41"/>
      <c r="AT29" s="41"/>
      <c r="AU29" s="41"/>
      <c r="AV29" s="41"/>
      <c r="AW29" s="41"/>
      <c r="AX29" s="41"/>
    </row>
    <row r="30" spans="1:65" ht="18.75" x14ac:dyDescent="0.3">
      <c r="A30" s="25" t="s">
        <v>170</v>
      </c>
      <c r="B30" s="6">
        <v>100</v>
      </c>
      <c r="C30" s="77">
        <v>792.2</v>
      </c>
      <c r="D30" s="396"/>
      <c r="F30" s="6">
        <v>15</v>
      </c>
      <c r="G30" s="6">
        <v>25</v>
      </c>
      <c r="H30" s="6">
        <v>24</v>
      </c>
      <c r="I30" s="6">
        <v>42</v>
      </c>
      <c r="J30" s="6">
        <v>42</v>
      </c>
      <c r="K30" s="6">
        <v>42</v>
      </c>
      <c r="L30" s="6">
        <v>42</v>
      </c>
      <c r="M30" s="6">
        <v>41</v>
      </c>
      <c r="N30" s="6">
        <v>41</v>
      </c>
      <c r="O30" s="6">
        <v>41</v>
      </c>
      <c r="P30" s="6">
        <v>41</v>
      </c>
      <c r="Q30" s="6">
        <v>41</v>
      </c>
      <c r="R30" s="6">
        <v>41</v>
      </c>
      <c r="S30" s="6">
        <v>41</v>
      </c>
      <c r="T30" s="6">
        <v>41</v>
      </c>
      <c r="U30" s="6">
        <v>41</v>
      </c>
      <c r="V30" s="6">
        <v>41</v>
      </c>
      <c r="W30" s="6">
        <v>41</v>
      </c>
      <c r="X30" s="6">
        <v>41</v>
      </c>
      <c r="Y30" s="6">
        <v>41</v>
      </c>
      <c r="Z30" s="6">
        <v>41</v>
      </c>
      <c r="AA30" s="6">
        <v>41</v>
      </c>
      <c r="AB30" s="6">
        <v>41</v>
      </c>
      <c r="AC30" s="6">
        <v>41</v>
      </c>
      <c r="AD30" s="6">
        <v>41</v>
      </c>
      <c r="AE30" s="6">
        <v>41</v>
      </c>
      <c r="AF30" s="372">
        <f t="shared" ca="1" si="0"/>
        <v>0</v>
      </c>
      <c r="AG30" s="362"/>
      <c r="AH30" s="401"/>
      <c r="AJ30" s="34"/>
      <c r="AK30" s="11"/>
      <c r="AL30" s="11"/>
      <c r="AM30" s="11"/>
      <c r="AN30" s="11"/>
      <c r="AO30" s="11"/>
      <c r="AP30" s="11"/>
      <c r="AQ30" s="41"/>
      <c r="AR30" s="41"/>
      <c r="AS30" s="41"/>
      <c r="AT30" s="41"/>
      <c r="AU30" s="41"/>
      <c r="AV30" s="41"/>
      <c r="AW30" s="41"/>
      <c r="AX30" s="41"/>
    </row>
    <row r="31" spans="1:65" ht="18.75" hidden="1" x14ac:dyDescent="0.3">
      <c r="A31" s="25" t="s">
        <v>171</v>
      </c>
      <c r="B31" s="6">
        <v>200</v>
      </c>
      <c r="C31" s="77">
        <v>487.2</v>
      </c>
      <c r="D31" s="396"/>
      <c r="F31" s="6">
        <v>71</v>
      </c>
      <c r="G31" s="6">
        <v>57</v>
      </c>
      <c r="H31" s="6">
        <v>37</v>
      </c>
      <c r="I31" s="6">
        <v>3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372">
        <f t="shared" ca="1" si="0"/>
        <v>0</v>
      </c>
      <c r="AG31" s="362"/>
      <c r="AH31" s="401"/>
      <c r="AJ31" s="34"/>
      <c r="AK31" s="11"/>
      <c r="AL31" s="11"/>
      <c r="AM31" s="11"/>
      <c r="AN31" s="11"/>
      <c r="AO31" s="11"/>
      <c r="AP31" s="11"/>
      <c r="AQ31" s="41"/>
      <c r="AR31" s="41"/>
      <c r="AS31" s="41"/>
      <c r="AT31" s="41"/>
      <c r="AU31" s="41"/>
      <c r="AV31" s="41"/>
      <c r="AW31" s="41"/>
      <c r="AX31" s="41"/>
    </row>
    <row r="32" spans="1:65" ht="18.75" hidden="1" x14ac:dyDescent="0.3">
      <c r="A32" s="25" t="s">
        <v>172</v>
      </c>
      <c r="B32" s="6">
        <v>150</v>
      </c>
      <c r="C32" s="77">
        <v>460.35</v>
      </c>
      <c r="D32" s="396"/>
      <c r="F32" s="6">
        <v>154</v>
      </c>
      <c r="G32" s="6">
        <v>122</v>
      </c>
      <c r="H32" s="6">
        <v>114</v>
      </c>
      <c r="I32" s="6">
        <v>5</v>
      </c>
      <c r="J32" s="6">
        <v>3</v>
      </c>
      <c r="K32" s="6">
        <v>1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372">
        <f t="shared" ca="1" si="0"/>
        <v>0</v>
      </c>
      <c r="AG32" s="362"/>
      <c r="AH32" s="401"/>
      <c r="AJ32" s="34"/>
      <c r="AK32" s="11"/>
      <c r="AL32" s="11"/>
      <c r="AM32" s="11"/>
      <c r="AN32" s="11"/>
      <c r="AO32" s="11"/>
      <c r="AP32" s="11"/>
      <c r="AQ32" s="41"/>
      <c r="AR32" s="41"/>
      <c r="AS32" s="41"/>
      <c r="AT32" s="41"/>
      <c r="AU32" s="41"/>
      <c r="AV32" s="41"/>
      <c r="AW32" s="41"/>
      <c r="AX32" s="41"/>
    </row>
    <row r="33" spans="1:65" ht="18.75" hidden="1" x14ac:dyDescent="0.3">
      <c r="A33" s="25" t="s">
        <v>173</v>
      </c>
      <c r="B33" s="6">
        <v>10</v>
      </c>
      <c r="C33" s="77">
        <v>120</v>
      </c>
      <c r="D33" s="396"/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39">
        <v>0</v>
      </c>
      <c r="O33" s="39">
        <v>0</v>
      </c>
      <c r="P33" s="39">
        <v>0</v>
      </c>
      <c r="Q33" s="39">
        <v>0</v>
      </c>
      <c r="R33" s="39">
        <v>0</v>
      </c>
      <c r="S33" s="39"/>
      <c r="T33" s="39"/>
      <c r="U33" s="39"/>
      <c r="V33" s="39"/>
      <c r="W33" s="39"/>
      <c r="X33" s="39"/>
      <c r="Y33" s="39"/>
      <c r="Z33" s="39"/>
      <c r="AA33" s="39"/>
      <c r="AB33" s="6"/>
      <c r="AC33" s="6"/>
      <c r="AD33" s="6"/>
      <c r="AE33" s="6"/>
      <c r="AF33" s="372">
        <f t="shared" ca="1" si="0"/>
        <v>0</v>
      </c>
      <c r="AG33" s="362"/>
      <c r="AH33" s="401"/>
      <c r="AJ33" s="34"/>
      <c r="AK33" s="11"/>
      <c r="AL33" s="11"/>
      <c r="AM33" s="11"/>
      <c r="AN33" s="11"/>
      <c r="AO33" s="11"/>
      <c r="AP33" s="11"/>
      <c r="AQ33" s="41"/>
      <c r="AR33" s="41"/>
      <c r="AS33" s="41"/>
      <c r="AT33" s="41"/>
      <c r="AU33" s="41"/>
      <c r="AV33" s="41"/>
      <c r="AW33" s="41"/>
      <c r="AX33" s="41"/>
    </row>
    <row r="34" spans="1:65" ht="18.75" x14ac:dyDescent="0.3">
      <c r="A34" s="283" t="s">
        <v>168</v>
      </c>
      <c r="B34" s="284">
        <v>100</v>
      </c>
      <c r="C34" s="285">
        <v>1490</v>
      </c>
      <c r="D34" s="396"/>
      <c r="R34" s="39">
        <v>4</v>
      </c>
      <c r="S34" s="39">
        <v>4</v>
      </c>
      <c r="T34" s="39">
        <v>4</v>
      </c>
      <c r="U34" s="39">
        <v>4</v>
      </c>
      <c r="V34" s="39">
        <v>4</v>
      </c>
      <c r="W34" s="39">
        <v>4</v>
      </c>
      <c r="X34" s="39">
        <v>4</v>
      </c>
      <c r="Y34" s="39">
        <v>4</v>
      </c>
      <c r="Z34" s="39">
        <v>4</v>
      </c>
      <c r="AA34" s="39">
        <v>4</v>
      </c>
      <c r="AB34" s="6">
        <v>4</v>
      </c>
      <c r="AC34" s="6">
        <v>4</v>
      </c>
      <c r="AD34" s="6">
        <v>4</v>
      </c>
      <c r="AE34" s="6">
        <v>4</v>
      </c>
      <c r="AF34" s="372">
        <f t="shared" ca="1" si="0"/>
        <v>0</v>
      </c>
      <c r="AG34" s="362"/>
      <c r="AH34" s="401"/>
      <c r="AJ34" s="34"/>
      <c r="AK34" s="11"/>
      <c r="AL34" s="11"/>
      <c r="AM34" s="11"/>
      <c r="AN34" s="11"/>
      <c r="AO34" s="11"/>
      <c r="AP34" s="11"/>
      <c r="AQ34" s="41"/>
      <c r="AR34" s="41"/>
      <c r="AS34" s="41"/>
      <c r="AT34" s="41"/>
      <c r="AU34" s="41"/>
      <c r="AV34" s="41"/>
      <c r="AW34" s="41"/>
      <c r="AX34" s="41"/>
    </row>
    <row r="35" spans="1:65" ht="18.75" x14ac:dyDescent="0.3">
      <c r="Z35" s="2"/>
      <c r="AA35" s="2"/>
      <c r="AB35" s="1"/>
      <c r="AC35" s="1"/>
      <c r="AD35" s="1"/>
      <c r="AE35" s="1"/>
      <c r="AG35" s="362"/>
      <c r="AH35" s="401"/>
      <c r="AJ35" s="34"/>
      <c r="AK35" s="11"/>
      <c r="AL35" s="11"/>
      <c r="AM35" s="11"/>
      <c r="AN35" s="11"/>
      <c r="AO35" s="11"/>
      <c r="AP35" s="11"/>
      <c r="AQ35" s="41"/>
      <c r="AR35" s="41"/>
      <c r="AS35" s="41"/>
      <c r="AT35" s="41"/>
      <c r="AU35" s="41"/>
      <c r="AV35" s="41"/>
      <c r="AW35" s="41"/>
      <c r="AX35" s="41"/>
    </row>
    <row r="36" spans="1:65" ht="21" customHeight="1" x14ac:dyDescent="0.3">
      <c r="A36" s="394" t="s">
        <v>174</v>
      </c>
      <c r="B36" s="394"/>
      <c r="C36" s="394"/>
      <c r="AG36" s="362"/>
      <c r="AH36" s="401"/>
      <c r="AJ36" s="34"/>
      <c r="AK36" s="11"/>
      <c r="AL36" s="11"/>
      <c r="AM36" s="11"/>
      <c r="AN36" s="11"/>
      <c r="AO36" s="11"/>
      <c r="AP36" s="11"/>
      <c r="AQ36" s="41"/>
      <c r="AR36" s="41"/>
      <c r="AS36" s="41"/>
      <c r="AT36" s="41"/>
      <c r="AU36" s="41"/>
      <c r="AV36" s="41"/>
      <c r="AW36" s="41"/>
      <c r="AX36" s="41"/>
    </row>
    <row r="37" spans="1:65" ht="18.75" x14ac:dyDescent="0.3">
      <c r="A37" s="361" t="s">
        <v>175</v>
      </c>
      <c r="B37" s="361"/>
      <c r="C37" s="361" t="s">
        <v>176</v>
      </c>
      <c r="E37" s="41"/>
      <c r="F37" s="41"/>
      <c r="G37" s="41"/>
      <c r="H37" s="41"/>
      <c r="I37" s="41"/>
      <c r="J37" s="41"/>
      <c r="K37" s="41"/>
      <c r="L37" s="41"/>
      <c r="M37" s="41"/>
      <c r="AF37" s="41"/>
      <c r="AG37" s="362"/>
      <c r="AH37" s="401"/>
      <c r="AI37" s="41"/>
      <c r="AJ37" s="34"/>
      <c r="AK37" s="11"/>
      <c r="AL37" s="11"/>
      <c r="AM37" s="11"/>
      <c r="AN37" s="11"/>
      <c r="AO37" s="11"/>
      <c r="AP37" s="11"/>
      <c r="AQ37" s="41"/>
      <c r="AR37" s="41"/>
      <c r="AS37" s="41"/>
      <c r="AT37" s="41"/>
      <c r="AU37" s="41"/>
      <c r="AV37" s="41"/>
      <c r="AW37" s="41"/>
      <c r="AX37" s="41"/>
    </row>
    <row r="38" spans="1:65" ht="18.75" x14ac:dyDescent="0.3">
      <c r="A38" s="402" t="s">
        <v>329</v>
      </c>
      <c r="B38" s="370"/>
      <c r="C38" s="357">
        <v>2</v>
      </c>
      <c r="AH38" s="11"/>
      <c r="AJ38" s="34"/>
      <c r="AK38" s="11"/>
      <c r="AL38" s="11"/>
      <c r="AM38" s="11"/>
      <c r="AN38" s="11"/>
      <c r="AO38" s="11"/>
      <c r="AP38" s="11"/>
      <c r="AQ38" s="41"/>
      <c r="AR38" s="41"/>
      <c r="AS38" s="41"/>
      <c r="AT38" s="41"/>
      <c r="AU38" s="41"/>
      <c r="AV38" s="41"/>
      <c r="AW38" s="41"/>
      <c r="AX38" s="41"/>
    </row>
    <row r="39" spans="1:65" ht="18.75" x14ac:dyDescent="0.3">
      <c r="A39" s="153"/>
      <c r="B39" s="153"/>
      <c r="C39" s="153"/>
      <c r="AH39" s="11"/>
      <c r="AJ39" s="34"/>
      <c r="AK39" s="11"/>
      <c r="AL39" s="11"/>
      <c r="AM39" s="11"/>
      <c r="AN39" s="401"/>
      <c r="AO39" s="11"/>
      <c r="AP39" s="11"/>
      <c r="AQ39" s="41"/>
      <c r="AR39" s="41"/>
      <c r="AS39" s="11"/>
      <c r="AT39" s="41"/>
      <c r="AU39" s="41"/>
      <c r="AV39" s="41"/>
      <c r="AW39" s="41"/>
      <c r="AX39" s="41"/>
    </row>
    <row r="40" spans="1:65" ht="18.75" x14ac:dyDescent="0.3">
      <c r="A40" s="152" t="s">
        <v>330</v>
      </c>
      <c r="B40" s="370"/>
      <c r="C40" s="357">
        <v>65</v>
      </c>
      <c r="AK40" s="401"/>
      <c r="AL40" s="11"/>
      <c r="AM40" s="401"/>
      <c r="AN40" s="401"/>
      <c r="AO40" s="401"/>
      <c r="AP40" s="401"/>
      <c r="AQ40" s="11"/>
      <c r="AR40" s="11"/>
      <c r="AS40" s="349"/>
      <c r="AT40" s="11"/>
      <c r="AU40" s="11"/>
      <c r="AV40" s="11"/>
      <c r="AW40" s="11"/>
      <c r="AX40" s="11"/>
    </row>
    <row r="41" spans="1:65" ht="18.75" x14ac:dyDescent="0.3">
      <c r="A41" s="153"/>
      <c r="B41" s="153"/>
      <c r="C41" s="153"/>
      <c r="AK41" s="401"/>
      <c r="AL41" s="401"/>
      <c r="AM41" s="401"/>
      <c r="AN41" s="41"/>
      <c r="AO41" s="401"/>
      <c r="AP41" s="401"/>
      <c r="AQ41" s="349"/>
      <c r="AR41" s="349"/>
      <c r="AS41" s="349"/>
      <c r="AT41" s="349"/>
      <c r="AU41" s="349"/>
      <c r="AV41" s="349"/>
      <c r="AW41" s="349"/>
      <c r="AX41" s="349"/>
      <c r="BG41" s="41"/>
      <c r="BH41" s="41"/>
      <c r="BI41" s="41"/>
      <c r="BJ41" s="41"/>
      <c r="BK41" s="41"/>
      <c r="BL41" s="41"/>
    </row>
    <row r="42" spans="1:65" ht="18.75" x14ac:dyDescent="0.3">
      <c r="A42" s="375" t="s">
        <v>331</v>
      </c>
      <c r="B42" s="370"/>
      <c r="C42" s="357">
        <v>90</v>
      </c>
      <c r="AK42" s="41"/>
      <c r="AL42" s="401"/>
      <c r="AM42" s="41"/>
      <c r="AN42" s="41"/>
      <c r="AO42" s="41"/>
      <c r="AP42" s="41"/>
      <c r="AQ42" s="349"/>
      <c r="AR42" s="349"/>
      <c r="AT42" s="349"/>
      <c r="AU42" s="349"/>
      <c r="AV42" s="349"/>
      <c r="AW42" s="349"/>
      <c r="AX42" s="349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</row>
    <row r="43" spans="1:65" ht="18.75" x14ac:dyDescent="0.3">
      <c r="A43" s="153"/>
      <c r="B43" s="153"/>
      <c r="C43" s="153"/>
      <c r="AK43" s="41"/>
      <c r="AL43" s="41"/>
      <c r="AM43" s="41"/>
      <c r="AN43" s="41"/>
      <c r="AO43" s="41"/>
      <c r="AP43" s="41"/>
      <c r="AZ43" s="41"/>
      <c r="BA43" s="41"/>
      <c r="BB43" s="41"/>
      <c r="BC43" s="41"/>
      <c r="BD43" s="41"/>
      <c r="BE43" s="41"/>
      <c r="BF43" s="41"/>
      <c r="BG43" s="41"/>
      <c r="BH43" s="41"/>
      <c r="BI43" s="41"/>
      <c r="BJ43" s="41"/>
      <c r="BK43" s="41"/>
      <c r="BL43" s="41"/>
      <c r="BM43" s="41"/>
    </row>
    <row r="44" spans="1:65" ht="18.75" x14ac:dyDescent="0.3">
      <c r="A44" s="226" t="s">
        <v>241</v>
      </c>
      <c r="B44" s="370"/>
      <c r="C44" s="357">
        <v>190</v>
      </c>
      <c r="AK44" s="41"/>
      <c r="AL44" s="41"/>
      <c r="AM44" s="41"/>
      <c r="AN44" s="41"/>
      <c r="AO44" s="41"/>
      <c r="AP44" s="41"/>
      <c r="AZ44" s="41"/>
      <c r="BA44" s="41"/>
      <c r="BB44" s="41"/>
      <c r="BC44" s="41"/>
      <c r="BD44" s="41"/>
      <c r="BE44" s="41"/>
      <c r="BF44" s="41"/>
      <c r="BG44" s="41"/>
      <c r="BH44" s="41"/>
      <c r="BI44" s="41"/>
      <c r="BJ44" s="41"/>
      <c r="BK44" s="41"/>
      <c r="BL44" s="41"/>
      <c r="BM44" s="41"/>
    </row>
    <row r="45" spans="1:65" ht="18.75" x14ac:dyDescent="0.3">
      <c r="A45" s="153"/>
      <c r="B45" s="153"/>
      <c r="C45" s="153"/>
      <c r="AK45" s="41"/>
      <c r="AL45" s="41"/>
      <c r="AM45" s="41"/>
      <c r="AO45" s="41"/>
      <c r="AP45" s="41"/>
      <c r="AZ45" s="41"/>
      <c r="BA45" s="41"/>
      <c r="BB45" s="41"/>
      <c r="BC45" s="41"/>
      <c r="BD45" s="41"/>
      <c r="BE45" s="41"/>
      <c r="BF45" s="41"/>
      <c r="BM45" s="41"/>
    </row>
    <row r="46" spans="1:65" ht="18.75" x14ac:dyDescent="0.3">
      <c r="A46" s="181" t="s">
        <v>265</v>
      </c>
      <c r="B46" s="370"/>
      <c r="C46" s="357">
        <v>145</v>
      </c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AL46" s="41"/>
      <c r="AS46" s="11"/>
    </row>
    <row r="47" spans="1:65" ht="18.75" x14ac:dyDescent="0.3">
      <c r="A47" s="153"/>
      <c r="B47" s="153"/>
      <c r="C47" s="153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N47" s="11"/>
      <c r="AQ47" s="11"/>
      <c r="AR47" s="11"/>
      <c r="AS47" s="11"/>
      <c r="AT47" s="11"/>
      <c r="AU47" s="11"/>
      <c r="AV47" s="11"/>
      <c r="AW47" s="11"/>
      <c r="AX47" s="11"/>
    </row>
    <row r="48" spans="1:65" ht="18.75" x14ac:dyDescent="0.3">
      <c r="A48" s="247" t="s">
        <v>243</v>
      </c>
      <c r="B48" s="370"/>
      <c r="C48" s="357">
        <v>190</v>
      </c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K48" s="11"/>
      <c r="AM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</row>
    <row r="49" spans="1:50" ht="18.75" x14ac:dyDescent="0.3"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L49" s="11"/>
      <c r="AQ49" s="11"/>
      <c r="AR49" s="11"/>
      <c r="AT49" s="11"/>
      <c r="AU49" s="11"/>
      <c r="AV49" s="11"/>
      <c r="AW49" s="11"/>
      <c r="AX49" s="11"/>
    </row>
    <row r="50" spans="1:50" ht="18.75" x14ac:dyDescent="0.25">
      <c r="A50" s="472" t="s">
        <v>177</v>
      </c>
      <c r="B50" s="467"/>
      <c r="C50" s="467"/>
      <c r="D50" s="469"/>
      <c r="F50" s="356">
        <v>46013</v>
      </c>
      <c r="G50" s="356">
        <v>46020</v>
      </c>
      <c r="H50" s="356">
        <v>46027</v>
      </c>
      <c r="I50" s="356">
        <v>46034</v>
      </c>
      <c r="J50" s="356">
        <v>46041</v>
      </c>
      <c r="K50" s="356">
        <v>46048</v>
      </c>
      <c r="L50" s="356">
        <v>46055</v>
      </c>
      <c r="M50" s="356">
        <v>46062</v>
      </c>
      <c r="N50" s="356">
        <v>46069</v>
      </c>
      <c r="O50" s="356">
        <v>46076</v>
      </c>
      <c r="P50" s="356">
        <v>46083</v>
      </c>
      <c r="Q50" s="356">
        <v>46090</v>
      </c>
      <c r="R50" s="356">
        <v>46097</v>
      </c>
      <c r="S50" s="356">
        <v>46104</v>
      </c>
      <c r="T50" s="356">
        <v>46111</v>
      </c>
      <c r="U50" s="356">
        <v>46118</v>
      </c>
      <c r="V50" s="356">
        <v>46125</v>
      </c>
      <c r="W50" s="356">
        <v>46132</v>
      </c>
      <c r="X50" s="356">
        <v>46139</v>
      </c>
      <c r="Y50" s="356">
        <v>46146</v>
      </c>
      <c r="Z50" s="356">
        <v>46154</v>
      </c>
      <c r="AA50" s="356">
        <v>46160</v>
      </c>
      <c r="AB50" s="356">
        <v>46161.480131284719</v>
      </c>
      <c r="AC50" s="356">
        <v>46161.480804942134</v>
      </c>
      <c r="AD50" s="356">
        <v>46161.482962106478</v>
      </c>
      <c r="AE50" s="356">
        <v>46161.483290793658</v>
      </c>
    </row>
    <row r="51" spans="1:50" ht="18.75" x14ac:dyDescent="0.25">
      <c r="A51" s="470" t="s">
        <v>193</v>
      </c>
      <c r="B51" s="467"/>
      <c r="C51" s="467"/>
      <c r="D51" s="469"/>
      <c r="F51" s="358">
        <v>5</v>
      </c>
      <c r="G51" s="358">
        <v>0</v>
      </c>
      <c r="H51" s="358">
        <v>0</v>
      </c>
      <c r="I51" s="358">
        <v>0</v>
      </c>
      <c r="J51" s="358">
        <v>0</v>
      </c>
      <c r="K51" s="358">
        <v>0</v>
      </c>
      <c r="L51" s="358">
        <v>0</v>
      </c>
      <c r="M51" s="358">
        <v>0</v>
      </c>
      <c r="N51" s="358">
        <v>0</v>
      </c>
      <c r="O51" s="358">
        <v>0</v>
      </c>
      <c r="P51" s="358">
        <v>0</v>
      </c>
      <c r="Q51" s="358">
        <v>0</v>
      </c>
      <c r="R51" s="358">
        <v>0</v>
      </c>
      <c r="S51" s="358">
        <v>0</v>
      </c>
      <c r="T51" s="358">
        <v>0</v>
      </c>
      <c r="U51" s="358">
        <v>0</v>
      </c>
      <c r="V51" s="358">
        <v>0</v>
      </c>
      <c r="W51" s="358">
        <v>0</v>
      </c>
      <c r="X51" s="358">
        <v>0</v>
      </c>
      <c r="Y51" s="358">
        <v>0</v>
      </c>
      <c r="Z51" s="358">
        <v>0</v>
      </c>
      <c r="AA51" s="358"/>
      <c r="AB51" s="448"/>
      <c r="AC51" s="448"/>
      <c r="AD51" s="448"/>
      <c r="AE51" s="448"/>
    </row>
    <row r="52" spans="1:50" ht="18.75" x14ac:dyDescent="0.25">
      <c r="A52" s="470" t="s">
        <v>192</v>
      </c>
      <c r="B52" s="467"/>
      <c r="C52" s="467"/>
      <c r="D52" s="469"/>
      <c r="F52" s="358">
        <v>6</v>
      </c>
      <c r="G52" s="358">
        <v>3</v>
      </c>
      <c r="H52" s="358">
        <v>3</v>
      </c>
      <c r="I52" s="358">
        <v>3</v>
      </c>
      <c r="J52" s="358">
        <v>0</v>
      </c>
      <c r="K52" s="358">
        <v>0</v>
      </c>
      <c r="L52" s="358">
        <v>0</v>
      </c>
      <c r="M52" s="358">
        <v>0</v>
      </c>
      <c r="N52" s="358">
        <v>0</v>
      </c>
      <c r="O52" s="358">
        <v>0</v>
      </c>
      <c r="P52" s="358">
        <v>0</v>
      </c>
      <c r="Q52" s="358">
        <v>0</v>
      </c>
      <c r="R52" s="358">
        <v>0</v>
      </c>
      <c r="S52" s="358">
        <v>0</v>
      </c>
      <c r="T52" s="358">
        <v>0</v>
      </c>
      <c r="U52" s="358">
        <v>0</v>
      </c>
      <c r="V52" s="358">
        <v>0</v>
      </c>
      <c r="W52" s="358">
        <v>0</v>
      </c>
      <c r="X52" s="358">
        <v>0</v>
      </c>
      <c r="Y52" s="358">
        <v>0</v>
      </c>
      <c r="Z52" s="358">
        <v>0</v>
      </c>
      <c r="AA52" s="358"/>
      <c r="AB52" s="448"/>
      <c r="AC52" s="448"/>
      <c r="AD52" s="448"/>
      <c r="AE52" s="448"/>
    </row>
    <row r="53" spans="1:50" ht="18.75" x14ac:dyDescent="0.25">
      <c r="A53" s="470" t="s">
        <v>221</v>
      </c>
      <c r="B53" s="467"/>
      <c r="C53" s="467"/>
      <c r="D53" s="469"/>
      <c r="F53" s="358">
        <v>0</v>
      </c>
      <c r="G53" s="358">
        <v>0</v>
      </c>
      <c r="H53" s="358">
        <v>0</v>
      </c>
      <c r="I53" s="358">
        <v>0</v>
      </c>
      <c r="J53" s="358">
        <v>0</v>
      </c>
      <c r="K53" s="358">
        <v>0</v>
      </c>
      <c r="L53" s="358">
        <v>0</v>
      </c>
      <c r="M53" s="358">
        <v>0</v>
      </c>
      <c r="N53" s="358">
        <v>0</v>
      </c>
      <c r="O53" s="358">
        <v>0</v>
      </c>
      <c r="P53" s="358">
        <v>0</v>
      </c>
      <c r="Q53" s="358">
        <v>0</v>
      </c>
      <c r="R53" s="358">
        <v>0</v>
      </c>
      <c r="S53" s="358">
        <v>0</v>
      </c>
      <c r="T53" s="358">
        <v>0</v>
      </c>
      <c r="U53" s="358">
        <v>0</v>
      </c>
      <c r="V53" s="358">
        <v>0</v>
      </c>
      <c r="W53" s="358">
        <v>0</v>
      </c>
      <c r="X53" s="358">
        <v>0</v>
      </c>
      <c r="Y53" s="358">
        <v>0</v>
      </c>
      <c r="Z53" s="358">
        <v>0</v>
      </c>
      <c r="AA53" s="358"/>
      <c r="AB53" s="448"/>
      <c r="AC53" s="448"/>
      <c r="AD53" s="448"/>
      <c r="AE53" s="448"/>
    </row>
    <row r="54" spans="1:50" ht="18.75" x14ac:dyDescent="0.25">
      <c r="A54" s="470" t="s">
        <v>178</v>
      </c>
      <c r="B54" s="467"/>
      <c r="C54" s="467"/>
      <c r="D54" s="469"/>
      <c r="F54" s="358">
        <v>70</v>
      </c>
      <c r="G54" s="358">
        <v>56</v>
      </c>
      <c r="H54" s="358">
        <v>56</v>
      </c>
      <c r="I54" s="358">
        <v>56</v>
      </c>
      <c r="J54" s="358">
        <v>40</v>
      </c>
      <c r="K54" s="358">
        <v>40</v>
      </c>
      <c r="L54" s="358">
        <v>36</v>
      </c>
      <c r="M54" s="358">
        <v>36</v>
      </c>
      <c r="N54" s="358">
        <v>36</v>
      </c>
      <c r="O54" s="358">
        <v>36</v>
      </c>
      <c r="P54" s="358">
        <v>36</v>
      </c>
      <c r="Q54" s="358">
        <v>36</v>
      </c>
      <c r="R54" s="358">
        <v>35</v>
      </c>
      <c r="S54" s="358">
        <v>35</v>
      </c>
      <c r="T54" s="358">
        <v>35</v>
      </c>
      <c r="U54" s="358">
        <v>33</v>
      </c>
      <c r="V54" s="358">
        <v>33</v>
      </c>
      <c r="W54" s="358">
        <v>33</v>
      </c>
      <c r="X54" s="358">
        <v>33</v>
      </c>
      <c r="Y54" s="358">
        <v>0</v>
      </c>
      <c r="Z54" s="358">
        <v>28</v>
      </c>
      <c r="AA54" s="358"/>
      <c r="AB54" s="448"/>
      <c r="AC54" s="448"/>
      <c r="AD54" s="448"/>
      <c r="AE54" s="448"/>
    </row>
    <row r="55" spans="1:50" ht="18.75" x14ac:dyDescent="0.25">
      <c r="A55" s="470" t="s">
        <v>179</v>
      </c>
      <c r="B55" s="467"/>
      <c r="C55" s="467"/>
      <c r="D55" s="469"/>
      <c r="F55" s="358">
        <v>12</v>
      </c>
      <c r="G55" s="358">
        <v>5</v>
      </c>
      <c r="H55" s="358">
        <v>5</v>
      </c>
      <c r="I55" s="358">
        <v>5</v>
      </c>
      <c r="J55" s="358">
        <v>4</v>
      </c>
      <c r="K55" s="358">
        <v>4</v>
      </c>
      <c r="L55" s="358">
        <v>4</v>
      </c>
      <c r="M55" s="358">
        <v>4</v>
      </c>
      <c r="N55" s="358">
        <v>4</v>
      </c>
      <c r="O55" s="358">
        <v>4</v>
      </c>
      <c r="P55" s="358">
        <v>4</v>
      </c>
      <c r="Q55" s="358">
        <v>4</v>
      </c>
      <c r="R55" s="358">
        <v>15</v>
      </c>
      <c r="S55" s="358">
        <v>15</v>
      </c>
      <c r="T55" s="358">
        <v>15</v>
      </c>
      <c r="U55" s="358">
        <v>14</v>
      </c>
      <c r="V55" s="358">
        <v>14</v>
      </c>
      <c r="W55" s="358">
        <v>14</v>
      </c>
      <c r="X55" s="358">
        <v>14</v>
      </c>
      <c r="Y55" s="358">
        <v>0</v>
      </c>
      <c r="Z55" s="358">
        <v>13</v>
      </c>
      <c r="AA55" s="358"/>
      <c r="AB55" s="448"/>
      <c r="AC55" s="448"/>
      <c r="AD55" s="448"/>
      <c r="AE55" s="448"/>
    </row>
    <row r="56" spans="1:50" ht="18.75" x14ac:dyDescent="0.25">
      <c r="A56" s="470" t="s">
        <v>332</v>
      </c>
      <c r="B56" s="467"/>
      <c r="C56" s="467"/>
      <c r="D56" s="469"/>
      <c r="F56" s="358"/>
      <c r="G56" s="358"/>
      <c r="H56" s="358"/>
      <c r="I56" s="358"/>
      <c r="J56" s="358"/>
      <c r="K56" s="358"/>
      <c r="L56" s="358"/>
      <c r="M56" s="358"/>
      <c r="N56" s="358">
        <v>0</v>
      </c>
      <c r="O56" s="358">
        <v>0</v>
      </c>
      <c r="P56" s="358">
        <v>0</v>
      </c>
      <c r="Q56" s="358">
        <v>0</v>
      </c>
      <c r="R56" s="358">
        <v>0</v>
      </c>
      <c r="S56" s="358">
        <v>4</v>
      </c>
      <c r="T56" s="358">
        <v>4</v>
      </c>
      <c r="U56" s="358">
        <v>3</v>
      </c>
      <c r="V56" s="358">
        <v>3</v>
      </c>
      <c r="W56" s="358">
        <v>3</v>
      </c>
      <c r="X56" s="358">
        <v>3</v>
      </c>
      <c r="Y56" s="358">
        <v>0</v>
      </c>
      <c r="Z56" s="358">
        <v>3</v>
      </c>
      <c r="AA56" s="358"/>
      <c r="AB56" s="448"/>
      <c r="AC56" s="448"/>
      <c r="AD56" s="448"/>
      <c r="AE56" s="448"/>
    </row>
    <row r="57" spans="1:50" ht="18.75" x14ac:dyDescent="0.25">
      <c r="A57" s="470" t="s">
        <v>333</v>
      </c>
      <c r="B57" s="467"/>
      <c r="C57" s="467"/>
      <c r="D57" s="469"/>
      <c r="F57" s="358"/>
      <c r="G57" s="358"/>
      <c r="H57" s="358"/>
      <c r="I57" s="358"/>
      <c r="J57" s="358"/>
      <c r="K57" s="358"/>
      <c r="L57" s="358"/>
      <c r="M57" s="358"/>
      <c r="N57" s="358">
        <v>0</v>
      </c>
      <c r="O57" s="358">
        <v>0</v>
      </c>
      <c r="P57" s="358">
        <v>0</v>
      </c>
      <c r="Q57" s="358">
        <v>0</v>
      </c>
      <c r="R57" s="358">
        <v>0</v>
      </c>
      <c r="S57" s="358">
        <v>10</v>
      </c>
      <c r="T57" s="358">
        <v>10</v>
      </c>
      <c r="U57" s="358">
        <v>10</v>
      </c>
      <c r="V57" s="358">
        <v>10</v>
      </c>
      <c r="W57" s="358">
        <v>10</v>
      </c>
      <c r="X57" s="358">
        <v>10</v>
      </c>
      <c r="Y57" s="358">
        <v>0</v>
      </c>
      <c r="Z57" s="358">
        <v>0</v>
      </c>
      <c r="AA57" s="358"/>
      <c r="AB57" s="448"/>
      <c r="AC57" s="448"/>
      <c r="AD57" s="448"/>
      <c r="AE57" s="448"/>
    </row>
    <row r="58" spans="1:50" ht="18.75" x14ac:dyDescent="0.25">
      <c r="A58" s="335" t="s">
        <v>334</v>
      </c>
      <c r="B58" s="336"/>
      <c r="C58" s="336"/>
      <c r="D58" s="337"/>
      <c r="F58" s="358"/>
      <c r="G58" s="358"/>
      <c r="H58" s="358"/>
      <c r="I58" s="358"/>
      <c r="J58" s="358"/>
      <c r="K58" s="358"/>
      <c r="L58" s="358"/>
      <c r="M58" s="358"/>
      <c r="N58" s="358"/>
      <c r="O58" s="358"/>
      <c r="P58" s="358"/>
      <c r="Q58" s="358"/>
      <c r="R58" s="358">
        <v>0</v>
      </c>
      <c r="S58" s="358">
        <v>0</v>
      </c>
      <c r="T58" s="358">
        <v>0</v>
      </c>
      <c r="U58" s="358">
        <v>0</v>
      </c>
      <c r="V58" s="358">
        <v>3</v>
      </c>
      <c r="W58" s="358">
        <v>3</v>
      </c>
      <c r="X58" s="358">
        <v>2</v>
      </c>
      <c r="Y58" s="358">
        <v>0</v>
      </c>
      <c r="Z58" s="358">
        <v>2</v>
      </c>
      <c r="AA58" s="358"/>
      <c r="AB58" s="448"/>
      <c r="AC58" s="448"/>
      <c r="AD58" s="448"/>
      <c r="AE58" s="448"/>
    </row>
    <row r="59" spans="1:50" ht="18.75" x14ac:dyDescent="0.25">
      <c r="A59" s="335" t="s">
        <v>335</v>
      </c>
      <c r="B59" s="336"/>
      <c r="C59" s="336"/>
      <c r="D59" s="337"/>
      <c r="R59" s="358">
        <v>0</v>
      </c>
      <c r="S59" s="358">
        <v>0</v>
      </c>
      <c r="T59" s="358">
        <v>0</v>
      </c>
      <c r="U59" s="358">
        <v>0</v>
      </c>
      <c r="V59" s="358">
        <v>0</v>
      </c>
      <c r="W59" s="358">
        <v>39</v>
      </c>
      <c r="X59" s="358">
        <v>38</v>
      </c>
      <c r="Y59" s="358">
        <v>0</v>
      </c>
      <c r="Z59" s="358">
        <v>41</v>
      </c>
      <c r="AA59" s="358"/>
      <c r="AB59" s="448"/>
      <c r="AC59" s="448"/>
      <c r="AD59" s="448"/>
      <c r="AE59" s="448"/>
    </row>
    <row r="60" spans="1:50" ht="18.75" x14ac:dyDescent="0.25">
      <c r="A60" s="335" t="s">
        <v>336</v>
      </c>
      <c r="B60" s="336"/>
      <c r="C60" s="336"/>
      <c r="D60" s="337"/>
      <c r="R60" s="358">
        <v>0</v>
      </c>
      <c r="S60" s="358">
        <v>0</v>
      </c>
      <c r="T60" s="358">
        <v>0</v>
      </c>
      <c r="U60" s="358">
        <v>0</v>
      </c>
      <c r="V60" s="358">
        <v>0</v>
      </c>
      <c r="W60" s="358">
        <v>39</v>
      </c>
      <c r="X60" s="358">
        <v>38</v>
      </c>
      <c r="Y60" s="358">
        <v>0</v>
      </c>
      <c r="Z60" s="358">
        <v>25</v>
      </c>
      <c r="AA60" s="358"/>
      <c r="AB60" s="448"/>
      <c r="AC60" s="448"/>
      <c r="AD60" s="448"/>
      <c r="AE60" s="448"/>
    </row>
    <row r="61" spans="1:50" ht="18.75" x14ac:dyDescent="0.25">
      <c r="A61" s="335" t="s">
        <v>337</v>
      </c>
      <c r="B61" s="336"/>
      <c r="C61" s="336"/>
      <c r="D61" s="337"/>
      <c r="R61" s="358"/>
      <c r="S61" s="358"/>
      <c r="T61" s="358"/>
      <c r="U61" s="358"/>
      <c r="V61" s="358"/>
      <c r="W61" s="358"/>
      <c r="X61" s="358"/>
      <c r="Y61" s="358">
        <v>0</v>
      </c>
      <c r="Z61" s="358">
        <v>103</v>
      </c>
      <c r="AA61" s="358"/>
      <c r="AB61" s="448"/>
      <c r="AC61" s="448"/>
      <c r="AD61" s="448"/>
      <c r="AE61" s="448"/>
    </row>
    <row r="62" spans="1:50" ht="18.75" x14ac:dyDescent="0.25">
      <c r="A62" s="470"/>
      <c r="B62" s="467"/>
      <c r="C62" s="467"/>
      <c r="D62" s="469"/>
      <c r="R62" s="358"/>
      <c r="S62" s="358"/>
      <c r="T62" s="358"/>
      <c r="U62" s="358"/>
      <c r="V62" s="358"/>
      <c r="W62" s="358"/>
      <c r="X62" s="358"/>
      <c r="Y62" s="358"/>
      <c r="Z62" s="358"/>
      <c r="AA62" s="358"/>
      <c r="AB62" s="448"/>
      <c r="AC62" s="448"/>
      <c r="AD62" s="448"/>
      <c r="AE62" s="448"/>
    </row>
  </sheetData>
  <mergeCells count="17">
    <mergeCell ref="A1:AA1"/>
    <mergeCell ref="B5:B6"/>
    <mergeCell ref="B2:D2"/>
    <mergeCell ref="D5:D6"/>
    <mergeCell ref="A62:D62"/>
    <mergeCell ref="A54:D54"/>
    <mergeCell ref="A55:D55"/>
    <mergeCell ref="A52:D52"/>
    <mergeCell ref="C5:C6"/>
    <mergeCell ref="A57:D57"/>
    <mergeCell ref="A51:D51"/>
    <mergeCell ref="A5:A6"/>
    <mergeCell ref="AV7:BD7"/>
    <mergeCell ref="A56:D56"/>
    <mergeCell ref="B3:D3"/>
    <mergeCell ref="A53:D53"/>
    <mergeCell ref="A50:D50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59" fitToHeight="0" orientation="landscape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62">
    <tabColor theme="9"/>
  </sheetPr>
  <dimension ref="A1:BB62"/>
  <sheetViews>
    <sheetView showGridLines="0" zoomScale="80" zoomScaleNormal="80" zoomScaleSheetLayoutView="70" workbookViewId="0">
      <selection activeCell="AA14" activeCellId="1" sqref="AA8:AA11 AA14:AA17"/>
    </sheetView>
  </sheetViews>
  <sheetFormatPr defaultColWidth="9.140625" defaultRowHeight="18.75" x14ac:dyDescent="0.3"/>
  <cols>
    <col min="1" max="1" width="27.85546875" style="62" customWidth="1"/>
    <col min="2" max="2" width="9.140625" style="11" customWidth="1"/>
    <col min="3" max="4" width="14.28515625" style="11" customWidth="1"/>
    <col min="5" max="5" width="2.28515625" style="11" customWidth="1"/>
    <col min="6" max="13" width="8.28515625" style="11" hidden="1" customWidth="1"/>
    <col min="14" max="24" width="9.28515625" style="11" hidden="1" customWidth="1"/>
    <col min="25" max="26" width="9.28515625" style="11" customWidth="1"/>
    <col min="27" max="27" width="8.28515625" style="11" customWidth="1"/>
    <col min="28" max="28" width="1.140625" style="34" customWidth="1"/>
    <col min="29" max="29" width="26" style="71" customWidth="1"/>
    <col min="30" max="30" width="1.28515625" style="11" customWidth="1"/>
    <col min="31" max="31" width="15.85546875" style="366" bestFit="1" customWidth="1"/>
    <col min="32" max="32" width="2.140625" style="11" customWidth="1"/>
    <col min="33" max="33" width="8.7109375" style="71" customWidth="1"/>
    <col min="34" max="34" width="11.7109375" style="71" bestFit="1" customWidth="1"/>
    <col min="35" max="38" width="8.7109375" style="71" customWidth="1"/>
    <col min="39" max="39" width="13.85546875" style="71" hidden="1" customWidth="1"/>
    <col min="40" max="44" width="8.7109375" style="71" hidden="1" customWidth="1"/>
    <col min="45" max="45" width="9.140625" style="11" customWidth="1"/>
    <col min="46" max="46" width="21.85546875" style="11" bestFit="1" customWidth="1"/>
    <col min="47" max="47" width="9.140625" style="11" customWidth="1"/>
    <col min="48" max="51" width="13" style="11" hidden="1" customWidth="1"/>
    <col min="52" max="52" width="9.140625" style="11" customWidth="1"/>
    <col min="53" max="16384" width="9.140625" style="11"/>
  </cols>
  <sheetData>
    <row r="1" spans="1:54" ht="23.25" customHeight="1" x14ac:dyDescent="0.3">
      <c r="A1" s="477" t="s">
        <v>117</v>
      </c>
      <c r="B1" s="479"/>
      <c r="C1" s="479"/>
      <c r="D1" s="479"/>
      <c r="E1" s="479"/>
      <c r="F1" s="479"/>
      <c r="G1" s="479"/>
      <c r="H1" s="479"/>
      <c r="I1" s="479"/>
      <c r="J1" s="479"/>
      <c r="K1" s="479"/>
      <c r="L1" s="479"/>
      <c r="M1" s="479"/>
      <c r="N1" s="479"/>
      <c r="O1" s="479"/>
      <c r="P1" s="479"/>
      <c r="Q1" s="479"/>
      <c r="R1" s="479"/>
      <c r="S1" s="479"/>
      <c r="T1" s="479"/>
      <c r="U1" s="479"/>
      <c r="V1" s="479"/>
      <c r="W1" s="479"/>
      <c r="X1" s="479"/>
      <c r="Y1" s="479"/>
      <c r="Z1" s="479"/>
      <c r="AA1" s="479"/>
      <c r="AB1" s="354"/>
      <c r="AC1" s="354"/>
      <c r="AD1" s="354"/>
      <c r="AE1" s="354"/>
      <c r="AF1" s="354"/>
      <c r="AG1" s="353"/>
      <c r="AH1" s="353"/>
      <c r="AI1" s="353"/>
      <c r="AJ1" s="353"/>
      <c r="AK1" s="353"/>
      <c r="AL1" s="353"/>
      <c r="AM1" s="353"/>
      <c r="AN1" s="353"/>
      <c r="AO1" s="353"/>
      <c r="AP1" s="353"/>
      <c r="AQ1" s="353"/>
      <c r="AR1" s="353"/>
    </row>
    <row r="2" spans="1:54" x14ac:dyDescent="0.3">
      <c r="A2" s="63" t="s">
        <v>118</v>
      </c>
      <c r="B2" s="473" t="s">
        <v>323</v>
      </c>
      <c r="C2" s="463"/>
      <c r="D2" s="464"/>
      <c r="AB2" s="11"/>
      <c r="AC2" s="41"/>
      <c r="AE2" s="70"/>
    </row>
    <row r="3" spans="1:54" x14ac:dyDescent="0.3">
      <c r="A3" s="63" t="s">
        <v>120</v>
      </c>
      <c r="B3" s="465" t="s">
        <v>324</v>
      </c>
      <c r="C3" s="463"/>
      <c r="D3" s="464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41"/>
      <c r="AD3" s="7"/>
    </row>
    <row r="4" spans="1:54" x14ac:dyDescent="0.3">
      <c r="AB4" s="74"/>
      <c r="AC4" s="41"/>
      <c r="AE4" s="70"/>
      <c r="AG4" s="387"/>
      <c r="AH4" s="387"/>
      <c r="AI4" s="387"/>
      <c r="AJ4" s="387"/>
      <c r="AK4" s="387"/>
      <c r="AL4" s="387"/>
      <c r="AM4" s="387"/>
      <c r="AN4" s="387"/>
      <c r="AO4" s="387"/>
      <c r="AP4" s="387"/>
      <c r="AQ4" s="387"/>
      <c r="AR4" s="387"/>
    </row>
    <row r="5" spans="1:54" ht="18.75" customHeight="1" x14ac:dyDescent="0.3">
      <c r="A5" s="460" t="s">
        <v>122</v>
      </c>
      <c r="B5" s="471" t="s">
        <v>123</v>
      </c>
      <c r="C5" s="471" t="s">
        <v>124</v>
      </c>
      <c r="D5" s="474" t="s">
        <v>125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116"/>
      <c r="AC5" s="29" t="s">
        <v>126</v>
      </c>
      <c r="AE5" s="9" t="s">
        <v>127</v>
      </c>
      <c r="AG5" s="363">
        <v>46142</v>
      </c>
      <c r="AH5" s="339" t="s">
        <v>128</v>
      </c>
      <c r="AI5" s="409">
        <v>46065</v>
      </c>
      <c r="AJ5" s="363">
        <v>46092</v>
      </c>
      <c r="AK5" s="363">
        <v>46048</v>
      </c>
      <c r="AL5" s="363">
        <v>46035</v>
      </c>
      <c r="AM5" s="371" t="s">
        <v>128</v>
      </c>
      <c r="AN5" s="363">
        <v>46024</v>
      </c>
      <c r="AO5" s="363">
        <v>46007</v>
      </c>
      <c r="AP5" s="363">
        <v>46001</v>
      </c>
      <c r="AQ5" s="363">
        <v>45994</v>
      </c>
      <c r="AR5" s="363">
        <v>45960</v>
      </c>
    </row>
    <row r="6" spans="1:54" s="3" customFormat="1" x14ac:dyDescent="0.3">
      <c r="A6" s="461"/>
      <c r="B6" s="461"/>
      <c r="C6" s="461"/>
      <c r="D6" s="461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35" t="s">
        <v>129</v>
      </c>
      <c r="AB6" s="116"/>
      <c r="AC6" s="29" t="s">
        <v>126</v>
      </c>
      <c r="AD6" s="31"/>
      <c r="AE6" s="179"/>
      <c r="AF6" s="31"/>
      <c r="AG6" s="363">
        <v>46156</v>
      </c>
      <c r="AH6" s="339">
        <v>46148</v>
      </c>
      <c r="AI6" s="409">
        <v>46104</v>
      </c>
      <c r="AJ6" s="363">
        <v>46101</v>
      </c>
      <c r="AK6" s="363">
        <v>46052</v>
      </c>
      <c r="AL6" s="363">
        <v>46038</v>
      </c>
      <c r="AM6" s="371">
        <v>46037</v>
      </c>
      <c r="AN6" s="363">
        <v>46030</v>
      </c>
      <c r="AO6" s="363">
        <v>46014</v>
      </c>
      <c r="AP6" s="363">
        <v>46010</v>
      </c>
      <c r="AQ6" s="363">
        <v>46003</v>
      </c>
      <c r="AR6" s="363">
        <v>45967</v>
      </c>
      <c r="AT6" s="11"/>
      <c r="AU6" s="11"/>
      <c r="AV6" s="11"/>
      <c r="AW6" s="11"/>
      <c r="AX6" s="11"/>
      <c r="AY6" s="11"/>
      <c r="AZ6" s="11"/>
      <c r="BA6" s="11"/>
      <c r="BB6" s="11"/>
    </row>
    <row r="7" spans="1:54" s="3" customFormat="1" ht="21.75" customHeight="1" x14ac:dyDescent="0.3">
      <c r="A7" s="68" t="s">
        <v>130</v>
      </c>
      <c r="B7" s="5"/>
      <c r="C7" s="5"/>
      <c r="D7" s="233"/>
      <c r="E7" s="11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21"/>
      <c r="AC7" s="12"/>
      <c r="AD7" s="11"/>
      <c r="AE7" s="124"/>
      <c r="AF7" s="11"/>
      <c r="AG7" s="12"/>
      <c r="AH7" s="12"/>
      <c r="AI7" s="12" t="s">
        <v>131</v>
      </c>
      <c r="AJ7" s="12"/>
      <c r="AK7" s="12"/>
      <c r="AL7" s="12"/>
      <c r="AM7" s="12"/>
      <c r="AN7" s="12"/>
      <c r="AO7" s="12"/>
      <c r="AP7" s="12"/>
      <c r="AQ7" s="12"/>
      <c r="AR7" s="12"/>
      <c r="AT7" s="475" t="s">
        <v>180</v>
      </c>
      <c r="AU7" s="467"/>
      <c r="AV7" s="467"/>
      <c r="AW7" s="467"/>
      <c r="AX7" s="467"/>
      <c r="AY7" s="467"/>
      <c r="AZ7" s="467"/>
      <c r="BA7" s="467"/>
      <c r="BB7" s="469"/>
    </row>
    <row r="8" spans="1:54" s="3" customFormat="1" x14ac:dyDescent="0.3">
      <c r="A8" s="21" t="s">
        <v>132</v>
      </c>
      <c r="B8" s="6">
        <v>300</v>
      </c>
      <c r="C8" s="82">
        <v>187.12</v>
      </c>
      <c r="D8" s="234">
        <v>200</v>
      </c>
      <c r="E8" s="11"/>
      <c r="F8" s="39">
        <f>600+AO8</f>
        <v>1200</v>
      </c>
      <c r="G8" s="206">
        <v>1200</v>
      </c>
      <c r="H8" s="39">
        <v>1200</v>
      </c>
      <c r="I8" s="39">
        <f>1200-600</f>
        <v>600</v>
      </c>
      <c r="J8" s="39">
        <v>600</v>
      </c>
      <c r="K8" s="39">
        <v>600</v>
      </c>
      <c r="L8" s="39">
        <v>600</v>
      </c>
      <c r="M8" s="39">
        <v>670</v>
      </c>
      <c r="N8" s="39">
        <v>670</v>
      </c>
      <c r="O8" s="39">
        <v>600</v>
      </c>
      <c r="P8" s="39">
        <v>600</v>
      </c>
      <c r="Q8" s="39">
        <v>570</v>
      </c>
      <c r="R8" s="39">
        <v>570</v>
      </c>
      <c r="S8" s="39">
        <v>500</v>
      </c>
      <c r="T8" s="39">
        <v>500</v>
      </c>
      <c r="U8" s="39">
        <v>500</v>
      </c>
      <c r="V8" s="39">
        <v>500</v>
      </c>
      <c r="W8" s="39">
        <v>500</v>
      </c>
      <c r="X8" s="39">
        <v>500</v>
      </c>
      <c r="Y8" s="39">
        <v>450</v>
      </c>
      <c r="Z8" s="39">
        <v>424</v>
      </c>
      <c r="AA8" s="372">
        <f ca="1">Y8+IF(NOT(ISBLANK(OFFSET(AA8,0,6))),N(OFFSET(AA8,0,6)),N(OFFSET(AA8,0,7)))-Z8</f>
        <v>26</v>
      </c>
      <c r="AB8" s="355"/>
      <c r="AC8" s="78"/>
      <c r="AD8" s="11"/>
      <c r="AE8" s="345"/>
      <c r="AF8" s="11"/>
      <c r="AG8" s="19">
        <v>0</v>
      </c>
      <c r="AH8" s="296"/>
      <c r="AI8" s="19"/>
      <c r="AJ8" s="19"/>
      <c r="AK8" s="19"/>
      <c r="AL8" s="19"/>
      <c r="AM8" s="253" t="s">
        <v>325</v>
      </c>
      <c r="AN8" s="19"/>
      <c r="AO8" s="19">
        <v>600</v>
      </c>
      <c r="AP8" s="19">
        <v>300</v>
      </c>
      <c r="AQ8" s="19">
        <v>300</v>
      </c>
      <c r="AR8" s="19"/>
      <c r="AT8" s="389" t="s">
        <v>130</v>
      </c>
      <c r="AU8" s="376" t="s">
        <v>123</v>
      </c>
      <c r="AV8" s="13">
        <v>46118</v>
      </c>
      <c r="AW8" s="13">
        <v>46125</v>
      </c>
      <c r="AX8" s="13">
        <v>46132</v>
      </c>
      <c r="AY8" s="13">
        <v>46139</v>
      </c>
      <c r="AZ8" s="13">
        <v>46146</v>
      </c>
      <c r="BA8" s="13">
        <v>46154</v>
      </c>
      <c r="BB8" s="35" t="s">
        <v>129</v>
      </c>
    </row>
    <row r="9" spans="1:54" s="3" customFormat="1" ht="18" customHeight="1" x14ac:dyDescent="0.3">
      <c r="A9" s="21" t="s">
        <v>134</v>
      </c>
      <c r="B9" s="6">
        <v>200</v>
      </c>
      <c r="C9" s="82">
        <v>193.08</v>
      </c>
      <c r="D9" s="234">
        <v>300</v>
      </c>
      <c r="E9" s="11"/>
      <c r="F9" s="39">
        <f>513+AO9</f>
        <v>913</v>
      </c>
      <c r="G9" s="39">
        <v>492</v>
      </c>
      <c r="H9" s="39">
        <v>420</v>
      </c>
      <c r="I9" s="39">
        <v>550</v>
      </c>
      <c r="J9" s="39">
        <v>730</v>
      </c>
      <c r="K9" s="39">
        <v>665</v>
      </c>
      <c r="L9" s="39">
        <v>600</v>
      </c>
      <c r="M9" s="39">
        <v>540</v>
      </c>
      <c r="N9" s="39">
        <v>455</v>
      </c>
      <c r="O9" s="39">
        <v>400</v>
      </c>
      <c r="P9" s="39">
        <v>340</v>
      </c>
      <c r="Q9" s="39">
        <v>280</v>
      </c>
      <c r="R9" s="39">
        <f>235+AJ9</f>
        <v>435</v>
      </c>
      <c r="S9" s="39">
        <v>400</v>
      </c>
      <c r="T9" s="39">
        <v>350</v>
      </c>
      <c r="U9" s="39">
        <v>300</v>
      </c>
      <c r="V9" s="39">
        <v>270</v>
      </c>
      <c r="W9" s="39">
        <v>200</v>
      </c>
      <c r="X9" s="39">
        <v>200</v>
      </c>
      <c r="Y9" s="39">
        <v>140</v>
      </c>
      <c r="Z9" s="39">
        <f>0+AG9</f>
        <v>200</v>
      </c>
      <c r="AA9" s="372">
        <f ca="1">Y9+IF(NOT(ISBLANK(OFFSET(AA9,0,6))),N(OFFSET(AA9,0,6)),N(OFFSET(AA9,0,7)))-Z9</f>
        <v>140</v>
      </c>
      <c r="AB9" s="109"/>
      <c r="AC9" s="78"/>
      <c r="AD9" s="11"/>
      <c r="AE9" s="345"/>
      <c r="AF9" s="11"/>
      <c r="AG9" s="19">
        <v>200</v>
      </c>
      <c r="AH9" s="296"/>
      <c r="AI9" s="117">
        <v>200</v>
      </c>
      <c r="AJ9" s="19">
        <v>200</v>
      </c>
      <c r="AK9" s="19"/>
      <c r="AL9" s="19">
        <v>200</v>
      </c>
      <c r="AM9" s="19"/>
      <c r="AN9" s="19">
        <v>200</v>
      </c>
      <c r="AO9" s="19">
        <v>400</v>
      </c>
      <c r="AP9" s="19">
        <v>200</v>
      </c>
      <c r="AQ9" s="19"/>
      <c r="AR9" s="19">
        <v>200</v>
      </c>
      <c r="AT9" s="364" t="s">
        <v>136</v>
      </c>
      <c r="AU9" s="135">
        <v>200</v>
      </c>
      <c r="AV9" s="39">
        <f>AI9</f>
        <v>200</v>
      </c>
      <c r="AW9" s="39">
        <v>200</v>
      </c>
      <c r="AX9" s="39">
        <v>200</v>
      </c>
      <c r="AY9" s="39">
        <v>200</v>
      </c>
      <c r="AZ9" s="39">
        <v>80</v>
      </c>
      <c r="BA9" s="39">
        <v>0</v>
      </c>
      <c r="BB9" s="26">
        <f ca="1">AZ9+IF(NOT(ISBLANK(OFFSET(BB9,0,6))),N(OFFSET(BB9,0,6)),N(OFFSET(BB9,0,7)))-BA9</f>
        <v>80</v>
      </c>
    </row>
    <row r="10" spans="1:54" s="3" customFormat="1" x14ac:dyDescent="0.3">
      <c r="A10" s="21" t="s">
        <v>137</v>
      </c>
      <c r="B10" s="6">
        <v>200</v>
      </c>
      <c r="C10" s="82">
        <v>253.83</v>
      </c>
      <c r="D10" s="234">
        <v>250</v>
      </c>
      <c r="E10" s="11"/>
      <c r="F10" s="39">
        <f>400+AO10</f>
        <v>600</v>
      </c>
      <c r="G10" s="39">
        <v>287</v>
      </c>
      <c r="H10" s="39">
        <v>267</v>
      </c>
      <c r="I10" s="39">
        <v>440</v>
      </c>
      <c r="J10" s="39">
        <v>400</v>
      </c>
      <c r="K10" s="39">
        <v>380</v>
      </c>
      <c r="L10" s="39">
        <v>345</v>
      </c>
      <c r="M10" s="39">
        <v>315</v>
      </c>
      <c r="N10" s="39">
        <v>280</v>
      </c>
      <c r="O10" s="39">
        <v>200</v>
      </c>
      <c r="P10" s="39">
        <v>200</v>
      </c>
      <c r="Q10" s="39">
        <v>170</v>
      </c>
      <c r="R10" s="39">
        <f>140+AJ10</f>
        <v>340</v>
      </c>
      <c r="S10" s="39">
        <v>300</v>
      </c>
      <c r="T10" s="39">
        <v>275</v>
      </c>
      <c r="U10" s="39">
        <v>225</v>
      </c>
      <c r="V10" s="39">
        <v>225</v>
      </c>
      <c r="W10" s="39">
        <v>225</v>
      </c>
      <c r="X10" s="39">
        <v>225</v>
      </c>
      <c r="Y10" s="39">
        <v>150</v>
      </c>
      <c r="Z10" s="39">
        <v>150</v>
      </c>
      <c r="AA10" s="372">
        <f ca="1">Y10+IF(NOT(ISBLANK(OFFSET(AA10,0,6))),N(OFFSET(AA10,0,6)),N(OFFSET(AA10,0,7)))-Z10</f>
        <v>0</v>
      </c>
      <c r="AB10" s="109"/>
      <c r="AC10" s="78"/>
      <c r="AD10" s="11"/>
      <c r="AE10" s="345"/>
      <c r="AF10" s="11"/>
      <c r="AG10" s="19">
        <v>0</v>
      </c>
      <c r="AH10" s="296"/>
      <c r="AI10" s="117">
        <v>200</v>
      </c>
      <c r="AJ10" s="19">
        <v>200</v>
      </c>
      <c r="AK10" s="19"/>
      <c r="AL10" s="19"/>
      <c r="AM10" s="19"/>
      <c r="AN10" s="19">
        <v>200</v>
      </c>
      <c r="AO10" s="19">
        <v>200</v>
      </c>
      <c r="AP10" s="19">
        <v>200</v>
      </c>
      <c r="AQ10" s="19"/>
      <c r="AR10" s="19"/>
      <c r="AT10" s="21" t="s">
        <v>138</v>
      </c>
      <c r="AU10" s="6">
        <v>200</v>
      </c>
      <c r="AV10" s="39">
        <f>AI10</f>
        <v>200</v>
      </c>
      <c r="AW10" s="39">
        <v>200</v>
      </c>
      <c r="AX10" s="39">
        <v>200</v>
      </c>
      <c r="AY10" s="39">
        <v>200</v>
      </c>
      <c r="AZ10" s="39">
        <v>50</v>
      </c>
      <c r="BA10" s="39">
        <v>0</v>
      </c>
      <c r="BB10" s="26">
        <f ca="1">AZ10+IF(NOT(ISBLANK(OFFSET(BB10,0,6))),N(OFFSET(BB10,0,6)),N(OFFSET(BB10,0,7)))-BA10</f>
        <v>50</v>
      </c>
    </row>
    <row r="11" spans="1:54" s="3" customFormat="1" x14ac:dyDescent="0.3">
      <c r="A11" s="22" t="s">
        <v>139</v>
      </c>
      <c r="B11" s="6">
        <v>100</v>
      </c>
      <c r="C11" s="82">
        <v>184.57</v>
      </c>
      <c r="D11" s="234">
        <v>30</v>
      </c>
      <c r="E11" s="11"/>
      <c r="F11" s="39">
        <v>37</v>
      </c>
      <c r="G11" s="39">
        <v>0</v>
      </c>
      <c r="H11" s="39">
        <v>0</v>
      </c>
      <c r="I11" s="39">
        <v>100</v>
      </c>
      <c r="J11" s="39">
        <v>100</v>
      </c>
      <c r="K11" s="39">
        <v>100</v>
      </c>
      <c r="L11" s="39">
        <v>100</v>
      </c>
      <c r="M11" s="39">
        <v>100</v>
      </c>
      <c r="N11" s="39">
        <v>100</v>
      </c>
      <c r="O11" s="39">
        <v>100</v>
      </c>
      <c r="P11" s="39">
        <v>100</v>
      </c>
      <c r="Q11" s="39">
        <v>100</v>
      </c>
      <c r="R11" s="39">
        <v>100</v>
      </c>
      <c r="S11" s="39">
        <v>100</v>
      </c>
      <c r="T11" s="39">
        <v>100</v>
      </c>
      <c r="U11" s="39">
        <v>100</v>
      </c>
      <c r="V11" s="39">
        <v>100</v>
      </c>
      <c r="W11" s="39">
        <v>100</v>
      </c>
      <c r="X11" s="39">
        <v>100</v>
      </c>
      <c r="Y11" s="39">
        <v>100</v>
      </c>
      <c r="Z11" s="39">
        <f>100+AG11</f>
        <v>200</v>
      </c>
      <c r="AA11" s="372">
        <f ca="1">Y11+IF(NOT(ISBLANK(OFFSET(AA11,0,6))),N(OFFSET(AA11,0,6)),N(OFFSET(AA11,0,7)))-Z11</f>
        <v>0</v>
      </c>
      <c r="AB11" s="109"/>
      <c r="AC11" s="411" t="s">
        <v>326</v>
      </c>
      <c r="AD11" s="11"/>
      <c r="AE11" s="345"/>
      <c r="AF11" s="11"/>
      <c r="AG11" s="19">
        <v>100</v>
      </c>
      <c r="AH11" s="296"/>
      <c r="AI11" s="117"/>
      <c r="AJ11" s="19"/>
      <c r="AK11" s="19"/>
      <c r="AL11" s="19"/>
      <c r="AM11" s="19"/>
      <c r="AN11" s="19">
        <v>100</v>
      </c>
      <c r="AO11" s="19"/>
      <c r="AP11" s="19"/>
      <c r="AQ11" s="19"/>
      <c r="AR11" s="19"/>
      <c r="AT11" s="22" t="s">
        <v>140</v>
      </c>
      <c r="AU11" s="6">
        <v>100</v>
      </c>
      <c r="AV11" s="39">
        <v>0</v>
      </c>
      <c r="AW11" s="39">
        <v>0</v>
      </c>
      <c r="AX11" s="39">
        <v>0</v>
      </c>
      <c r="AY11" s="39">
        <v>0</v>
      </c>
      <c r="AZ11" s="39">
        <v>100</v>
      </c>
      <c r="BA11" s="39">
        <v>0</v>
      </c>
      <c r="BB11" s="26">
        <f ca="1">AZ11+IF(NOT(ISBLANK(OFFSET(BB11,0,6))),N(OFFSET(BB11,0,6)),N(OFFSET(BB11,0,7)))-BA11</f>
        <v>100</v>
      </c>
    </row>
    <row r="12" spans="1:54" s="3" customFormat="1" ht="16.5" customHeight="1" x14ac:dyDescent="0.3">
      <c r="A12" s="23"/>
      <c r="B12" s="1"/>
      <c r="C12" s="64"/>
      <c r="D12" s="235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C12" s="342"/>
      <c r="AD12" s="11"/>
      <c r="AE12" s="351"/>
      <c r="AF12" s="11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T12" s="23"/>
      <c r="AU12" s="1"/>
      <c r="AV12" s="2"/>
      <c r="AW12" s="2"/>
      <c r="AX12" s="2"/>
      <c r="AY12" s="2"/>
      <c r="AZ12" s="2"/>
      <c r="BA12" s="2"/>
    </row>
    <row r="13" spans="1:54" s="3" customFormat="1" x14ac:dyDescent="0.3">
      <c r="A13" s="24" t="s">
        <v>141</v>
      </c>
      <c r="B13" s="12"/>
      <c r="C13" s="65"/>
      <c r="D13" s="395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35" t="s">
        <v>129</v>
      </c>
      <c r="AC13" s="29" t="s">
        <v>126</v>
      </c>
      <c r="AD13" s="11"/>
      <c r="AE13" s="9" t="s">
        <v>127</v>
      </c>
      <c r="AF13" s="7"/>
      <c r="AG13" s="363">
        <v>46142</v>
      </c>
      <c r="AH13" s="339">
        <v>46148</v>
      </c>
      <c r="AI13" s="409">
        <v>46065</v>
      </c>
      <c r="AJ13" s="363">
        <v>46092</v>
      </c>
      <c r="AK13" s="363">
        <v>46048</v>
      </c>
      <c r="AL13" s="363">
        <v>46035</v>
      </c>
      <c r="AM13" s="371">
        <v>46037</v>
      </c>
      <c r="AN13" s="363">
        <v>46024</v>
      </c>
      <c r="AO13" s="363">
        <v>46007</v>
      </c>
      <c r="AP13" s="363">
        <v>46001</v>
      </c>
      <c r="AQ13" s="363">
        <v>45994</v>
      </c>
      <c r="AR13" s="363">
        <v>45960</v>
      </c>
      <c r="AT13" s="389" t="s">
        <v>141</v>
      </c>
      <c r="AU13" s="376" t="s">
        <v>123</v>
      </c>
      <c r="AV13" s="13">
        <v>46118</v>
      </c>
      <c r="AW13" s="13">
        <v>46125</v>
      </c>
      <c r="AX13" s="13">
        <v>46132</v>
      </c>
      <c r="AY13" s="13">
        <v>46139</v>
      </c>
      <c r="AZ13" s="13">
        <v>46146</v>
      </c>
      <c r="BA13" s="13">
        <v>46154</v>
      </c>
      <c r="BB13" s="35" t="s">
        <v>129</v>
      </c>
    </row>
    <row r="14" spans="1:54" s="3" customFormat="1" x14ac:dyDescent="0.3">
      <c r="A14" s="25" t="s">
        <v>224</v>
      </c>
      <c r="B14" s="6">
        <v>500</v>
      </c>
      <c r="C14" s="66">
        <v>99.26</v>
      </c>
      <c r="D14" s="234">
        <v>2</v>
      </c>
      <c r="E14" s="7"/>
      <c r="F14" s="39">
        <v>3</v>
      </c>
      <c r="G14" s="39">
        <v>2</v>
      </c>
      <c r="H14" s="39">
        <v>2</v>
      </c>
      <c r="I14" s="39">
        <v>5</v>
      </c>
      <c r="J14" s="39">
        <v>7</v>
      </c>
      <c r="K14" s="39">
        <v>7</v>
      </c>
      <c r="L14" s="39">
        <v>7</v>
      </c>
      <c r="M14" s="39">
        <v>7</v>
      </c>
      <c r="N14" s="357">
        <v>7</v>
      </c>
      <c r="O14" s="357">
        <v>7</v>
      </c>
      <c r="P14" s="357">
        <v>7</v>
      </c>
      <c r="Q14" s="357">
        <v>7</v>
      </c>
      <c r="R14" s="357">
        <v>6</v>
      </c>
      <c r="S14" s="357">
        <v>6</v>
      </c>
      <c r="T14" s="357">
        <v>5</v>
      </c>
      <c r="U14" s="357">
        <v>5</v>
      </c>
      <c r="V14" s="357">
        <v>5</v>
      </c>
      <c r="W14" s="357">
        <v>5</v>
      </c>
      <c r="X14" s="357">
        <v>5</v>
      </c>
      <c r="Y14" s="357">
        <v>5</v>
      </c>
      <c r="Z14" s="357">
        <v>4</v>
      </c>
      <c r="AA14" s="372">
        <f ca="1">Y14+IF(NOT(ISBLANK(OFFSET(AA14,0,6))),N(OFFSET(AA14,0,6)),N(OFFSET(AA14,0,7)))-Z14</f>
        <v>1</v>
      </c>
      <c r="AC14" s="78"/>
      <c r="AD14" s="7"/>
      <c r="AE14" s="345"/>
      <c r="AF14" s="7"/>
      <c r="AG14" s="19">
        <v>0</v>
      </c>
      <c r="AH14" s="296"/>
      <c r="AI14" s="117">
        <v>4</v>
      </c>
      <c r="AJ14" s="19"/>
      <c r="AK14" s="19"/>
      <c r="AL14" s="19">
        <v>2</v>
      </c>
      <c r="AM14" s="19"/>
      <c r="AN14" s="19">
        <v>4</v>
      </c>
      <c r="AO14" s="19"/>
      <c r="AP14" s="19"/>
      <c r="AQ14" s="19"/>
      <c r="AR14" s="19">
        <v>2</v>
      </c>
      <c r="AT14" s="364" t="s">
        <v>143</v>
      </c>
      <c r="AU14" s="135">
        <v>200</v>
      </c>
      <c r="AV14" s="39">
        <f>AI14</f>
        <v>4</v>
      </c>
      <c r="AW14" s="39">
        <v>3</v>
      </c>
      <c r="AX14" s="39">
        <v>3</v>
      </c>
      <c r="AY14" s="39">
        <v>3</v>
      </c>
      <c r="AZ14" s="39">
        <v>2</v>
      </c>
      <c r="BA14" s="39">
        <v>0</v>
      </c>
      <c r="BB14" s="26">
        <f ca="1">AZ14+IF(NOT(ISBLANK(OFFSET(BB14,0,6))),N(OFFSET(BB14,0,6)),N(OFFSET(BB14,0,7)))-BA14</f>
        <v>2</v>
      </c>
    </row>
    <row r="15" spans="1:54" s="3" customFormat="1" x14ac:dyDescent="0.3">
      <c r="A15" s="25" t="s">
        <v>225</v>
      </c>
      <c r="B15" s="6">
        <v>2000</v>
      </c>
      <c r="C15" s="66">
        <v>55.36</v>
      </c>
      <c r="D15" s="234">
        <v>1</v>
      </c>
      <c r="E15" s="7"/>
      <c r="F15" s="39">
        <v>3</v>
      </c>
      <c r="G15" s="39">
        <v>2</v>
      </c>
      <c r="H15" s="39">
        <v>2</v>
      </c>
      <c r="I15" s="39">
        <v>1</v>
      </c>
      <c r="J15" s="39">
        <v>4</v>
      </c>
      <c r="K15" s="39">
        <v>4</v>
      </c>
      <c r="L15" s="39">
        <v>4</v>
      </c>
      <c r="M15" s="39">
        <v>4</v>
      </c>
      <c r="N15" s="357">
        <v>4</v>
      </c>
      <c r="O15" s="357">
        <v>4</v>
      </c>
      <c r="P15" s="357">
        <v>4</v>
      </c>
      <c r="Q15" s="357">
        <v>4</v>
      </c>
      <c r="R15" s="357">
        <v>4</v>
      </c>
      <c r="S15" s="357">
        <v>4</v>
      </c>
      <c r="T15" s="357">
        <v>4</v>
      </c>
      <c r="U15" s="357">
        <v>4</v>
      </c>
      <c r="V15" s="357">
        <v>4</v>
      </c>
      <c r="W15" s="357">
        <v>4</v>
      </c>
      <c r="X15" s="357">
        <v>4</v>
      </c>
      <c r="Y15" s="357">
        <v>4</v>
      </c>
      <c r="Z15" s="357">
        <v>4</v>
      </c>
      <c r="AA15" s="372">
        <f ca="1">Y15+IF(NOT(ISBLANK(OFFSET(AA15,0,6))),N(OFFSET(AA15,0,6)),N(OFFSET(AA15,0,7)))-Z15</f>
        <v>0</v>
      </c>
      <c r="AC15" s="78"/>
      <c r="AD15" s="7"/>
      <c r="AE15" s="345"/>
      <c r="AF15" s="7"/>
      <c r="AG15" s="19">
        <v>0</v>
      </c>
      <c r="AH15" s="296"/>
      <c r="AI15" s="117">
        <v>1</v>
      </c>
      <c r="AJ15" s="19"/>
      <c r="AK15" s="19"/>
      <c r="AL15" s="19">
        <v>3</v>
      </c>
      <c r="AM15" s="19"/>
      <c r="AN15" s="19"/>
      <c r="AO15" s="19"/>
      <c r="AP15" s="19">
        <v>1</v>
      </c>
      <c r="AQ15" s="19"/>
      <c r="AR15" s="19"/>
      <c r="AT15" s="21" t="s">
        <v>146</v>
      </c>
      <c r="AU15" s="6">
        <v>200</v>
      </c>
      <c r="AV15" s="39">
        <f>AI15</f>
        <v>1</v>
      </c>
      <c r="AW15" s="39">
        <v>1</v>
      </c>
      <c r="AX15" s="39">
        <v>1</v>
      </c>
      <c r="AY15" s="39">
        <v>1</v>
      </c>
      <c r="AZ15" s="39">
        <v>1</v>
      </c>
      <c r="BA15" s="39">
        <v>0</v>
      </c>
      <c r="BB15" s="26">
        <f ca="1">AZ15+IF(NOT(ISBLANK(OFFSET(BB15,0,6))),N(OFFSET(BB15,0,6)),N(OFFSET(BB15,0,7)))-BA15</f>
        <v>1</v>
      </c>
    </row>
    <row r="16" spans="1:54" s="3" customFormat="1" x14ac:dyDescent="0.25">
      <c r="A16" s="25" t="s">
        <v>147</v>
      </c>
      <c r="B16" s="6">
        <v>200</v>
      </c>
      <c r="C16" s="66">
        <v>10.28</v>
      </c>
      <c r="D16" s="234">
        <v>2</v>
      </c>
      <c r="E16" s="1"/>
      <c r="F16" s="39">
        <f>4+AO16</f>
        <v>10</v>
      </c>
      <c r="G16" s="39">
        <v>8</v>
      </c>
      <c r="H16" s="39">
        <v>8</v>
      </c>
      <c r="I16" s="39">
        <v>8</v>
      </c>
      <c r="J16" s="39">
        <v>8</v>
      </c>
      <c r="K16" s="39">
        <v>8</v>
      </c>
      <c r="L16" s="39">
        <v>7</v>
      </c>
      <c r="M16" s="39">
        <v>7</v>
      </c>
      <c r="N16" s="357">
        <v>7</v>
      </c>
      <c r="O16" s="357">
        <v>7</v>
      </c>
      <c r="P16" s="357">
        <v>7</v>
      </c>
      <c r="Q16" s="357">
        <v>7</v>
      </c>
      <c r="R16" s="357">
        <v>7</v>
      </c>
      <c r="S16" s="357">
        <v>7</v>
      </c>
      <c r="T16" s="357">
        <v>7</v>
      </c>
      <c r="U16" s="357">
        <v>7</v>
      </c>
      <c r="V16" s="357">
        <v>7</v>
      </c>
      <c r="W16" s="357">
        <v>7</v>
      </c>
      <c r="X16" s="357">
        <v>7</v>
      </c>
      <c r="Y16" s="357">
        <f>7-5</f>
        <v>2</v>
      </c>
      <c r="Z16" s="357">
        <v>2</v>
      </c>
      <c r="AA16" s="372">
        <f ca="1">Y16+IF(NOT(ISBLANK(OFFSET(AA16,0,6))),N(OFFSET(AA16,0,6)),N(OFFSET(AA16,0,7)))-Z16</f>
        <v>0</v>
      </c>
      <c r="AC16" s="78"/>
      <c r="AD16" s="1"/>
      <c r="AE16" s="345"/>
      <c r="AF16" s="1"/>
      <c r="AG16" s="19">
        <v>0</v>
      </c>
      <c r="AH16" s="253" t="s">
        <v>327</v>
      </c>
      <c r="AI16" s="19"/>
      <c r="AJ16" s="19"/>
      <c r="AK16" s="19"/>
      <c r="AL16" s="19"/>
      <c r="AM16" s="19"/>
      <c r="AN16" s="19"/>
      <c r="AO16" s="19">
        <v>6</v>
      </c>
      <c r="AP16" s="19"/>
      <c r="AQ16" s="19">
        <v>4</v>
      </c>
      <c r="AR16" s="19"/>
    </row>
    <row r="17" spans="1:54" s="3" customFormat="1" x14ac:dyDescent="0.25">
      <c r="A17" s="25" t="s">
        <v>148</v>
      </c>
      <c r="B17" s="6">
        <v>3000</v>
      </c>
      <c r="C17" s="66">
        <v>71.8</v>
      </c>
      <c r="D17" s="234">
        <v>1</v>
      </c>
      <c r="E17" s="1"/>
      <c r="F17" s="39">
        <f>2+AO17</f>
        <v>5</v>
      </c>
      <c r="G17" s="39">
        <v>3</v>
      </c>
      <c r="H17" s="39">
        <v>3</v>
      </c>
      <c r="I17" s="39">
        <v>6</v>
      </c>
      <c r="J17" s="39">
        <v>6</v>
      </c>
      <c r="K17" s="39">
        <v>6</v>
      </c>
      <c r="L17" s="39">
        <v>6</v>
      </c>
      <c r="M17" s="39">
        <v>6</v>
      </c>
      <c r="N17" s="357">
        <v>5</v>
      </c>
      <c r="O17" s="357">
        <v>5</v>
      </c>
      <c r="P17" s="357">
        <v>5</v>
      </c>
      <c r="Q17" s="357">
        <v>5</v>
      </c>
      <c r="R17" s="357">
        <v>5</v>
      </c>
      <c r="S17" s="357">
        <v>5</v>
      </c>
      <c r="T17" s="357">
        <v>5</v>
      </c>
      <c r="U17" s="357">
        <v>5</v>
      </c>
      <c r="V17" s="357">
        <v>5</v>
      </c>
      <c r="W17" s="357">
        <v>5</v>
      </c>
      <c r="X17" s="357">
        <v>5</v>
      </c>
      <c r="Y17" s="357">
        <v>5</v>
      </c>
      <c r="Z17" s="357">
        <v>4</v>
      </c>
      <c r="AA17" s="372">
        <f ca="1">Y17+IF(NOT(ISBLANK(OFFSET(AA17,0,6))),N(OFFSET(AA17,0,6)),N(OFFSET(AA17,0,7)))-Z17</f>
        <v>1</v>
      </c>
      <c r="AC17" s="411" t="s">
        <v>328</v>
      </c>
      <c r="AD17" s="1"/>
      <c r="AE17" s="345"/>
      <c r="AF17" s="1"/>
      <c r="AG17" s="19">
        <v>0</v>
      </c>
      <c r="AH17" s="19"/>
      <c r="AI17" s="19"/>
      <c r="AJ17" s="19"/>
      <c r="AK17" s="19"/>
      <c r="AL17" s="19"/>
      <c r="AM17" s="19"/>
      <c r="AN17" s="19">
        <v>1</v>
      </c>
      <c r="AO17" s="19">
        <v>3</v>
      </c>
      <c r="AP17" s="19"/>
      <c r="AQ17" s="19">
        <v>1</v>
      </c>
      <c r="AR17" s="19">
        <v>1</v>
      </c>
    </row>
    <row r="18" spans="1:54" s="3" customFormat="1" ht="14.25" customHeight="1" x14ac:dyDescent="0.25">
      <c r="A18" s="23"/>
      <c r="D18" s="235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C18" s="341"/>
      <c r="AE18" s="352"/>
      <c r="AG18" s="388"/>
      <c r="AH18" s="388"/>
      <c r="AI18" s="388"/>
      <c r="AJ18" s="388"/>
      <c r="AK18" s="388"/>
      <c r="AL18" s="388"/>
      <c r="AM18" s="388"/>
      <c r="AN18" s="388"/>
      <c r="AO18" s="388"/>
      <c r="AP18" s="388"/>
      <c r="AQ18" s="388"/>
      <c r="AR18" s="388"/>
    </row>
    <row r="19" spans="1:54" s="3" customFormat="1" x14ac:dyDescent="0.3">
      <c r="A19" s="24" t="s">
        <v>150</v>
      </c>
      <c r="B19" s="12"/>
      <c r="C19" s="61"/>
      <c r="D19" s="395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35" t="s">
        <v>129</v>
      </c>
      <c r="AC19" s="29" t="s">
        <v>126</v>
      </c>
      <c r="AD19" s="11"/>
      <c r="AE19" s="9" t="s">
        <v>127</v>
      </c>
      <c r="AF19" s="1"/>
      <c r="AG19" s="363">
        <v>46142</v>
      </c>
      <c r="AH19" s="339">
        <v>46148</v>
      </c>
      <c r="AI19" s="409">
        <v>46065</v>
      </c>
      <c r="AJ19" s="363">
        <v>46092</v>
      </c>
      <c r="AK19" s="363">
        <v>46048</v>
      </c>
      <c r="AL19" s="363">
        <v>46035</v>
      </c>
      <c r="AM19" s="371">
        <v>46037</v>
      </c>
      <c r="AN19" s="363">
        <v>46024</v>
      </c>
      <c r="AO19" s="363">
        <v>46007</v>
      </c>
      <c r="AP19" s="363">
        <v>46001</v>
      </c>
      <c r="AQ19" s="363">
        <v>45994</v>
      </c>
      <c r="AR19" s="363">
        <v>45960</v>
      </c>
      <c r="AT19" s="389" t="s">
        <v>150</v>
      </c>
      <c r="AU19" s="376" t="s">
        <v>123</v>
      </c>
      <c r="AV19" s="13">
        <v>46118</v>
      </c>
      <c r="AW19" s="13">
        <v>46125</v>
      </c>
      <c r="AX19" s="13">
        <v>46132</v>
      </c>
      <c r="AY19" s="13">
        <v>46139</v>
      </c>
      <c r="AZ19" s="13">
        <v>46146</v>
      </c>
      <c r="BA19" s="13">
        <v>46154</v>
      </c>
      <c r="BB19" s="35" t="s">
        <v>129</v>
      </c>
    </row>
    <row r="20" spans="1:54" s="3" customFormat="1" x14ac:dyDescent="0.3">
      <c r="A20" s="25" t="s">
        <v>153</v>
      </c>
      <c r="B20" s="6">
        <v>150</v>
      </c>
      <c r="C20" s="82">
        <v>334.31</v>
      </c>
      <c r="D20" s="234">
        <v>60</v>
      </c>
      <c r="E20" s="1"/>
      <c r="F20" s="27">
        <v>13</v>
      </c>
      <c r="G20" s="27">
        <v>9</v>
      </c>
      <c r="H20" s="27">
        <v>7</v>
      </c>
      <c r="I20" s="27">
        <v>14</v>
      </c>
      <c r="J20" s="27">
        <v>11</v>
      </c>
      <c r="K20" s="27">
        <v>6</v>
      </c>
      <c r="L20" s="27">
        <v>184</v>
      </c>
      <c r="M20" s="27">
        <v>168</v>
      </c>
      <c r="N20" s="27">
        <v>165</v>
      </c>
      <c r="O20" s="27">
        <v>155</v>
      </c>
      <c r="P20" s="27">
        <v>143</v>
      </c>
      <c r="Q20" s="27">
        <v>132</v>
      </c>
      <c r="R20" s="27">
        <v>128</v>
      </c>
      <c r="S20" s="27">
        <v>120</v>
      </c>
      <c r="T20" s="27">
        <v>117</v>
      </c>
      <c r="U20" s="27"/>
      <c r="V20" s="27"/>
      <c r="W20" s="27"/>
      <c r="X20" s="27">
        <v>107</v>
      </c>
      <c r="Y20" s="27">
        <v>107</v>
      </c>
      <c r="Z20" s="27">
        <v>106</v>
      </c>
      <c r="AA20" s="372">
        <f ca="1">Y20+IF(NOT(ISBLANK(OFFSET(AA20,0,6))),N(OFFSET(AA20,0,6)),N(OFFSET(AA20,0,7)))-Z20</f>
        <v>1</v>
      </c>
      <c r="AB20" s="362"/>
      <c r="AC20" s="78"/>
      <c r="AD20" s="1"/>
      <c r="AE20" s="345"/>
      <c r="AF20" s="1"/>
      <c r="AG20" s="19">
        <v>0</v>
      </c>
      <c r="AH20" s="19"/>
      <c r="AI20" s="117"/>
      <c r="AJ20" s="19"/>
      <c r="AK20" s="19">
        <v>150</v>
      </c>
      <c r="AL20" s="19"/>
      <c r="AM20" s="19"/>
      <c r="AN20" s="19"/>
      <c r="AO20" s="19"/>
      <c r="AP20" s="19"/>
      <c r="AQ20" s="19"/>
      <c r="AR20" s="19"/>
      <c r="AT20" s="364" t="s">
        <v>154</v>
      </c>
      <c r="AU20" s="135">
        <v>150</v>
      </c>
      <c r="AV20" s="39">
        <v>0</v>
      </c>
      <c r="AW20" s="39"/>
      <c r="AX20" s="39"/>
      <c r="AY20" s="39">
        <v>36</v>
      </c>
      <c r="AZ20" s="39">
        <v>34</v>
      </c>
      <c r="BA20" s="39">
        <v>2</v>
      </c>
      <c r="BB20" s="26">
        <f ca="1">AZ20+IF(NOT(ISBLANK(OFFSET(BB20,0,6))),N(OFFSET(BB20,0,6)),N(OFFSET(BB20,0,7)))-BA20</f>
        <v>32</v>
      </c>
    </row>
    <row r="21" spans="1:54" s="3" customFormat="1" x14ac:dyDescent="0.3">
      <c r="A21" s="25" t="s">
        <v>155</v>
      </c>
      <c r="B21" s="6">
        <v>100</v>
      </c>
      <c r="C21" s="81">
        <v>292.25</v>
      </c>
      <c r="D21" s="236">
        <v>60</v>
      </c>
      <c r="E21" s="1"/>
      <c r="F21" s="27">
        <v>44</v>
      </c>
      <c r="G21" s="27">
        <v>38</v>
      </c>
      <c r="H21" s="27">
        <v>38</v>
      </c>
      <c r="I21" s="27">
        <v>28</v>
      </c>
      <c r="J21" s="27">
        <v>27</v>
      </c>
      <c r="K21" s="27">
        <v>19</v>
      </c>
      <c r="L21" s="27">
        <v>146</v>
      </c>
      <c r="M21" s="27">
        <v>124</v>
      </c>
      <c r="N21" s="27">
        <v>129</v>
      </c>
      <c r="O21" s="27">
        <v>109</v>
      </c>
      <c r="P21" s="27">
        <v>95</v>
      </c>
      <c r="Q21" s="27">
        <v>81</v>
      </c>
      <c r="R21" s="27">
        <v>73</v>
      </c>
      <c r="S21" s="27">
        <v>68</v>
      </c>
      <c r="T21" s="27">
        <v>57</v>
      </c>
      <c r="U21" s="27"/>
      <c r="V21" s="27"/>
      <c r="W21" s="27"/>
      <c r="X21" s="27">
        <v>31</v>
      </c>
      <c r="Y21" s="27">
        <v>26</v>
      </c>
      <c r="Z21" s="27">
        <v>72</v>
      </c>
      <c r="AA21" s="372">
        <f ca="1">Y21+IF(NOT(ISBLANK(OFFSET(AA21,0,6))),N(OFFSET(AA21,0,6)),N(OFFSET(AA21,0,7)))-Z21</f>
        <v>-46</v>
      </c>
      <c r="AB21" s="362"/>
      <c r="AC21" s="78"/>
      <c r="AD21" s="1"/>
      <c r="AE21" s="345"/>
      <c r="AF21" s="1"/>
      <c r="AG21" s="19">
        <v>0</v>
      </c>
      <c r="AH21" s="19"/>
      <c r="AI21" s="117"/>
      <c r="AJ21" s="19"/>
      <c r="AK21" s="19">
        <v>100</v>
      </c>
      <c r="AL21" s="19"/>
      <c r="AM21" s="19"/>
      <c r="AN21" s="19"/>
      <c r="AO21" s="19"/>
      <c r="AP21" s="19"/>
      <c r="AQ21" s="19"/>
      <c r="AR21" s="19"/>
      <c r="AT21" s="21" t="s">
        <v>156</v>
      </c>
      <c r="AU21" s="6">
        <v>100</v>
      </c>
      <c r="AV21" s="39">
        <v>0</v>
      </c>
      <c r="AW21" s="39"/>
      <c r="AX21" s="39"/>
      <c r="AY21" s="39">
        <v>29</v>
      </c>
      <c r="AZ21" s="39">
        <v>27</v>
      </c>
      <c r="BA21" s="39">
        <v>1</v>
      </c>
      <c r="BB21" s="26">
        <f ca="1">AZ21+IF(NOT(ISBLANK(OFFSET(BB21,0,6))),N(OFFSET(BB21,0,6)),N(OFFSET(BB21,0,7)))-BA21</f>
        <v>26</v>
      </c>
    </row>
    <row r="22" spans="1:54" s="3" customFormat="1" x14ac:dyDescent="0.3">
      <c r="A22" s="25" t="s">
        <v>157</v>
      </c>
      <c r="B22" s="6">
        <v>75</v>
      </c>
      <c r="C22" s="66">
        <v>425.38</v>
      </c>
      <c r="D22" s="234">
        <v>10</v>
      </c>
      <c r="E22" s="7"/>
      <c r="F22" s="27">
        <v>0</v>
      </c>
      <c r="G22" s="27">
        <v>0</v>
      </c>
      <c r="H22" s="27">
        <v>0</v>
      </c>
      <c r="I22" s="27">
        <v>0</v>
      </c>
      <c r="J22" s="27">
        <v>0</v>
      </c>
      <c r="K22" s="27">
        <v>0</v>
      </c>
      <c r="L22" s="27">
        <v>0</v>
      </c>
      <c r="M22" s="27">
        <v>0</v>
      </c>
      <c r="N22" s="27">
        <v>0</v>
      </c>
      <c r="O22" s="27">
        <v>0</v>
      </c>
      <c r="P22" s="27">
        <v>0</v>
      </c>
      <c r="Q22" s="27">
        <v>0</v>
      </c>
      <c r="R22" s="27">
        <v>0</v>
      </c>
      <c r="S22" s="27">
        <v>0</v>
      </c>
      <c r="T22" s="27">
        <v>0</v>
      </c>
      <c r="U22" s="27">
        <v>0</v>
      </c>
      <c r="V22" s="27">
        <v>0</v>
      </c>
      <c r="W22" s="27">
        <v>0</v>
      </c>
      <c r="X22" s="27">
        <v>0</v>
      </c>
      <c r="Y22" s="27">
        <v>0</v>
      </c>
      <c r="Z22" s="27">
        <v>4</v>
      </c>
      <c r="AA22" s="372">
        <f ca="1">Y22+IF(NOT(ISBLANK(OFFSET(AA22,0,6))),N(OFFSET(AA22,0,6)),N(OFFSET(AA22,0,7)))-Z22</f>
        <v>-4</v>
      </c>
      <c r="AB22" s="362"/>
      <c r="AC22" s="78"/>
      <c r="AD22" s="7"/>
      <c r="AE22" s="345"/>
      <c r="AF22" s="7"/>
      <c r="AG22" s="19">
        <v>0</v>
      </c>
      <c r="AH22" s="19"/>
      <c r="AI22" s="117"/>
      <c r="AJ22" s="19"/>
      <c r="AK22" s="19"/>
      <c r="AL22" s="19"/>
      <c r="AM22" s="19"/>
      <c r="AN22" s="19"/>
      <c r="AO22" s="19"/>
      <c r="AP22" s="19"/>
      <c r="AQ22" s="19"/>
      <c r="AR22" s="19"/>
      <c r="AT22" s="22" t="s">
        <v>158</v>
      </c>
      <c r="AU22" s="6">
        <v>200</v>
      </c>
      <c r="AV22" s="39">
        <v>0</v>
      </c>
      <c r="AW22" s="39"/>
      <c r="AX22" s="39"/>
      <c r="AY22" s="39">
        <v>16</v>
      </c>
      <c r="AZ22" s="206">
        <v>20</v>
      </c>
      <c r="BA22" s="39">
        <v>0</v>
      </c>
      <c r="BB22" s="26">
        <f ca="1">AZ22+IF(NOT(ISBLANK(OFFSET(BB22,0,6))),N(OFFSET(BB22,0,6)),N(OFFSET(BB22,0,7)))-BA22</f>
        <v>20</v>
      </c>
    </row>
    <row r="23" spans="1:54" s="3" customFormat="1" x14ac:dyDescent="0.3">
      <c r="A23" s="25" t="s">
        <v>159</v>
      </c>
      <c r="B23" s="6">
        <v>150</v>
      </c>
      <c r="C23" s="66">
        <v>427.5</v>
      </c>
      <c r="D23" s="234"/>
      <c r="E23" s="7"/>
      <c r="F23" s="2"/>
      <c r="G23" s="2"/>
      <c r="H23" s="2"/>
      <c r="I23" s="2"/>
      <c r="J23" s="2"/>
      <c r="K23" s="2"/>
      <c r="L23" s="2"/>
      <c r="M23" s="2"/>
      <c r="N23" s="27">
        <v>0</v>
      </c>
      <c r="O23" s="27">
        <v>0</v>
      </c>
      <c r="P23" s="27">
        <v>0</v>
      </c>
      <c r="Q23" s="290">
        <v>20</v>
      </c>
      <c r="R23" s="27">
        <v>13</v>
      </c>
      <c r="S23" s="27">
        <v>3</v>
      </c>
      <c r="T23" s="27">
        <v>0</v>
      </c>
      <c r="U23" s="27">
        <v>0</v>
      </c>
      <c r="V23" s="27">
        <v>0</v>
      </c>
      <c r="W23" s="27">
        <v>0</v>
      </c>
      <c r="X23" s="27">
        <v>0</v>
      </c>
      <c r="Y23" s="27">
        <v>0</v>
      </c>
      <c r="Z23" s="27">
        <v>0</v>
      </c>
      <c r="AA23" s="372">
        <f ca="1">Y23+IF(NOT(ISBLANK(OFFSET(AA23,0,6))),N(OFFSET(AA23,0,6)),N(OFFSET(AA23,0,7)))-Z23</f>
        <v>0</v>
      </c>
      <c r="AB23" s="362"/>
      <c r="AC23" s="78"/>
      <c r="AD23" s="7"/>
      <c r="AE23" s="345"/>
      <c r="AF23" s="7"/>
      <c r="AG23" s="19">
        <v>0</v>
      </c>
      <c r="AH23" s="19"/>
      <c r="AI23" s="117"/>
      <c r="AJ23" s="19"/>
      <c r="AK23" s="19"/>
      <c r="AL23" s="19"/>
      <c r="AM23" s="19"/>
      <c r="AN23" s="19"/>
      <c r="AO23" s="19"/>
      <c r="AP23" s="75"/>
      <c r="AQ23" s="75"/>
      <c r="AR23" s="75"/>
      <c r="AT23" s="22" t="s">
        <v>160</v>
      </c>
      <c r="AU23" s="6">
        <v>150</v>
      </c>
      <c r="AV23" s="39">
        <v>0</v>
      </c>
      <c r="AW23" s="39"/>
      <c r="AX23" s="39"/>
      <c r="AY23" s="39">
        <v>23</v>
      </c>
      <c r="AZ23" s="39">
        <v>17</v>
      </c>
      <c r="BA23" s="39">
        <v>3</v>
      </c>
      <c r="BB23" s="26">
        <f ca="1">AZ23+IF(NOT(ISBLANK(OFFSET(BB23,0,6))),N(OFFSET(BB23,0,6)),N(OFFSET(BB23,0,7)))-BA23</f>
        <v>14</v>
      </c>
    </row>
    <row r="24" spans="1:54" x14ac:dyDescent="0.3">
      <c r="AB24" s="362"/>
      <c r="AC24" s="11"/>
      <c r="AE24" s="34"/>
      <c r="AG24" s="11"/>
      <c r="AH24" s="11"/>
      <c r="AI24" s="11"/>
      <c r="AJ24" s="11"/>
      <c r="AK24" s="11"/>
      <c r="AL24" s="11"/>
      <c r="AN24" s="11"/>
      <c r="AO24" s="11"/>
      <c r="AP24" s="11"/>
      <c r="AQ24" s="11"/>
      <c r="AR24" s="11"/>
    </row>
    <row r="25" spans="1:54" x14ac:dyDescent="0.3">
      <c r="A25" s="378" t="s">
        <v>161</v>
      </c>
      <c r="B25" s="379" t="s">
        <v>123</v>
      </c>
      <c r="C25" s="379" t="s">
        <v>124</v>
      </c>
      <c r="D25" s="379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35" t="s">
        <v>129</v>
      </c>
      <c r="AB25" s="362"/>
      <c r="AC25" s="11"/>
      <c r="AE25" s="34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</row>
    <row r="26" spans="1:54" x14ac:dyDescent="0.3">
      <c r="A26" s="384" t="s">
        <v>162</v>
      </c>
      <c r="B26" s="385">
        <v>100</v>
      </c>
      <c r="C26" s="199">
        <v>790</v>
      </c>
      <c r="D26" s="396"/>
      <c r="F26" s="39">
        <v>128</v>
      </c>
      <c r="G26" s="39">
        <v>119</v>
      </c>
      <c r="H26" s="39">
        <v>119</v>
      </c>
      <c r="I26" s="39">
        <v>119</v>
      </c>
      <c r="J26" s="39">
        <v>119</v>
      </c>
      <c r="K26" s="39">
        <v>119</v>
      </c>
      <c r="L26" s="39">
        <v>119</v>
      </c>
      <c r="M26" s="39">
        <v>119</v>
      </c>
      <c r="N26" s="39">
        <v>119</v>
      </c>
      <c r="O26" s="39">
        <v>119</v>
      </c>
      <c r="P26" s="39">
        <v>119</v>
      </c>
      <c r="Q26" s="39">
        <v>119</v>
      </c>
      <c r="R26" s="39">
        <v>119</v>
      </c>
      <c r="S26" s="39">
        <v>119</v>
      </c>
      <c r="T26" s="39">
        <v>119</v>
      </c>
      <c r="U26" s="39">
        <v>119</v>
      </c>
      <c r="V26" s="39">
        <v>119</v>
      </c>
      <c r="W26" s="39">
        <v>119</v>
      </c>
      <c r="X26" s="39">
        <v>119</v>
      </c>
      <c r="Y26" s="39">
        <v>119</v>
      </c>
      <c r="Z26" s="39">
        <v>124</v>
      </c>
      <c r="AA26" s="372">
        <f t="shared" ref="AA26:AA34" ca="1" si="0">Y26+IF(NOT(ISBLANK(OFFSET(AA26,0,6))),N(OFFSET(AA26,0,6)),N(OFFSET(AA26,0,7)))-Z26</f>
        <v>-5</v>
      </c>
      <c r="AB26" s="362"/>
      <c r="AC26" s="11"/>
      <c r="AE26" s="34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</row>
    <row r="27" spans="1:54" x14ac:dyDescent="0.3">
      <c r="A27" s="386" t="s">
        <v>164</v>
      </c>
      <c r="B27" s="159">
        <v>100</v>
      </c>
      <c r="C27" s="200">
        <v>283</v>
      </c>
      <c r="D27" s="396"/>
      <c r="F27" s="39">
        <v>2</v>
      </c>
      <c r="G27" s="39">
        <v>2</v>
      </c>
      <c r="H27" s="39">
        <v>2</v>
      </c>
      <c r="I27" s="39">
        <v>2</v>
      </c>
      <c r="J27" s="39">
        <v>0</v>
      </c>
      <c r="K27" s="39">
        <v>0</v>
      </c>
      <c r="L27" s="39"/>
      <c r="M27" s="39"/>
      <c r="N27" s="39"/>
      <c r="O27" s="39"/>
      <c r="P27" s="39"/>
      <c r="Q27" s="39"/>
      <c r="R27" s="39">
        <v>2</v>
      </c>
      <c r="S27" s="39">
        <v>2</v>
      </c>
      <c r="T27" s="39">
        <v>2</v>
      </c>
      <c r="U27" s="39">
        <v>2</v>
      </c>
      <c r="V27" s="39">
        <v>2</v>
      </c>
      <c r="W27" s="39">
        <v>2</v>
      </c>
      <c r="X27" s="39">
        <v>2</v>
      </c>
      <c r="Y27" s="39">
        <v>2</v>
      </c>
      <c r="Z27" s="39">
        <v>2</v>
      </c>
      <c r="AA27" s="372">
        <f t="shared" ca="1" si="0"/>
        <v>0</v>
      </c>
      <c r="AB27" s="362"/>
      <c r="AC27" s="11"/>
      <c r="AE27" s="34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</row>
    <row r="28" spans="1:54" x14ac:dyDescent="0.3">
      <c r="A28" s="404" t="s">
        <v>226</v>
      </c>
      <c r="B28" s="405">
        <v>100</v>
      </c>
      <c r="C28" s="252">
        <v>841.1</v>
      </c>
      <c r="D28" s="396"/>
      <c r="F28" s="6">
        <v>8</v>
      </c>
      <c r="G28" s="6">
        <v>8</v>
      </c>
      <c r="H28" s="6">
        <v>8</v>
      </c>
      <c r="I28" s="6">
        <v>8</v>
      </c>
      <c r="J28" s="6">
        <v>8</v>
      </c>
      <c r="K28" s="6">
        <v>8</v>
      </c>
      <c r="L28" s="6">
        <v>8</v>
      </c>
      <c r="M28" s="6">
        <v>8</v>
      </c>
      <c r="N28" s="39">
        <v>8</v>
      </c>
      <c r="O28" s="39">
        <v>8</v>
      </c>
      <c r="P28" s="39">
        <v>8</v>
      </c>
      <c r="Q28" s="39">
        <v>8</v>
      </c>
      <c r="R28" s="39">
        <v>8</v>
      </c>
      <c r="S28" s="39">
        <v>8</v>
      </c>
      <c r="T28" s="39">
        <v>8</v>
      </c>
      <c r="U28" s="39">
        <v>8</v>
      </c>
      <c r="V28" s="39">
        <v>8</v>
      </c>
      <c r="W28" s="39">
        <v>8</v>
      </c>
      <c r="X28" s="39">
        <v>8</v>
      </c>
      <c r="Y28" s="39">
        <v>8</v>
      </c>
      <c r="Z28" s="39">
        <v>8</v>
      </c>
      <c r="AA28" s="372">
        <f t="shared" ca="1" si="0"/>
        <v>0</v>
      </c>
      <c r="AB28" s="362"/>
      <c r="AC28" s="11"/>
      <c r="AE28" s="34"/>
      <c r="AG28" s="11"/>
      <c r="AH28" s="11"/>
      <c r="AI28" s="11"/>
      <c r="AJ28" s="11"/>
      <c r="AK28" s="401"/>
      <c r="AL28" s="401"/>
      <c r="AM28" s="41"/>
      <c r="AN28" s="401"/>
      <c r="AO28" s="401"/>
      <c r="AP28" s="401"/>
      <c r="AQ28" s="401"/>
      <c r="AR28" s="401"/>
    </row>
    <row r="29" spans="1:54" x14ac:dyDescent="0.3">
      <c r="A29" s="25" t="s">
        <v>169</v>
      </c>
      <c r="B29" s="6">
        <v>150</v>
      </c>
      <c r="C29" s="77">
        <v>805.35</v>
      </c>
      <c r="D29" s="396"/>
      <c r="F29" s="6">
        <v>80</v>
      </c>
      <c r="G29" s="6">
        <v>56</v>
      </c>
      <c r="H29" s="6">
        <v>53</v>
      </c>
      <c r="I29" s="6">
        <v>46</v>
      </c>
      <c r="J29" s="6">
        <v>42</v>
      </c>
      <c r="K29" s="6">
        <v>12</v>
      </c>
      <c r="L29" s="6">
        <v>15</v>
      </c>
      <c r="M29" s="6">
        <v>15</v>
      </c>
      <c r="N29" s="6">
        <v>15</v>
      </c>
      <c r="O29" s="6">
        <v>15</v>
      </c>
      <c r="P29" s="6">
        <v>15</v>
      </c>
      <c r="Q29" s="6">
        <v>15</v>
      </c>
      <c r="R29" s="6">
        <v>15</v>
      </c>
      <c r="S29" s="6">
        <v>15</v>
      </c>
      <c r="T29" s="6">
        <v>15</v>
      </c>
      <c r="U29" s="6">
        <v>15</v>
      </c>
      <c r="V29" s="6">
        <v>15</v>
      </c>
      <c r="W29" s="6">
        <v>15</v>
      </c>
      <c r="X29" s="6">
        <v>15</v>
      </c>
      <c r="Y29" s="6">
        <v>15</v>
      </c>
      <c r="Z29" s="6">
        <v>15</v>
      </c>
      <c r="AA29" s="372">
        <f t="shared" ca="1" si="0"/>
        <v>0</v>
      </c>
      <c r="AB29" s="362"/>
      <c r="AC29" s="401"/>
      <c r="AE29" s="34"/>
      <c r="AG29" s="11"/>
      <c r="AH29" s="11"/>
      <c r="AI29" s="11"/>
      <c r="AJ29" s="11"/>
      <c r="AK29" s="41"/>
      <c r="AL29" s="41"/>
      <c r="AM29" s="41"/>
      <c r="AN29" s="41"/>
      <c r="AO29" s="41"/>
      <c r="AP29" s="41"/>
      <c r="AQ29" s="41"/>
      <c r="AR29" s="41"/>
    </row>
    <row r="30" spans="1:54" x14ac:dyDescent="0.3">
      <c r="A30" s="25" t="s">
        <v>170</v>
      </c>
      <c r="B30" s="6">
        <v>100</v>
      </c>
      <c r="C30" s="77">
        <v>792.2</v>
      </c>
      <c r="D30" s="396"/>
      <c r="F30" s="6">
        <v>15</v>
      </c>
      <c r="G30" s="6">
        <v>25</v>
      </c>
      <c r="H30" s="6">
        <v>24</v>
      </c>
      <c r="I30" s="6">
        <v>42</v>
      </c>
      <c r="J30" s="6">
        <v>42</v>
      </c>
      <c r="K30" s="6">
        <v>42</v>
      </c>
      <c r="L30" s="6">
        <v>42</v>
      </c>
      <c r="M30" s="6">
        <v>41</v>
      </c>
      <c r="N30" s="6">
        <v>41</v>
      </c>
      <c r="O30" s="6">
        <v>41</v>
      </c>
      <c r="P30" s="6">
        <v>41</v>
      </c>
      <c r="Q30" s="6">
        <v>41</v>
      </c>
      <c r="R30" s="6">
        <v>41</v>
      </c>
      <c r="S30" s="6">
        <v>41</v>
      </c>
      <c r="T30" s="6">
        <v>41</v>
      </c>
      <c r="U30" s="6">
        <v>41</v>
      </c>
      <c r="V30" s="6">
        <v>41</v>
      </c>
      <c r="W30" s="6">
        <v>41</v>
      </c>
      <c r="X30" s="6">
        <v>41</v>
      </c>
      <c r="Y30" s="6">
        <v>41</v>
      </c>
      <c r="Z30" s="6">
        <v>41</v>
      </c>
      <c r="AA30" s="372">
        <f t="shared" ca="1" si="0"/>
        <v>0</v>
      </c>
      <c r="AB30" s="362"/>
      <c r="AC30" s="401"/>
      <c r="AE30" s="34"/>
      <c r="AG30" s="11"/>
      <c r="AH30" s="11"/>
      <c r="AI30" s="11"/>
      <c r="AJ30" s="11"/>
      <c r="AK30" s="41"/>
      <c r="AL30" s="41"/>
      <c r="AM30" s="41"/>
      <c r="AN30" s="41"/>
      <c r="AO30" s="41"/>
      <c r="AP30" s="41"/>
      <c r="AQ30" s="41"/>
      <c r="AR30" s="41"/>
    </row>
    <row r="31" spans="1:54" hidden="1" x14ac:dyDescent="0.3">
      <c r="A31" s="25" t="s">
        <v>171</v>
      </c>
      <c r="B31" s="6">
        <v>200</v>
      </c>
      <c r="C31" s="77">
        <v>487.2</v>
      </c>
      <c r="D31" s="396"/>
      <c r="F31" s="6">
        <v>71</v>
      </c>
      <c r="G31" s="6">
        <v>57</v>
      </c>
      <c r="H31" s="6">
        <v>37</v>
      </c>
      <c r="I31" s="6">
        <v>3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/>
      <c r="T31" s="6"/>
      <c r="U31" s="6"/>
      <c r="V31" s="6"/>
      <c r="W31" s="6"/>
      <c r="X31" s="6"/>
      <c r="Y31" s="6"/>
      <c r="Z31" s="6"/>
      <c r="AA31" s="372">
        <f t="shared" ca="1" si="0"/>
        <v>0</v>
      </c>
      <c r="AB31" s="362"/>
      <c r="AC31" s="401"/>
      <c r="AE31" s="34"/>
      <c r="AG31" s="11"/>
      <c r="AH31" s="11"/>
      <c r="AI31" s="11"/>
      <c r="AJ31" s="11"/>
      <c r="AK31" s="41"/>
      <c r="AL31" s="41"/>
      <c r="AM31" s="41"/>
      <c r="AN31" s="41"/>
      <c r="AO31" s="41"/>
      <c r="AP31" s="41"/>
      <c r="AQ31" s="41"/>
      <c r="AR31" s="41"/>
    </row>
    <row r="32" spans="1:54" hidden="1" x14ac:dyDescent="0.3">
      <c r="A32" s="25" t="s">
        <v>172</v>
      </c>
      <c r="B32" s="6">
        <v>150</v>
      </c>
      <c r="C32" s="77">
        <v>460.35</v>
      </c>
      <c r="D32" s="396"/>
      <c r="F32" s="6">
        <v>154</v>
      </c>
      <c r="G32" s="6">
        <v>122</v>
      </c>
      <c r="H32" s="6">
        <v>114</v>
      </c>
      <c r="I32" s="6">
        <v>5</v>
      </c>
      <c r="J32" s="6">
        <v>3</v>
      </c>
      <c r="K32" s="6">
        <v>1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/>
      <c r="T32" s="6"/>
      <c r="U32" s="6"/>
      <c r="V32" s="6"/>
      <c r="W32" s="6"/>
      <c r="X32" s="6"/>
      <c r="Y32" s="6"/>
      <c r="Z32" s="6"/>
      <c r="AA32" s="372">
        <f t="shared" ca="1" si="0"/>
        <v>0</v>
      </c>
      <c r="AB32" s="362"/>
      <c r="AC32" s="401"/>
      <c r="AE32" s="34"/>
      <c r="AG32" s="11"/>
      <c r="AH32" s="11"/>
      <c r="AI32" s="11"/>
      <c r="AJ32" s="11"/>
      <c r="AK32" s="41"/>
      <c r="AL32" s="41"/>
      <c r="AM32" s="41"/>
      <c r="AN32" s="41"/>
      <c r="AO32" s="41"/>
      <c r="AP32" s="41"/>
      <c r="AQ32" s="41"/>
      <c r="AR32" s="41"/>
    </row>
    <row r="33" spans="1:54" hidden="1" x14ac:dyDescent="0.3">
      <c r="A33" s="25" t="s">
        <v>173</v>
      </c>
      <c r="B33" s="6">
        <v>10</v>
      </c>
      <c r="C33" s="77">
        <v>120</v>
      </c>
      <c r="D33" s="396"/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39">
        <v>0</v>
      </c>
      <c r="O33" s="39">
        <v>0</v>
      </c>
      <c r="P33" s="39">
        <v>0</v>
      </c>
      <c r="Q33" s="39">
        <v>0</v>
      </c>
      <c r="R33" s="39">
        <v>0</v>
      </c>
      <c r="S33" s="39"/>
      <c r="T33" s="39"/>
      <c r="U33" s="39"/>
      <c r="V33" s="39"/>
      <c r="W33" s="39"/>
      <c r="X33" s="39"/>
      <c r="Y33" s="39"/>
      <c r="Z33" s="39"/>
      <c r="AA33" s="372">
        <f t="shared" ca="1" si="0"/>
        <v>0</v>
      </c>
      <c r="AB33" s="362"/>
      <c r="AC33" s="401"/>
      <c r="AE33" s="34"/>
      <c r="AG33" s="11"/>
      <c r="AH33" s="11"/>
      <c r="AI33" s="11"/>
      <c r="AJ33" s="11"/>
      <c r="AK33" s="41"/>
      <c r="AL33" s="41"/>
      <c r="AM33" s="41"/>
      <c r="AN33" s="41"/>
      <c r="AO33" s="41"/>
      <c r="AP33" s="41"/>
      <c r="AQ33" s="41"/>
      <c r="AR33" s="41"/>
    </row>
    <row r="34" spans="1:54" x14ac:dyDescent="0.3">
      <c r="A34" s="283" t="s">
        <v>168</v>
      </c>
      <c r="B34" s="284">
        <v>100</v>
      </c>
      <c r="C34" s="285">
        <v>1490</v>
      </c>
      <c r="D34" s="396"/>
      <c r="R34" s="39">
        <v>4</v>
      </c>
      <c r="S34" s="39">
        <v>4</v>
      </c>
      <c r="T34" s="39">
        <v>4</v>
      </c>
      <c r="U34" s="39">
        <v>4</v>
      </c>
      <c r="V34" s="39">
        <v>4</v>
      </c>
      <c r="W34" s="39">
        <v>4</v>
      </c>
      <c r="X34" s="39">
        <v>4</v>
      </c>
      <c r="Y34" s="39">
        <v>4</v>
      </c>
      <c r="Z34" s="39">
        <v>4</v>
      </c>
      <c r="AA34" s="372">
        <f t="shared" ca="1" si="0"/>
        <v>0</v>
      </c>
      <c r="AB34" s="362"/>
      <c r="AC34" s="401"/>
      <c r="AE34" s="34"/>
      <c r="AG34" s="11"/>
      <c r="AH34" s="11"/>
      <c r="AI34" s="11"/>
      <c r="AJ34" s="11"/>
      <c r="AK34" s="41"/>
      <c r="AL34" s="41"/>
      <c r="AM34" s="41"/>
      <c r="AN34" s="41"/>
      <c r="AO34" s="41"/>
      <c r="AP34" s="41"/>
      <c r="AQ34" s="41"/>
      <c r="AR34" s="41"/>
    </row>
    <row r="35" spans="1:54" x14ac:dyDescent="0.3">
      <c r="Z35" s="2"/>
      <c r="AB35" s="362"/>
      <c r="AC35" s="401"/>
      <c r="AE35" s="34"/>
      <c r="AG35" s="11"/>
      <c r="AH35" s="11"/>
      <c r="AI35" s="11"/>
      <c r="AJ35" s="11"/>
      <c r="AK35" s="41"/>
      <c r="AL35" s="41"/>
      <c r="AM35" s="41"/>
      <c r="AN35" s="41"/>
      <c r="AO35" s="41"/>
      <c r="AP35" s="41"/>
      <c r="AQ35" s="41"/>
      <c r="AR35" s="41"/>
    </row>
    <row r="36" spans="1:54" ht="21" customHeight="1" x14ac:dyDescent="0.3">
      <c r="A36" s="394" t="s">
        <v>174</v>
      </c>
      <c r="B36" s="394"/>
      <c r="C36" s="394"/>
      <c r="AB36" s="362"/>
      <c r="AC36" s="401"/>
      <c r="AE36" s="34"/>
      <c r="AG36" s="11"/>
      <c r="AH36" s="11"/>
      <c r="AI36" s="11"/>
      <c r="AJ36" s="11"/>
      <c r="AK36" s="41"/>
      <c r="AL36" s="41"/>
      <c r="AM36" s="41"/>
      <c r="AN36" s="41"/>
      <c r="AO36" s="41"/>
      <c r="AP36" s="41"/>
      <c r="AQ36" s="41"/>
      <c r="AR36" s="41"/>
    </row>
    <row r="37" spans="1:54" x14ac:dyDescent="0.3">
      <c r="A37" s="361" t="s">
        <v>175</v>
      </c>
      <c r="B37" s="361"/>
      <c r="C37" s="361" t="s">
        <v>176</v>
      </c>
      <c r="E37" s="41"/>
      <c r="F37" s="41"/>
      <c r="G37" s="41"/>
      <c r="H37" s="41"/>
      <c r="I37" s="41"/>
      <c r="J37" s="41"/>
      <c r="K37" s="41"/>
      <c r="L37" s="41"/>
      <c r="M37" s="41"/>
      <c r="AA37" s="41"/>
      <c r="AB37" s="362"/>
      <c r="AC37" s="401"/>
      <c r="AD37" s="41"/>
      <c r="AE37" s="34"/>
      <c r="AF37" s="41"/>
      <c r="AG37" s="11"/>
      <c r="AH37" s="11"/>
      <c r="AI37" s="11"/>
      <c r="AJ37" s="11"/>
      <c r="AK37" s="41"/>
      <c r="AL37" s="41"/>
      <c r="AM37" s="41"/>
      <c r="AN37" s="41"/>
      <c r="AO37" s="41"/>
      <c r="AP37" s="41"/>
      <c r="AQ37" s="41"/>
      <c r="AR37" s="41"/>
    </row>
    <row r="38" spans="1:54" x14ac:dyDescent="0.3">
      <c r="A38" s="402" t="s">
        <v>329</v>
      </c>
      <c r="B38" s="370"/>
      <c r="C38" s="357">
        <v>2</v>
      </c>
      <c r="AC38" s="11"/>
      <c r="AE38" s="34"/>
      <c r="AG38" s="11"/>
      <c r="AH38" s="11"/>
      <c r="AI38" s="11"/>
      <c r="AJ38" s="11"/>
      <c r="AK38" s="41"/>
      <c r="AL38" s="41"/>
      <c r="AM38" s="41"/>
      <c r="AN38" s="41"/>
      <c r="AO38" s="41"/>
      <c r="AP38" s="41"/>
      <c r="AQ38" s="41"/>
      <c r="AR38" s="41"/>
    </row>
    <row r="39" spans="1:54" x14ac:dyDescent="0.3">
      <c r="A39" s="153"/>
      <c r="B39" s="153"/>
      <c r="C39" s="153"/>
      <c r="AC39" s="11"/>
      <c r="AE39" s="34"/>
      <c r="AG39" s="11"/>
      <c r="AH39" s="401"/>
      <c r="AI39" s="11"/>
      <c r="AJ39" s="11"/>
      <c r="AK39" s="41"/>
      <c r="AL39" s="41"/>
      <c r="AM39" s="11"/>
      <c r="AN39" s="41"/>
      <c r="AO39" s="41"/>
      <c r="AP39" s="41"/>
      <c r="AQ39" s="41"/>
      <c r="AR39" s="41"/>
    </row>
    <row r="40" spans="1:54" x14ac:dyDescent="0.3">
      <c r="A40" s="152" t="s">
        <v>330</v>
      </c>
      <c r="B40" s="370"/>
      <c r="C40" s="357">
        <v>65</v>
      </c>
      <c r="AG40" s="401"/>
      <c r="AH40" s="401"/>
      <c r="AI40" s="401"/>
      <c r="AJ40" s="401"/>
      <c r="AK40" s="11"/>
      <c r="AL40" s="11"/>
      <c r="AM40" s="349"/>
      <c r="AN40" s="11"/>
      <c r="AO40" s="11"/>
      <c r="AP40" s="11"/>
      <c r="AQ40" s="11"/>
      <c r="AR40" s="11"/>
    </row>
    <row r="41" spans="1:54" x14ac:dyDescent="0.3">
      <c r="A41" s="153"/>
      <c r="B41" s="153"/>
      <c r="C41" s="153"/>
      <c r="AG41" s="401"/>
      <c r="AH41" s="41"/>
      <c r="AI41" s="401"/>
      <c r="AJ41" s="401"/>
      <c r="AK41" s="349"/>
      <c r="AL41" s="349"/>
      <c r="AM41" s="349"/>
      <c r="AN41" s="349"/>
      <c r="AO41" s="349"/>
      <c r="AP41" s="349"/>
      <c r="AQ41" s="349"/>
      <c r="AR41" s="349"/>
      <c r="BA41" s="41"/>
    </row>
    <row r="42" spans="1:54" x14ac:dyDescent="0.3">
      <c r="A42" s="375" t="s">
        <v>331</v>
      </c>
      <c r="B42" s="370"/>
      <c r="C42" s="357">
        <v>90</v>
      </c>
      <c r="AG42" s="41"/>
      <c r="AH42" s="41"/>
      <c r="AI42" s="41"/>
      <c r="AJ42" s="41"/>
      <c r="AK42" s="349"/>
      <c r="AL42" s="349"/>
      <c r="AN42" s="349"/>
      <c r="AO42" s="349"/>
      <c r="AP42" s="349"/>
      <c r="AQ42" s="349"/>
      <c r="AR42" s="349"/>
      <c r="AT42" s="41"/>
      <c r="AU42" s="41"/>
      <c r="AV42" s="41"/>
      <c r="AW42" s="41"/>
      <c r="AX42" s="41"/>
      <c r="AY42" s="41"/>
      <c r="AZ42" s="41"/>
      <c r="BA42" s="41"/>
      <c r="BB42" s="41"/>
    </row>
    <row r="43" spans="1:54" x14ac:dyDescent="0.3">
      <c r="A43" s="153"/>
      <c r="B43" s="153"/>
      <c r="C43" s="153"/>
      <c r="AG43" s="41"/>
      <c r="AH43" s="41"/>
      <c r="AI43" s="41"/>
      <c r="AJ43" s="41"/>
      <c r="AT43" s="41"/>
      <c r="AU43" s="41"/>
      <c r="AV43" s="41"/>
      <c r="AW43" s="41"/>
      <c r="AX43" s="41"/>
      <c r="AY43" s="41"/>
      <c r="AZ43" s="41"/>
      <c r="BA43" s="41"/>
      <c r="BB43" s="41"/>
    </row>
    <row r="44" spans="1:54" x14ac:dyDescent="0.3">
      <c r="A44" s="226" t="s">
        <v>241</v>
      </c>
      <c r="B44" s="370"/>
      <c r="C44" s="357">
        <v>190</v>
      </c>
      <c r="AG44" s="41"/>
      <c r="AH44" s="41"/>
      <c r="AI44" s="41"/>
      <c r="AJ44" s="41"/>
      <c r="AT44" s="41"/>
      <c r="AU44" s="41"/>
      <c r="AV44" s="41"/>
      <c r="AW44" s="41"/>
      <c r="AX44" s="41"/>
      <c r="AY44" s="41"/>
      <c r="AZ44" s="41"/>
      <c r="BA44" s="41"/>
      <c r="BB44" s="41"/>
    </row>
    <row r="45" spans="1:54" x14ac:dyDescent="0.3">
      <c r="A45" s="153"/>
      <c r="B45" s="153"/>
      <c r="C45" s="153"/>
      <c r="AG45" s="41"/>
      <c r="AI45" s="41"/>
      <c r="AJ45" s="41"/>
      <c r="AT45" s="41"/>
      <c r="AU45" s="41"/>
      <c r="AV45" s="41"/>
      <c r="AW45" s="41"/>
      <c r="AX45" s="41"/>
      <c r="AY45" s="41"/>
      <c r="AZ45" s="41"/>
      <c r="BB45" s="41"/>
    </row>
    <row r="46" spans="1:54" x14ac:dyDescent="0.3">
      <c r="A46" s="181" t="s">
        <v>265</v>
      </c>
      <c r="B46" s="370"/>
      <c r="C46" s="357">
        <v>145</v>
      </c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AM46" s="11"/>
    </row>
    <row r="47" spans="1:54" x14ac:dyDescent="0.3">
      <c r="A47" s="153"/>
      <c r="B47" s="153"/>
      <c r="C47" s="153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H47" s="11"/>
      <c r="AK47" s="11"/>
      <c r="AL47" s="11"/>
      <c r="AM47" s="11"/>
      <c r="AN47" s="11"/>
      <c r="AO47" s="11"/>
      <c r="AP47" s="11"/>
      <c r="AQ47" s="11"/>
      <c r="AR47" s="11"/>
    </row>
    <row r="48" spans="1:54" x14ac:dyDescent="0.3">
      <c r="A48" s="247" t="s">
        <v>243</v>
      </c>
      <c r="B48" s="370"/>
      <c r="C48" s="357">
        <v>190</v>
      </c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G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</row>
    <row r="49" spans="1:44" x14ac:dyDescent="0.3"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K49" s="11"/>
      <c r="AL49" s="11"/>
      <c r="AN49" s="11"/>
      <c r="AO49" s="11"/>
      <c r="AP49" s="11"/>
      <c r="AQ49" s="11"/>
      <c r="AR49" s="11"/>
    </row>
    <row r="50" spans="1:44" x14ac:dyDescent="0.3">
      <c r="A50" s="472" t="s">
        <v>177</v>
      </c>
      <c r="B50" s="467"/>
      <c r="C50" s="467"/>
      <c r="D50" s="469"/>
      <c r="F50" s="356">
        <v>46013</v>
      </c>
      <c r="G50" s="356">
        <v>46020</v>
      </c>
      <c r="H50" s="356">
        <v>46027</v>
      </c>
      <c r="I50" s="356">
        <v>46034</v>
      </c>
      <c r="J50" s="356">
        <v>46041</v>
      </c>
      <c r="K50" s="356">
        <v>46048</v>
      </c>
      <c r="L50" s="356">
        <v>46055</v>
      </c>
      <c r="M50" s="356">
        <v>46062</v>
      </c>
      <c r="N50" s="356">
        <v>46069</v>
      </c>
      <c r="O50" s="356">
        <v>46076</v>
      </c>
      <c r="P50" s="356">
        <v>46083</v>
      </c>
      <c r="Q50" s="356">
        <v>46090</v>
      </c>
      <c r="R50" s="356">
        <v>46097</v>
      </c>
      <c r="S50" s="356">
        <v>46104</v>
      </c>
      <c r="T50" s="356">
        <v>46111</v>
      </c>
      <c r="U50" s="356">
        <v>46118</v>
      </c>
      <c r="V50" s="356">
        <v>46125</v>
      </c>
      <c r="W50" s="356">
        <v>46132</v>
      </c>
      <c r="X50" s="356">
        <v>46139</v>
      </c>
      <c r="Y50" s="356">
        <v>46146</v>
      </c>
      <c r="Z50" s="356">
        <v>46154</v>
      </c>
    </row>
    <row r="51" spans="1:44" x14ac:dyDescent="0.3">
      <c r="A51" s="470" t="s">
        <v>193</v>
      </c>
      <c r="B51" s="467"/>
      <c r="C51" s="467"/>
      <c r="D51" s="469"/>
      <c r="F51" s="358">
        <v>5</v>
      </c>
      <c r="G51" s="358">
        <v>0</v>
      </c>
      <c r="H51" s="358">
        <v>0</v>
      </c>
      <c r="I51" s="358">
        <v>0</v>
      </c>
      <c r="J51" s="358">
        <v>0</v>
      </c>
      <c r="K51" s="358">
        <v>0</v>
      </c>
      <c r="L51" s="358">
        <v>0</v>
      </c>
      <c r="M51" s="358">
        <v>0</v>
      </c>
      <c r="N51" s="358">
        <v>0</v>
      </c>
      <c r="O51" s="358">
        <v>0</v>
      </c>
      <c r="P51" s="358">
        <v>0</v>
      </c>
      <c r="Q51" s="358">
        <v>0</v>
      </c>
      <c r="R51" s="358">
        <v>0</v>
      </c>
      <c r="S51" s="358">
        <v>0</v>
      </c>
      <c r="T51" s="358">
        <v>0</v>
      </c>
      <c r="U51" s="358">
        <v>0</v>
      </c>
      <c r="V51" s="358">
        <v>0</v>
      </c>
      <c r="W51" s="358">
        <v>0</v>
      </c>
      <c r="X51" s="358">
        <v>0</v>
      </c>
      <c r="Y51" s="358">
        <v>0</v>
      </c>
      <c r="Z51" s="358">
        <v>0</v>
      </c>
    </row>
    <row r="52" spans="1:44" x14ac:dyDescent="0.3">
      <c r="A52" s="470" t="s">
        <v>192</v>
      </c>
      <c r="B52" s="467"/>
      <c r="C52" s="467"/>
      <c r="D52" s="469"/>
      <c r="F52" s="358">
        <v>6</v>
      </c>
      <c r="G52" s="358">
        <v>3</v>
      </c>
      <c r="H52" s="358">
        <v>3</v>
      </c>
      <c r="I52" s="358">
        <v>3</v>
      </c>
      <c r="J52" s="358">
        <v>0</v>
      </c>
      <c r="K52" s="358">
        <v>0</v>
      </c>
      <c r="L52" s="358">
        <v>0</v>
      </c>
      <c r="M52" s="358">
        <v>0</v>
      </c>
      <c r="N52" s="358">
        <v>0</v>
      </c>
      <c r="O52" s="358">
        <v>0</v>
      </c>
      <c r="P52" s="358">
        <v>0</v>
      </c>
      <c r="Q52" s="358">
        <v>0</v>
      </c>
      <c r="R52" s="358">
        <v>0</v>
      </c>
      <c r="S52" s="358">
        <v>0</v>
      </c>
      <c r="T52" s="358">
        <v>0</v>
      </c>
      <c r="U52" s="358">
        <v>0</v>
      </c>
      <c r="V52" s="358">
        <v>0</v>
      </c>
      <c r="W52" s="358">
        <v>0</v>
      </c>
      <c r="X52" s="358">
        <v>0</v>
      </c>
      <c r="Y52" s="358">
        <v>0</v>
      </c>
      <c r="Z52" s="358">
        <v>0</v>
      </c>
    </row>
    <row r="53" spans="1:44" x14ac:dyDescent="0.3">
      <c r="A53" s="470" t="s">
        <v>221</v>
      </c>
      <c r="B53" s="467"/>
      <c r="C53" s="467"/>
      <c r="D53" s="469"/>
      <c r="F53" s="358">
        <v>0</v>
      </c>
      <c r="G53" s="358">
        <v>0</v>
      </c>
      <c r="H53" s="358">
        <v>0</v>
      </c>
      <c r="I53" s="358">
        <v>0</v>
      </c>
      <c r="J53" s="358">
        <v>0</v>
      </c>
      <c r="K53" s="358">
        <v>0</v>
      </c>
      <c r="L53" s="358">
        <v>0</v>
      </c>
      <c r="M53" s="358">
        <v>0</v>
      </c>
      <c r="N53" s="358">
        <v>0</v>
      </c>
      <c r="O53" s="358">
        <v>0</v>
      </c>
      <c r="P53" s="358">
        <v>0</v>
      </c>
      <c r="Q53" s="358">
        <v>0</v>
      </c>
      <c r="R53" s="358">
        <v>0</v>
      </c>
      <c r="S53" s="358">
        <v>0</v>
      </c>
      <c r="T53" s="358">
        <v>0</v>
      </c>
      <c r="U53" s="358">
        <v>0</v>
      </c>
      <c r="V53" s="358">
        <v>0</v>
      </c>
      <c r="W53" s="358">
        <v>0</v>
      </c>
      <c r="X53" s="358">
        <v>0</v>
      </c>
      <c r="Y53" s="358">
        <v>0</v>
      </c>
      <c r="Z53" s="358">
        <v>0</v>
      </c>
    </row>
    <row r="54" spans="1:44" x14ac:dyDescent="0.3">
      <c r="A54" s="470" t="s">
        <v>178</v>
      </c>
      <c r="B54" s="467"/>
      <c r="C54" s="467"/>
      <c r="D54" s="469"/>
      <c r="F54" s="358">
        <v>70</v>
      </c>
      <c r="G54" s="358">
        <v>56</v>
      </c>
      <c r="H54" s="358">
        <v>56</v>
      </c>
      <c r="I54" s="358">
        <v>56</v>
      </c>
      <c r="J54" s="358">
        <v>40</v>
      </c>
      <c r="K54" s="358">
        <v>40</v>
      </c>
      <c r="L54" s="358">
        <v>36</v>
      </c>
      <c r="M54" s="358">
        <v>36</v>
      </c>
      <c r="N54" s="358">
        <v>36</v>
      </c>
      <c r="O54" s="358">
        <v>36</v>
      </c>
      <c r="P54" s="358">
        <v>36</v>
      </c>
      <c r="Q54" s="358">
        <v>36</v>
      </c>
      <c r="R54" s="358">
        <v>35</v>
      </c>
      <c r="S54" s="358">
        <v>35</v>
      </c>
      <c r="T54" s="358">
        <v>35</v>
      </c>
      <c r="U54" s="358">
        <v>33</v>
      </c>
      <c r="V54" s="358">
        <v>33</v>
      </c>
      <c r="W54" s="358">
        <v>33</v>
      </c>
      <c r="X54" s="358">
        <v>33</v>
      </c>
      <c r="Y54" s="358">
        <v>0</v>
      </c>
      <c r="Z54" s="358">
        <v>28</v>
      </c>
    </row>
    <row r="55" spans="1:44" x14ac:dyDescent="0.3">
      <c r="A55" s="470" t="s">
        <v>179</v>
      </c>
      <c r="B55" s="467"/>
      <c r="C55" s="467"/>
      <c r="D55" s="469"/>
      <c r="F55" s="358">
        <v>12</v>
      </c>
      <c r="G55" s="358">
        <v>5</v>
      </c>
      <c r="H55" s="358">
        <v>5</v>
      </c>
      <c r="I55" s="358">
        <v>5</v>
      </c>
      <c r="J55" s="358">
        <v>4</v>
      </c>
      <c r="K55" s="358">
        <v>4</v>
      </c>
      <c r="L55" s="358">
        <v>4</v>
      </c>
      <c r="M55" s="358">
        <v>4</v>
      </c>
      <c r="N55" s="358">
        <v>4</v>
      </c>
      <c r="O55" s="358">
        <v>4</v>
      </c>
      <c r="P55" s="358">
        <v>4</v>
      </c>
      <c r="Q55" s="358">
        <v>4</v>
      </c>
      <c r="R55" s="358">
        <v>15</v>
      </c>
      <c r="S55" s="358">
        <v>15</v>
      </c>
      <c r="T55" s="358">
        <v>15</v>
      </c>
      <c r="U55" s="358">
        <v>14</v>
      </c>
      <c r="V55" s="358">
        <v>14</v>
      </c>
      <c r="W55" s="358">
        <v>14</v>
      </c>
      <c r="X55" s="358">
        <v>14</v>
      </c>
      <c r="Y55" s="358">
        <v>0</v>
      </c>
      <c r="Z55" s="358">
        <v>13</v>
      </c>
    </row>
    <row r="56" spans="1:44" x14ac:dyDescent="0.3">
      <c r="A56" s="470" t="s">
        <v>332</v>
      </c>
      <c r="B56" s="467"/>
      <c r="C56" s="467"/>
      <c r="D56" s="469"/>
      <c r="F56" s="358"/>
      <c r="G56" s="358"/>
      <c r="H56" s="358"/>
      <c r="I56" s="358"/>
      <c r="J56" s="358"/>
      <c r="K56" s="358"/>
      <c r="L56" s="358"/>
      <c r="M56" s="358"/>
      <c r="N56" s="358">
        <v>0</v>
      </c>
      <c r="O56" s="358">
        <v>0</v>
      </c>
      <c r="P56" s="358">
        <v>0</v>
      </c>
      <c r="Q56" s="358">
        <v>0</v>
      </c>
      <c r="R56" s="358">
        <v>0</v>
      </c>
      <c r="S56" s="358">
        <v>4</v>
      </c>
      <c r="T56" s="358">
        <v>4</v>
      </c>
      <c r="U56" s="358">
        <v>3</v>
      </c>
      <c r="V56" s="358">
        <v>3</v>
      </c>
      <c r="W56" s="358">
        <v>3</v>
      </c>
      <c r="X56" s="358">
        <v>3</v>
      </c>
      <c r="Y56" s="358">
        <v>0</v>
      </c>
      <c r="Z56" s="358">
        <v>3</v>
      </c>
    </row>
    <row r="57" spans="1:44" x14ac:dyDescent="0.3">
      <c r="A57" s="470" t="s">
        <v>333</v>
      </c>
      <c r="B57" s="467"/>
      <c r="C57" s="467"/>
      <c r="D57" s="469"/>
      <c r="F57" s="358"/>
      <c r="G57" s="358"/>
      <c r="H57" s="358"/>
      <c r="I57" s="358"/>
      <c r="J57" s="358"/>
      <c r="K57" s="358"/>
      <c r="L57" s="358"/>
      <c r="M57" s="358"/>
      <c r="N57" s="358">
        <v>0</v>
      </c>
      <c r="O57" s="358">
        <v>0</v>
      </c>
      <c r="P57" s="358">
        <v>0</v>
      </c>
      <c r="Q57" s="358">
        <v>0</v>
      </c>
      <c r="R57" s="358">
        <v>0</v>
      </c>
      <c r="S57" s="358">
        <v>10</v>
      </c>
      <c r="T57" s="358">
        <v>10</v>
      </c>
      <c r="U57" s="358">
        <v>10</v>
      </c>
      <c r="V57" s="358">
        <v>10</v>
      </c>
      <c r="W57" s="358">
        <v>10</v>
      </c>
      <c r="X57" s="358">
        <v>10</v>
      </c>
      <c r="Y57" s="358">
        <v>0</v>
      </c>
      <c r="Z57" s="358">
        <v>0</v>
      </c>
    </row>
    <row r="58" spans="1:44" x14ac:dyDescent="0.3">
      <c r="A58" s="335" t="s">
        <v>334</v>
      </c>
      <c r="B58" s="336"/>
      <c r="C58" s="336"/>
      <c r="D58" s="337"/>
      <c r="F58" s="358"/>
      <c r="G58" s="358"/>
      <c r="H58" s="358"/>
      <c r="I58" s="358"/>
      <c r="J58" s="358"/>
      <c r="K58" s="358"/>
      <c r="L58" s="358"/>
      <c r="M58" s="358"/>
      <c r="N58" s="358"/>
      <c r="O58" s="358"/>
      <c r="P58" s="358"/>
      <c r="Q58" s="358"/>
      <c r="R58" s="358">
        <v>0</v>
      </c>
      <c r="S58" s="358">
        <v>0</v>
      </c>
      <c r="T58" s="358">
        <v>0</v>
      </c>
      <c r="U58" s="358">
        <v>0</v>
      </c>
      <c r="V58" s="358">
        <v>3</v>
      </c>
      <c r="W58" s="358">
        <v>3</v>
      </c>
      <c r="X58" s="358">
        <v>2</v>
      </c>
      <c r="Y58" s="358">
        <v>0</v>
      </c>
      <c r="Z58" s="358">
        <v>2</v>
      </c>
    </row>
    <row r="59" spans="1:44" x14ac:dyDescent="0.3">
      <c r="A59" s="335" t="s">
        <v>335</v>
      </c>
      <c r="B59" s="336"/>
      <c r="C59" s="336"/>
      <c r="D59" s="337"/>
      <c r="R59" s="358">
        <v>0</v>
      </c>
      <c r="S59" s="358">
        <v>0</v>
      </c>
      <c r="T59" s="358">
        <v>0</v>
      </c>
      <c r="U59" s="358">
        <v>0</v>
      </c>
      <c r="V59" s="358">
        <v>0</v>
      </c>
      <c r="W59" s="358">
        <v>39</v>
      </c>
      <c r="X59" s="358">
        <v>38</v>
      </c>
      <c r="Y59" s="358">
        <v>0</v>
      </c>
      <c r="Z59" s="358">
        <v>41</v>
      </c>
    </row>
    <row r="60" spans="1:44" x14ac:dyDescent="0.3">
      <c r="A60" s="335" t="s">
        <v>336</v>
      </c>
      <c r="B60" s="336"/>
      <c r="C60" s="336"/>
      <c r="D60" s="337"/>
      <c r="R60" s="358">
        <v>0</v>
      </c>
      <c r="S60" s="358">
        <v>0</v>
      </c>
      <c r="T60" s="358">
        <v>0</v>
      </c>
      <c r="U60" s="358">
        <v>0</v>
      </c>
      <c r="V60" s="358">
        <v>0</v>
      </c>
      <c r="W60" s="358">
        <v>39</v>
      </c>
      <c r="X60" s="358">
        <v>38</v>
      </c>
      <c r="Y60" s="358">
        <v>0</v>
      </c>
      <c r="Z60" s="358">
        <v>25</v>
      </c>
    </row>
    <row r="61" spans="1:44" x14ac:dyDescent="0.3">
      <c r="A61" s="335" t="s">
        <v>337</v>
      </c>
      <c r="B61" s="336"/>
      <c r="C61" s="336"/>
      <c r="D61" s="337"/>
      <c r="R61" s="358"/>
      <c r="S61" s="358"/>
      <c r="T61" s="358"/>
      <c r="U61" s="358"/>
      <c r="V61" s="358"/>
      <c r="W61" s="358"/>
      <c r="X61" s="358"/>
      <c r="Y61" s="358">
        <v>0</v>
      </c>
      <c r="Z61" s="358">
        <v>103</v>
      </c>
    </row>
    <row r="62" spans="1:44" x14ac:dyDescent="0.3">
      <c r="A62" s="470"/>
      <c r="B62" s="467"/>
      <c r="C62" s="467"/>
      <c r="D62" s="469"/>
      <c r="R62" s="358"/>
      <c r="S62" s="358"/>
      <c r="T62" s="358"/>
      <c r="U62" s="358"/>
      <c r="V62" s="358"/>
      <c r="W62" s="358"/>
      <c r="X62" s="358"/>
      <c r="Y62" s="358"/>
      <c r="Z62" s="358"/>
    </row>
  </sheetData>
  <mergeCells count="17">
    <mergeCell ref="A1:AA1"/>
    <mergeCell ref="B5:B6"/>
    <mergeCell ref="B2:D2"/>
    <mergeCell ref="D5:D6"/>
    <mergeCell ref="A62:D62"/>
    <mergeCell ref="A54:D54"/>
    <mergeCell ref="A55:D55"/>
    <mergeCell ref="A52:D52"/>
    <mergeCell ref="C5:C6"/>
    <mergeCell ref="A57:D57"/>
    <mergeCell ref="A51:D51"/>
    <mergeCell ref="A5:A6"/>
    <mergeCell ref="AT7:BB7"/>
    <mergeCell ref="B3:D3"/>
    <mergeCell ref="A56:D56"/>
    <mergeCell ref="A53:D53"/>
    <mergeCell ref="A50:D50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59" fitToHeight="0" orientation="landscape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49">
    <tabColor theme="9"/>
  </sheetPr>
  <dimension ref="A1:BN117"/>
  <sheetViews>
    <sheetView showGridLines="0" topLeftCell="A4" zoomScale="80" zoomScaleNormal="80" workbookViewId="0">
      <selection activeCell="AL55" sqref="AL55"/>
    </sheetView>
  </sheetViews>
  <sheetFormatPr defaultColWidth="9.140625" defaultRowHeight="15" x14ac:dyDescent="0.25"/>
  <cols>
    <col min="1" max="1" width="24.7109375" customWidth="1"/>
    <col min="2" max="2" width="8.7109375" customWidth="1"/>
    <col min="3" max="3" width="15.28515625" customWidth="1"/>
    <col min="5" max="5" width="1.7109375" customWidth="1"/>
    <col min="6" max="6" width="8.28515625" hidden="1" customWidth="1"/>
    <col min="7" max="25" width="13" hidden="1" customWidth="1"/>
    <col min="26" max="26" width="8.28515625" hidden="1" customWidth="1"/>
    <col min="27" max="29" width="13" hidden="1" customWidth="1"/>
    <col min="30" max="31" width="13" customWidth="1"/>
    <col min="32" max="32" width="9.7109375" customWidth="1"/>
    <col min="33" max="33" width="1.42578125" customWidth="1"/>
    <col min="34" max="34" width="14.28515625" customWidth="1"/>
    <col min="36" max="36" width="1.28515625" customWidth="1"/>
    <col min="37" max="37" width="15.85546875" customWidth="1"/>
    <col min="38" max="38" width="2.140625" customWidth="1"/>
    <col min="39" max="39" width="8.7109375" customWidth="1"/>
    <col min="40" max="41" width="13" customWidth="1"/>
    <col min="42" max="43" width="13" hidden="1" customWidth="1"/>
    <col min="44" max="44" width="8.7109375" hidden="1" customWidth="1"/>
    <col min="45" max="51" width="13" hidden="1" customWidth="1"/>
    <col min="52" max="52" width="9.140625" customWidth="1"/>
    <col min="53" max="53" width="21.85546875" customWidth="1"/>
    <col min="54" max="54" width="9.140625" customWidth="1"/>
    <col min="55" max="59" width="13" hidden="1" customWidth="1"/>
    <col min="60" max="60" width="9.140625" hidden="1" customWidth="1"/>
    <col min="61" max="63" width="13" hidden="1" customWidth="1"/>
    <col min="64" max="65" width="13" customWidth="1"/>
  </cols>
  <sheetData>
    <row r="1" spans="1:66" ht="23.25" customHeight="1" x14ac:dyDescent="0.25">
      <c r="A1" s="133" t="s">
        <v>117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  <c r="S1" s="338"/>
      <c r="T1" s="338"/>
      <c r="U1" s="338"/>
      <c r="V1" s="338"/>
      <c r="W1" s="338"/>
      <c r="X1" s="338"/>
      <c r="Y1" s="338"/>
      <c r="Z1" s="338"/>
      <c r="AA1" s="338"/>
      <c r="AB1" s="338"/>
      <c r="AC1" s="338"/>
      <c r="AD1" s="338"/>
      <c r="AE1" s="338"/>
      <c r="AF1" s="338"/>
      <c r="AG1" s="338"/>
      <c r="AH1" s="354"/>
      <c r="AI1" s="354"/>
      <c r="AJ1" s="338"/>
      <c r="AK1" s="338"/>
      <c r="AL1" s="353"/>
      <c r="AM1" s="353"/>
      <c r="AN1" s="353"/>
      <c r="AO1" s="353"/>
      <c r="AP1" s="353"/>
      <c r="AQ1" s="353"/>
      <c r="AR1" s="353"/>
      <c r="AS1" s="353"/>
      <c r="AT1" s="353"/>
      <c r="AU1" s="353"/>
      <c r="AV1" s="353"/>
      <c r="AW1" s="353"/>
      <c r="AX1" s="353"/>
      <c r="AY1" s="353"/>
    </row>
    <row r="2" spans="1:66" ht="18.75" x14ac:dyDescent="0.3">
      <c r="A2" s="63" t="s">
        <v>118</v>
      </c>
      <c r="B2" s="473" t="s">
        <v>338</v>
      </c>
      <c r="C2" s="463"/>
      <c r="D2" s="464"/>
      <c r="AH2" s="41"/>
      <c r="AI2" s="41"/>
      <c r="AK2" s="11"/>
    </row>
    <row r="3" spans="1:66" ht="18.75" x14ac:dyDescent="0.3">
      <c r="A3" s="63" t="s">
        <v>120</v>
      </c>
      <c r="B3" s="465" t="s">
        <v>339</v>
      </c>
      <c r="C3" s="463"/>
      <c r="D3" s="464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442"/>
      <c r="AC3" s="442"/>
      <c r="AD3" s="442"/>
      <c r="AE3" s="442"/>
      <c r="AF3" s="7"/>
      <c r="AG3" s="7"/>
      <c r="AH3" s="41"/>
      <c r="AI3" s="41"/>
      <c r="AJ3" s="7"/>
    </row>
    <row r="4" spans="1:66" ht="18.75" x14ac:dyDescent="0.3">
      <c r="AH4" s="41"/>
      <c r="AI4" s="41"/>
      <c r="AK4" s="11"/>
      <c r="AL4" s="154"/>
      <c r="AM4" s="387"/>
      <c r="AN4" s="387"/>
      <c r="AO4" s="387"/>
      <c r="AP4" s="387"/>
      <c r="AQ4" s="387"/>
      <c r="AR4" s="387"/>
      <c r="AS4" s="387"/>
      <c r="AT4" s="387"/>
      <c r="AU4" s="387"/>
      <c r="AV4" s="387"/>
      <c r="AW4" s="387"/>
      <c r="AX4" s="387"/>
      <c r="AY4" s="387"/>
    </row>
    <row r="5" spans="1:66" ht="18.75" customHeight="1" x14ac:dyDescent="0.3">
      <c r="A5" s="460" t="s">
        <v>122</v>
      </c>
      <c r="B5" s="471" t="s">
        <v>123</v>
      </c>
      <c r="C5" s="471" t="s">
        <v>124</v>
      </c>
      <c r="D5" s="474" t="s">
        <v>125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H5" s="29" t="s">
        <v>126</v>
      </c>
      <c r="AI5" s="29" t="s">
        <v>126</v>
      </c>
      <c r="AK5" s="9" t="s">
        <v>127</v>
      </c>
      <c r="AL5" s="363">
        <v>46161.483291126067</v>
      </c>
      <c r="AM5" s="363"/>
      <c r="AN5" s="363">
        <v>46142</v>
      </c>
      <c r="AO5" s="363">
        <v>46114</v>
      </c>
      <c r="AP5" s="409">
        <v>46065</v>
      </c>
      <c r="AQ5" s="363">
        <v>46099</v>
      </c>
      <c r="AR5" s="363">
        <v>46084</v>
      </c>
      <c r="AS5" s="363">
        <v>46048</v>
      </c>
      <c r="AT5" s="363">
        <v>46035</v>
      </c>
      <c r="AU5" s="363">
        <v>46029</v>
      </c>
      <c r="AV5" s="363">
        <v>46017</v>
      </c>
      <c r="AW5" s="363">
        <v>46007</v>
      </c>
      <c r="AX5" s="363">
        <v>46001</v>
      </c>
      <c r="AY5" s="363">
        <v>45951</v>
      </c>
    </row>
    <row r="6" spans="1:66" s="3" customFormat="1" ht="18.75" x14ac:dyDescent="0.3">
      <c r="A6" s="461"/>
      <c r="B6" s="461"/>
      <c r="C6" s="461"/>
      <c r="D6" s="461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13">
        <v>46160</v>
      </c>
      <c r="AB6" s="13">
        <v>46161.480132453697</v>
      </c>
      <c r="AC6" s="13">
        <v>46161.480806111111</v>
      </c>
      <c r="AD6" s="13">
        <v>46161.482963182869</v>
      </c>
      <c r="AE6" s="13">
        <v>46161.483291840901</v>
      </c>
      <c r="AF6" s="35" t="s">
        <v>129</v>
      </c>
      <c r="AG6" s="31"/>
      <c r="AH6" s="18"/>
      <c r="AI6" s="18"/>
      <c r="AJ6" s="31"/>
      <c r="AK6" s="179"/>
      <c r="AL6" s="363">
        <v>46161.483291126322</v>
      </c>
      <c r="AM6" s="363"/>
      <c r="AN6" s="363">
        <v>46149</v>
      </c>
      <c r="AO6" s="363">
        <v>46126</v>
      </c>
      <c r="AP6" s="409">
        <v>46107</v>
      </c>
      <c r="AQ6" s="363">
        <v>46106</v>
      </c>
      <c r="AR6" s="363">
        <v>46091</v>
      </c>
      <c r="AS6" s="363">
        <v>46056</v>
      </c>
      <c r="AT6" s="363">
        <v>46042</v>
      </c>
      <c r="AU6" s="363">
        <v>46037</v>
      </c>
      <c r="AV6" s="363">
        <v>46028</v>
      </c>
      <c r="AW6" s="363">
        <v>46386</v>
      </c>
      <c r="AX6" s="363">
        <v>46009</v>
      </c>
      <c r="AY6" s="363">
        <v>45960</v>
      </c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</row>
    <row r="7" spans="1:66" s="3" customFormat="1" ht="21.75" customHeight="1" x14ac:dyDescent="0.3">
      <c r="A7" s="20" t="s">
        <v>130</v>
      </c>
      <c r="B7" s="4"/>
      <c r="C7" s="5"/>
      <c r="D7" s="233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1"/>
      <c r="AH7" s="12"/>
      <c r="AI7" s="12"/>
      <c r="AJ7" s="11"/>
      <c r="AK7" s="12"/>
      <c r="AL7" s="12"/>
      <c r="AM7" s="12"/>
      <c r="AN7" s="12"/>
      <c r="AO7" s="12"/>
      <c r="AP7" s="12" t="s">
        <v>131</v>
      </c>
      <c r="AQ7" s="12"/>
      <c r="AR7" s="12"/>
      <c r="AS7" s="12"/>
      <c r="AT7" s="12"/>
      <c r="AU7" s="12"/>
      <c r="AV7" s="12"/>
      <c r="AW7" s="466"/>
      <c r="AX7" s="466"/>
      <c r="AY7" s="467"/>
      <c r="AZ7" s="467"/>
      <c r="BA7" s="467"/>
      <c r="BB7" s="467"/>
      <c r="BC7" s="467"/>
      <c r="BD7" s="467"/>
      <c r="BE7" s="467"/>
      <c r="BF7" s="447"/>
      <c r="BG7" s="447"/>
      <c r="BH7" s="452"/>
      <c r="BI7" s="443"/>
      <c r="BJ7" s="444"/>
      <c r="BK7" s="444"/>
      <c r="BL7" s="444"/>
      <c r="BM7" s="444"/>
      <c r="BN7" s="412"/>
    </row>
    <row r="8" spans="1:66" s="3" customFormat="1" ht="18.75" x14ac:dyDescent="0.3">
      <c r="A8" s="21" t="s">
        <v>132</v>
      </c>
      <c r="B8" s="6">
        <v>300</v>
      </c>
      <c r="C8" s="82">
        <v>187.12</v>
      </c>
      <c r="D8" s="234">
        <v>150</v>
      </c>
      <c r="E8" s="11"/>
      <c r="F8" s="39">
        <v>300</v>
      </c>
      <c r="G8" s="39">
        <v>0</v>
      </c>
      <c r="H8" s="39">
        <v>300</v>
      </c>
      <c r="I8" s="39">
        <v>180</v>
      </c>
      <c r="J8" s="39">
        <f>180+AP8</f>
        <v>180</v>
      </c>
      <c r="K8" s="39">
        <v>480</v>
      </c>
      <c r="L8" s="39">
        <v>480</v>
      </c>
      <c r="M8" s="39">
        <v>480</v>
      </c>
      <c r="N8" s="39">
        <v>480</v>
      </c>
      <c r="O8" s="39">
        <v>360</v>
      </c>
      <c r="P8" s="39">
        <v>320</v>
      </c>
      <c r="Q8" s="39">
        <v>280</v>
      </c>
      <c r="R8" s="39">
        <v>280</v>
      </c>
      <c r="S8" s="39">
        <v>280</v>
      </c>
      <c r="T8" s="39">
        <v>280</v>
      </c>
      <c r="U8" s="39">
        <v>200</v>
      </c>
      <c r="V8" s="39">
        <v>160</v>
      </c>
      <c r="W8" s="39">
        <v>160</v>
      </c>
      <c r="X8" s="39">
        <v>120</v>
      </c>
      <c r="Y8" s="39">
        <f>120+AJ8</f>
        <v>120</v>
      </c>
      <c r="Z8" s="39">
        <v>360</v>
      </c>
      <c r="AA8" s="39"/>
      <c r="AB8" s="6"/>
      <c r="AC8" s="6"/>
      <c r="AD8" s="6"/>
      <c r="AE8" s="6"/>
      <c r="AF8" s="372">
        <f ca="1">AD8+IF(NOT(ISBLANK(OFFSET(AF8,0,6))),N(OFFSET(AF8,0,6)),N(OFFSET(AF8,0,7)))-AE8</f>
        <v>0</v>
      </c>
      <c r="AG8" s="11"/>
      <c r="AH8" s="78"/>
      <c r="AI8" s="78"/>
      <c r="AJ8" s="11"/>
      <c r="AK8" s="32"/>
      <c r="AL8" s="445">
        <v>0</v>
      </c>
      <c r="AM8" s="19">
        <v>0</v>
      </c>
      <c r="AN8" s="19">
        <v>300</v>
      </c>
      <c r="AO8" s="19"/>
      <c r="AP8" s="19"/>
      <c r="AQ8" s="19"/>
      <c r="AR8" s="19"/>
      <c r="AS8" s="19"/>
      <c r="AT8" s="19">
        <v>300</v>
      </c>
      <c r="AU8" s="19"/>
      <c r="AV8" s="19"/>
      <c r="AW8" s="19">
        <v>300</v>
      </c>
      <c r="AX8" s="19">
        <v>300</v>
      </c>
      <c r="AY8" s="19"/>
      <c r="BA8" s="389" t="s">
        <v>130</v>
      </c>
      <c r="BB8" s="376" t="s">
        <v>123</v>
      </c>
      <c r="BC8" s="13">
        <v>46118</v>
      </c>
      <c r="BD8" s="13">
        <v>46125</v>
      </c>
      <c r="BE8" s="13">
        <v>46132</v>
      </c>
      <c r="BF8" s="13">
        <v>46139</v>
      </c>
      <c r="BG8" s="13">
        <v>46146</v>
      </c>
      <c r="BH8" s="13">
        <v>46154</v>
      </c>
      <c r="BI8" s="13">
        <v>46160</v>
      </c>
      <c r="BJ8" s="13">
        <v>46161.480131898148</v>
      </c>
      <c r="BK8" s="13">
        <v>46161.480805520827</v>
      </c>
      <c r="BL8" s="13">
        <v>46161.482962604168</v>
      </c>
      <c r="BM8" s="13">
        <v>46161.483291278717</v>
      </c>
      <c r="BN8" s="35" t="s">
        <v>129</v>
      </c>
    </row>
    <row r="9" spans="1:66" s="3" customFormat="1" ht="20.25" customHeight="1" x14ac:dyDescent="0.3">
      <c r="A9" s="21" t="s">
        <v>134</v>
      </c>
      <c r="B9" s="6">
        <v>200</v>
      </c>
      <c r="C9" s="82">
        <v>193.08</v>
      </c>
      <c r="D9" s="234">
        <v>400</v>
      </c>
      <c r="E9" s="11"/>
      <c r="F9" s="39">
        <v>80</v>
      </c>
      <c r="G9" s="39">
        <v>0</v>
      </c>
      <c r="H9" s="39">
        <v>240</v>
      </c>
      <c r="I9" s="39">
        <v>320</v>
      </c>
      <c r="J9" s="39">
        <f>360+AP9</f>
        <v>960</v>
      </c>
      <c r="K9" s="39">
        <v>480</v>
      </c>
      <c r="L9" s="39">
        <f>400+AO9</f>
        <v>600</v>
      </c>
      <c r="M9" s="39">
        <v>480</v>
      </c>
      <c r="N9" s="39">
        <v>580</v>
      </c>
      <c r="O9" s="39">
        <v>520</v>
      </c>
      <c r="P9" s="39">
        <v>160</v>
      </c>
      <c r="Q9" s="39">
        <f>0+AN9</f>
        <v>200</v>
      </c>
      <c r="R9" s="39">
        <v>220</v>
      </c>
      <c r="S9" s="39">
        <f>120+AM9</f>
        <v>120</v>
      </c>
      <c r="T9" s="39">
        <v>220</v>
      </c>
      <c r="U9" s="39">
        <v>100</v>
      </c>
      <c r="V9" s="39">
        <f>40+AJ9</f>
        <v>40</v>
      </c>
      <c r="W9" s="39">
        <v>240</v>
      </c>
      <c r="X9" s="39">
        <v>240</v>
      </c>
      <c r="Y9" s="39">
        <f>240+AJ9</f>
        <v>240</v>
      </c>
      <c r="Z9" s="39">
        <v>440</v>
      </c>
      <c r="AA9" s="39"/>
      <c r="AB9" s="6"/>
      <c r="AC9" s="6"/>
      <c r="AD9" s="6"/>
      <c r="AE9" s="6"/>
      <c r="AF9" s="372">
        <f ca="1">AD9+IF(NOT(ISBLANK(OFFSET(AF9,0,6))),N(OFFSET(AF9,0,6)),N(OFFSET(AF9,0,7)))-AE9</f>
        <v>0</v>
      </c>
      <c r="AG9" s="11"/>
      <c r="AH9" s="78"/>
      <c r="AI9" s="78"/>
      <c r="AJ9" s="11"/>
      <c r="AK9" s="32"/>
      <c r="AL9" s="445">
        <v>0</v>
      </c>
      <c r="AM9" s="19">
        <v>0</v>
      </c>
      <c r="AN9" s="19">
        <v>200</v>
      </c>
      <c r="AO9" s="19">
        <v>200</v>
      </c>
      <c r="AP9" s="117">
        <v>600</v>
      </c>
      <c r="AQ9" s="19">
        <v>200</v>
      </c>
      <c r="AR9" s="19">
        <v>400</v>
      </c>
      <c r="AS9" s="19">
        <v>200</v>
      </c>
      <c r="AT9" s="19">
        <v>200</v>
      </c>
      <c r="AU9" s="19">
        <v>200</v>
      </c>
      <c r="AV9" s="19">
        <v>200</v>
      </c>
      <c r="AW9" s="19">
        <v>400</v>
      </c>
      <c r="AX9" s="19">
        <v>400</v>
      </c>
      <c r="AY9" s="19">
        <v>200</v>
      </c>
      <c r="BA9" s="364" t="s">
        <v>136</v>
      </c>
      <c r="BB9" s="135">
        <v>200</v>
      </c>
      <c r="BC9" s="39">
        <f>AL9</f>
        <v>0</v>
      </c>
      <c r="BD9" s="39">
        <v>520</v>
      </c>
      <c r="BE9" s="39">
        <v>400</v>
      </c>
      <c r="BF9" s="39">
        <v>320</v>
      </c>
      <c r="BG9" s="39">
        <v>180</v>
      </c>
      <c r="BH9" s="39">
        <v>0</v>
      </c>
      <c r="BI9" s="39"/>
      <c r="BJ9" s="6"/>
      <c r="BK9" s="6"/>
      <c r="BL9" s="6"/>
      <c r="BM9" s="6"/>
      <c r="BN9" s="26">
        <f ca="1">BL9+IF(NOT(ISBLANK(OFFSET(BN9,0,6))),N(OFFSET(BN9,0,6)),N(OFFSET(BN9,0,7)))-BM9</f>
        <v>0</v>
      </c>
    </row>
    <row r="10" spans="1:66" s="3" customFormat="1" ht="18.75" x14ac:dyDescent="0.3">
      <c r="A10" s="21" t="s">
        <v>137</v>
      </c>
      <c r="B10" s="6">
        <v>200</v>
      </c>
      <c r="C10" s="82">
        <v>253.83</v>
      </c>
      <c r="D10" s="234">
        <v>150</v>
      </c>
      <c r="E10" s="11"/>
      <c r="F10" s="39">
        <v>0</v>
      </c>
      <c r="G10" s="39">
        <v>0</v>
      </c>
      <c r="H10" s="39">
        <v>80</v>
      </c>
      <c r="I10" s="39">
        <v>40</v>
      </c>
      <c r="J10" s="39">
        <f>220+AP10</f>
        <v>620</v>
      </c>
      <c r="K10" s="39">
        <v>400</v>
      </c>
      <c r="L10" s="39">
        <v>400</v>
      </c>
      <c r="M10" s="39">
        <v>320</v>
      </c>
      <c r="N10" s="39">
        <v>320</v>
      </c>
      <c r="O10" s="39">
        <v>280</v>
      </c>
      <c r="P10" s="39">
        <v>260</v>
      </c>
      <c r="Q10" s="39">
        <v>200</v>
      </c>
      <c r="R10" s="39">
        <v>120</v>
      </c>
      <c r="S10" s="39">
        <f>80+AM10</f>
        <v>80</v>
      </c>
      <c r="T10" s="39">
        <v>280</v>
      </c>
      <c r="U10" s="39">
        <v>240</v>
      </c>
      <c r="V10" s="39">
        <v>320</v>
      </c>
      <c r="W10" s="39">
        <v>320</v>
      </c>
      <c r="X10" s="39">
        <v>320</v>
      </c>
      <c r="Y10" s="39">
        <v>320</v>
      </c>
      <c r="Z10" s="39">
        <v>320</v>
      </c>
      <c r="AA10" s="39"/>
      <c r="AB10" s="6"/>
      <c r="AC10" s="6"/>
      <c r="AD10" s="6"/>
      <c r="AE10" s="6"/>
      <c r="AF10" s="372">
        <f ca="1">AD10+IF(NOT(ISBLANK(OFFSET(AF10,0,6))),N(OFFSET(AF10,0,6)),N(OFFSET(AF10,0,7)))-AE10</f>
        <v>0</v>
      </c>
      <c r="AG10" s="11"/>
      <c r="AH10" s="78"/>
      <c r="AI10" s="78"/>
      <c r="AJ10" s="11"/>
      <c r="AK10" s="32"/>
      <c r="AL10" s="445">
        <v>0</v>
      </c>
      <c r="AM10" s="19">
        <v>0</v>
      </c>
      <c r="AN10" s="19">
        <v>0</v>
      </c>
      <c r="AO10" s="19"/>
      <c r="AP10" s="117">
        <v>400</v>
      </c>
      <c r="AQ10" s="19">
        <v>200</v>
      </c>
      <c r="AR10" s="19"/>
      <c r="AS10" s="19"/>
      <c r="AT10" s="19">
        <v>200</v>
      </c>
      <c r="AU10" s="19">
        <v>200</v>
      </c>
      <c r="AV10" s="19"/>
      <c r="AW10" s="19">
        <v>400</v>
      </c>
      <c r="AX10" s="19"/>
      <c r="AY10" s="19"/>
      <c r="BA10" s="21" t="s">
        <v>138</v>
      </c>
      <c r="BB10" s="6">
        <v>200</v>
      </c>
      <c r="BC10" s="39">
        <f>AL10</f>
        <v>0</v>
      </c>
      <c r="BD10" s="39">
        <v>300</v>
      </c>
      <c r="BE10" s="39">
        <v>260</v>
      </c>
      <c r="BF10" s="39">
        <v>220</v>
      </c>
      <c r="BG10" s="39">
        <v>120</v>
      </c>
      <c r="BH10" s="39">
        <v>0</v>
      </c>
      <c r="BI10" s="39"/>
      <c r="BJ10" s="6"/>
      <c r="BK10" s="6"/>
      <c r="BL10" s="6"/>
      <c r="BM10" s="6"/>
      <c r="BN10" s="26">
        <f ca="1">BL10+IF(NOT(ISBLANK(OFFSET(BN10,0,6))),N(OFFSET(BN10,0,6)),N(OFFSET(BN10,0,7)))-BM10</f>
        <v>0</v>
      </c>
    </row>
    <row r="11" spans="1:66" s="3" customFormat="1" ht="18.75" x14ac:dyDescent="0.3">
      <c r="A11" s="22" t="s">
        <v>139</v>
      </c>
      <c r="B11" s="6">
        <v>100</v>
      </c>
      <c r="C11" s="82">
        <v>184.57</v>
      </c>
      <c r="D11" s="234">
        <v>30</v>
      </c>
      <c r="E11" s="11"/>
      <c r="F11" s="39">
        <v>0</v>
      </c>
      <c r="G11" s="39">
        <v>0</v>
      </c>
      <c r="H11" s="39">
        <v>0</v>
      </c>
      <c r="I11" s="39">
        <v>60</v>
      </c>
      <c r="J11" s="39">
        <v>60</v>
      </c>
      <c r="K11" s="39">
        <v>60</v>
      </c>
      <c r="L11" s="39">
        <v>60</v>
      </c>
      <c r="M11" s="39">
        <v>60</v>
      </c>
      <c r="N11" s="39">
        <v>60</v>
      </c>
      <c r="O11" s="39">
        <v>0</v>
      </c>
      <c r="P11" s="39">
        <v>0</v>
      </c>
      <c r="Q11" s="39">
        <v>0</v>
      </c>
      <c r="R11" s="39">
        <v>0</v>
      </c>
      <c r="S11" s="39">
        <v>0</v>
      </c>
      <c r="T11" s="39">
        <v>0</v>
      </c>
      <c r="U11" s="39">
        <v>0</v>
      </c>
      <c r="V11" s="39">
        <v>80</v>
      </c>
      <c r="W11" s="39">
        <v>80</v>
      </c>
      <c r="X11" s="39">
        <v>80</v>
      </c>
      <c r="Y11" s="39">
        <v>80</v>
      </c>
      <c r="Z11" s="39">
        <v>80</v>
      </c>
      <c r="AA11" s="39"/>
      <c r="AB11" s="6"/>
      <c r="AC11" s="6"/>
      <c r="AD11" s="6"/>
      <c r="AE11" s="6"/>
      <c r="AF11" s="372">
        <f ca="1">AD11+IF(NOT(ISBLANK(OFFSET(AF11,0,6))),N(OFFSET(AF11,0,6)),N(OFFSET(AF11,0,7)))-AE11</f>
        <v>0</v>
      </c>
      <c r="AG11" s="11"/>
      <c r="AH11" s="78"/>
      <c r="AI11" s="78"/>
      <c r="AJ11" s="11"/>
      <c r="AK11" s="32"/>
      <c r="AL11" s="445">
        <v>0</v>
      </c>
      <c r="AM11" s="19">
        <v>0</v>
      </c>
      <c r="AN11" s="19">
        <v>0</v>
      </c>
      <c r="AO11" s="19"/>
      <c r="AP11" s="117">
        <v>100</v>
      </c>
      <c r="AQ11" s="19"/>
      <c r="AR11" s="19"/>
      <c r="AS11" s="19"/>
      <c r="AT11" s="19"/>
      <c r="AU11" s="19"/>
      <c r="AV11" s="19">
        <v>100</v>
      </c>
      <c r="AW11" s="19"/>
      <c r="AX11" s="19"/>
      <c r="AY11" s="19"/>
      <c r="BA11" s="22" t="s">
        <v>140</v>
      </c>
      <c r="BB11" s="6">
        <v>100</v>
      </c>
      <c r="BC11" s="39">
        <f>AL11</f>
        <v>0</v>
      </c>
      <c r="BD11" s="39">
        <v>20</v>
      </c>
      <c r="BE11" s="39">
        <v>20</v>
      </c>
      <c r="BF11" s="39">
        <v>20</v>
      </c>
      <c r="BG11" s="39">
        <v>0</v>
      </c>
      <c r="BH11" s="39">
        <v>0</v>
      </c>
      <c r="BI11" s="39"/>
      <c r="BJ11" s="6"/>
      <c r="BK11" s="6"/>
      <c r="BL11" s="6"/>
      <c r="BM11" s="6"/>
      <c r="BN11" s="26">
        <f ca="1">BL11+IF(NOT(ISBLANK(OFFSET(BN11,0,6))),N(OFFSET(BN11,0,6)),N(OFFSET(BN11,0,7)))-BM11</f>
        <v>0</v>
      </c>
    </row>
    <row r="12" spans="1:66" s="3" customFormat="1" ht="16.5" customHeight="1" x14ac:dyDescent="0.3">
      <c r="A12" s="23"/>
      <c r="B12" s="1"/>
      <c r="C12" s="64"/>
      <c r="D12" s="235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1"/>
      <c r="AC12" s="1"/>
      <c r="AD12" s="1"/>
      <c r="AE12" s="1"/>
      <c r="AF12" s="2"/>
      <c r="AH12" s="342"/>
      <c r="AI12" s="342"/>
      <c r="AJ12" s="11"/>
      <c r="AK12" s="33"/>
      <c r="AL12" s="388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BA12" s="23"/>
      <c r="BB12" s="1"/>
      <c r="BC12" s="2"/>
      <c r="BD12" s="2"/>
      <c r="BE12" s="2"/>
      <c r="BF12" s="2"/>
      <c r="BG12" s="2"/>
      <c r="BH12" s="2"/>
      <c r="BI12" s="2"/>
      <c r="BJ12" s="1"/>
      <c r="BK12" s="1"/>
      <c r="BL12" s="1"/>
      <c r="BM12" s="1"/>
    </row>
    <row r="13" spans="1:66" s="3" customFormat="1" ht="18.75" x14ac:dyDescent="0.3">
      <c r="A13" s="24" t="s">
        <v>141</v>
      </c>
      <c r="B13" s="12"/>
      <c r="C13" s="65"/>
      <c r="D13" s="395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13">
        <v>46160</v>
      </c>
      <c r="AB13" s="13">
        <v>46161.480132453697</v>
      </c>
      <c r="AC13" s="13">
        <v>46161.480806111111</v>
      </c>
      <c r="AD13" s="13">
        <v>46161.482963182869</v>
      </c>
      <c r="AE13" s="13">
        <v>46161.483291841228</v>
      </c>
      <c r="AF13" s="35" t="s">
        <v>129</v>
      </c>
      <c r="AG13" s="7"/>
      <c r="AH13" s="29" t="s">
        <v>126</v>
      </c>
      <c r="AI13" s="29" t="s">
        <v>126</v>
      </c>
      <c r="AJ13" s="11"/>
      <c r="AK13" s="9" t="s">
        <v>127</v>
      </c>
      <c r="AL13" s="449">
        <v>46161.483291126751</v>
      </c>
      <c r="AM13" s="363"/>
      <c r="AN13" s="363">
        <v>46142</v>
      </c>
      <c r="AO13" s="363">
        <v>46114</v>
      </c>
      <c r="AP13" s="409">
        <v>46065</v>
      </c>
      <c r="AQ13" s="363">
        <v>46099</v>
      </c>
      <c r="AR13" s="363">
        <v>46084</v>
      </c>
      <c r="AS13" s="363">
        <v>46048</v>
      </c>
      <c r="AT13" s="363">
        <v>46035</v>
      </c>
      <c r="AU13" s="363">
        <v>46029</v>
      </c>
      <c r="AV13" s="363">
        <v>46017</v>
      </c>
      <c r="AW13" s="363">
        <v>46007</v>
      </c>
      <c r="AX13" s="363">
        <v>46001</v>
      </c>
      <c r="AY13" s="363">
        <v>45951</v>
      </c>
      <c r="BA13" s="389" t="s">
        <v>141</v>
      </c>
      <c r="BB13" s="376" t="s">
        <v>123</v>
      </c>
      <c r="BC13" s="13">
        <v>46118</v>
      </c>
      <c r="BD13" s="13">
        <v>46125</v>
      </c>
      <c r="BE13" s="13">
        <v>46132</v>
      </c>
      <c r="BF13" s="13">
        <v>46139</v>
      </c>
      <c r="BG13" s="13">
        <v>46146</v>
      </c>
      <c r="BH13" s="13">
        <v>46154</v>
      </c>
      <c r="BI13" s="13">
        <v>46160</v>
      </c>
      <c r="BJ13" s="13">
        <v>46161.480131898148</v>
      </c>
      <c r="BK13" s="13">
        <v>46161.480805520827</v>
      </c>
      <c r="BL13" s="13">
        <v>46161.482962604168</v>
      </c>
      <c r="BM13" s="13">
        <v>46161.483291278993</v>
      </c>
      <c r="BN13" s="35" t="s">
        <v>129</v>
      </c>
    </row>
    <row r="14" spans="1:66" s="3" customFormat="1" ht="18.75" x14ac:dyDescent="0.3">
      <c r="A14" s="25" t="s">
        <v>224</v>
      </c>
      <c r="B14" s="6">
        <v>500</v>
      </c>
      <c r="C14" s="66">
        <v>99.26</v>
      </c>
      <c r="D14" s="234">
        <v>2</v>
      </c>
      <c r="E14" s="7"/>
      <c r="F14" s="39">
        <v>2</v>
      </c>
      <c r="G14" s="39">
        <v>0</v>
      </c>
      <c r="H14" s="39">
        <v>0</v>
      </c>
      <c r="I14" s="39">
        <v>2</v>
      </c>
      <c r="J14" s="39">
        <f>4+AP14</f>
        <v>9</v>
      </c>
      <c r="K14" s="39">
        <v>6</v>
      </c>
      <c r="L14" s="39">
        <v>6</v>
      </c>
      <c r="M14" s="39">
        <v>5</v>
      </c>
      <c r="N14" s="39">
        <v>5</v>
      </c>
      <c r="O14" s="39">
        <v>4</v>
      </c>
      <c r="P14" s="39">
        <v>3</v>
      </c>
      <c r="Q14" s="39">
        <f>2+AN14</f>
        <v>5</v>
      </c>
      <c r="R14" s="39">
        <v>3</v>
      </c>
      <c r="S14" s="39">
        <f>2+AM14</f>
        <v>2</v>
      </c>
      <c r="T14" s="39">
        <v>4</v>
      </c>
      <c r="U14" s="39">
        <v>4</v>
      </c>
      <c r="V14" s="39">
        <v>3</v>
      </c>
      <c r="W14" s="39">
        <v>3</v>
      </c>
      <c r="X14" s="39">
        <v>3</v>
      </c>
      <c r="Y14" s="39">
        <f>3+AJ14</f>
        <v>3</v>
      </c>
      <c r="Z14" s="39">
        <v>6</v>
      </c>
      <c r="AA14" s="39"/>
      <c r="AB14" s="6"/>
      <c r="AC14" s="6"/>
      <c r="AD14" s="6"/>
      <c r="AE14" s="6"/>
      <c r="AF14" s="372">
        <f ca="1">AD14+IF(NOT(ISBLANK(OFFSET(AF14,0,6))),N(OFFSET(AF14,0,6)),N(OFFSET(AF14,0,7)))-AE14</f>
        <v>0</v>
      </c>
      <c r="AG14" s="7"/>
      <c r="AH14" s="78"/>
      <c r="AI14" s="78"/>
      <c r="AJ14" s="7"/>
      <c r="AK14" s="32"/>
      <c r="AL14" s="112">
        <v>0</v>
      </c>
      <c r="AM14" s="19">
        <v>0</v>
      </c>
      <c r="AN14" s="19">
        <v>3</v>
      </c>
      <c r="AO14" s="19"/>
      <c r="AP14" s="117">
        <v>5</v>
      </c>
      <c r="AQ14" s="19">
        <v>2</v>
      </c>
      <c r="AR14" s="19">
        <v>2</v>
      </c>
      <c r="AS14" s="19"/>
      <c r="AT14" s="19">
        <v>2</v>
      </c>
      <c r="AU14" s="19">
        <v>2</v>
      </c>
      <c r="AV14" s="19">
        <v>2</v>
      </c>
      <c r="AW14" s="19"/>
      <c r="AX14" s="19">
        <v>1</v>
      </c>
      <c r="AY14" s="19"/>
      <c r="BA14" s="364" t="s">
        <v>143</v>
      </c>
      <c r="BB14" s="135">
        <v>200</v>
      </c>
      <c r="BC14" s="39">
        <f>AL14</f>
        <v>0</v>
      </c>
      <c r="BD14" s="39">
        <v>4</v>
      </c>
      <c r="BE14" s="39">
        <v>4</v>
      </c>
      <c r="BF14" s="39">
        <v>3</v>
      </c>
      <c r="BG14" s="39">
        <v>2</v>
      </c>
      <c r="BH14" s="39">
        <v>0</v>
      </c>
      <c r="BI14" s="39"/>
      <c r="BJ14" s="6"/>
      <c r="BK14" s="6"/>
      <c r="BL14" s="6"/>
      <c r="BM14" s="6"/>
      <c r="BN14" s="26">
        <f ca="1">BL14+IF(NOT(ISBLANK(OFFSET(BN14,0,6))),N(OFFSET(BN14,0,6)),N(OFFSET(BN14,0,7)))-BM14</f>
        <v>0</v>
      </c>
    </row>
    <row r="15" spans="1:66" s="3" customFormat="1" ht="18.75" x14ac:dyDescent="0.3">
      <c r="A15" s="25" t="s">
        <v>225</v>
      </c>
      <c r="B15" s="6">
        <v>2000</v>
      </c>
      <c r="C15" s="66">
        <v>55.36</v>
      </c>
      <c r="D15" s="234">
        <v>1</v>
      </c>
      <c r="E15" s="7"/>
      <c r="F15" s="39">
        <v>2</v>
      </c>
      <c r="G15" s="39">
        <v>1</v>
      </c>
      <c r="H15" s="39">
        <v>2</v>
      </c>
      <c r="I15" s="39">
        <v>3</v>
      </c>
      <c r="J15" s="39">
        <v>3</v>
      </c>
      <c r="K15" s="39">
        <v>3</v>
      </c>
      <c r="L15" s="39">
        <v>3</v>
      </c>
      <c r="M15" s="39">
        <v>1</v>
      </c>
      <c r="N15" s="39">
        <v>1</v>
      </c>
      <c r="O15" s="39">
        <v>1</v>
      </c>
      <c r="P15" s="39">
        <v>1</v>
      </c>
      <c r="Q15" s="39">
        <v>1</v>
      </c>
      <c r="R15" s="39">
        <v>1</v>
      </c>
      <c r="S15" s="39">
        <v>1</v>
      </c>
      <c r="T15" s="39">
        <v>1</v>
      </c>
      <c r="U15" s="39">
        <v>3</v>
      </c>
      <c r="V15" s="39">
        <v>3</v>
      </c>
      <c r="W15" s="39">
        <v>3</v>
      </c>
      <c r="X15" s="39">
        <v>3</v>
      </c>
      <c r="Y15" s="39">
        <v>3</v>
      </c>
      <c r="Z15" s="39">
        <v>3</v>
      </c>
      <c r="AA15" s="39"/>
      <c r="AB15" s="6"/>
      <c r="AC15" s="6"/>
      <c r="AD15" s="6"/>
      <c r="AE15" s="6"/>
      <c r="AF15" s="372">
        <f ca="1">AD15+IF(NOT(ISBLANK(OFFSET(AF15,0,6))),N(OFFSET(AF15,0,6)),N(OFFSET(AF15,0,7)))-AE15</f>
        <v>0</v>
      </c>
      <c r="AG15" s="7"/>
      <c r="AH15" s="78"/>
      <c r="AI15" s="78"/>
      <c r="AJ15" s="7"/>
      <c r="AK15" s="32"/>
      <c r="AL15" s="112">
        <v>0</v>
      </c>
      <c r="AM15" s="19">
        <v>0</v>
      </c>
      <c r="AN15" s="19">
        <v>0</v>
      </c>
      <c r="AO15" s="19"/>
      <c r="AP15" s="117">
        <v>1</v>
      </c>
      <c r="AQ15" s="19"/>
      <c r="AR15" s="19"/>
      <c r="AS15" s="19"/>
      <c r="AT15" s="19"/>
      <c r="AU15" s="19"/>
      <c r="AV15" s="19">
        <v>2</v>
      </c>
      <c r="AW15" s="19">
        <v>1</v>
      </c>
      <c r="AX15" s="19">
        <v>1</v>
      </c>
      <c r="AY15" s="19"/>
      <c r="BA15" s="21" t="s">
        <v>146</v>
      </c>
      <c r="BB15" s="6">
        <v>200</v>
      </c>
      <c r="BC15" s="39">
        <f>AL15</f>
        <v>0</v>
      </c>
      <c r="BD15" s="39">
        <v>1</v>
      </c>
      <c r="BE15" s="39">
        <v>1</v>
      </c>
      <c r="BF15" s="39">
        <v>1</v>
      </c>
      <c r="BG15" s="39">
        <v>0</v>
      </c>
      <c r="BH15" s="39">
        <v>0</v>
      </c>
      <c r="BI15" s="39"/>
      <c r="BJ15" s="6"/>
      <c r="BK15" s="6"/>
      <c r="BL15" s="6"/>
      <c r="BM15" s="6"/>
      <c r="BN15" s="26">
        <f ca="1">BL15+IF(NOT(ISBLANK(OFFSET(BN15,0,6))),N(OFFSET(BN15,0,6)),N(OFFSET(BN15,0,7)))-BM15</f>
        <v>0</v>
      </c>
    </row>
    <row r="16" spans="1:66" s="3" customFormat="1" ht="18.75" x14ac:dyDescent="0.25">
      <c r="A16" s="25" t="s">
        <v>147</v>
      </c>
      <c r="B16" s="6">
        <v>200</v>
      </c>
      <c r="C16" s="66">
        <v>10.28</v>
      </c>
      <c r="D16" s="234">
        <v>2</v>
      </c>
      <c r="E16" s="1"/>
      <c r="F16" s="39">
        <v>1</v>
      </c>
      <c r="G16" s="39">
        <v>0</v>
      </c>
      <c r="H16" s="39">
        <v>0</v>
      </c>
      <c r="I16" s="39">
        <v>3</v>
      </c>
      <c r="J16" s="39">
        <v>4</v>
      </c>
      <c r="K16" s="39">
        <v>3</v>
      </c>
      <c r="L16" s="39">
        <f>3+AO16</f>
        <v>4</v>
      </c>
      <c r="M16" s="39">
        <v>4</v>
      </c>
      <c r="N16" s="39">
        <v>4</v>
      </c>
      <c r="O16" s="39">
        <v>4</v>
      </c>
      <c r="P16" s="39">
        <v>3</v>
      </c>
      <c r="Q16" s="39">
        <v>2</v>
      </c>
      <c r="R16" s="39">
        <v>2</v>
      </c>
      <c r="S16" s="39">
        <v>2</v>
      </c>
      <c r="T16" s="39">
        <v>1</v>
      </c>
      <c r="U16" s="39">
        <v>1</v>
      </c>
      <c r="V16" s="39">
        <f>1+AJ16</f>
        <v>1</v>
      </c>
      <c r="W16" s="39">
        <v>1</v>
      </c>
      <c r="X16" s="39">
        <v>1</v>
      </c>
      <c r="Y16" s="39">
        <f>1+AJ16</f>
        <v>1</v>
      </c>
      <c r="Z16" s="39">
        <v>1</v>
      </c>
      <c r="AA16" s="39"/>
      <c r="AB16" s="6"/>
      <c r="AC16" s="6"/>
      <c r="AD16" s="6"/>
      <c r="AE16" s="6"/>
      <c r="AF16" s="372">
        <f ca="1">AD16+IF(NOT(ISBLANK(OFFSET(AF16,0,6))),N(OFFSET(AF16,0,6)),N(OFFSET(AF16,0,7)))-AE16</f>
        <v>0</v>
      </c>
      <c r="AG16" s="1"/>
      <c r="AH16" s="78" t="s">
        <v>340</v>
      </c>
      <c r="AI16" s="78"/>
      <c r="AJ16" s="1"/>
      <c r="AK16" s="32"/>
      <c r="AL16" s="445">
        <v>0</v>
      </c>
      <c r="AM16" s="19">
        <v>0</v>
      </c>
      <c r="AN16" s="19">
        <v>1</v>
      </c>
      <c r="AO16" s="19">
        <v>1</v>
      </c>
      <c r="AP16" s="19"/>
      <c r="AQ16" s="19"/>
      <c r="AR16" s="19"/>
      <c r="AS16" s="19">
        <v>1</v>
      </c>
      <c r="AT16" s="19"/>
      <c r="AU16" s="19">
        <v>1</v>
      </c>
      <c r="AV16" s="19">
        <v>3</v>
      </c>
      <c r="AW16" s="19">
        <v>1</v>
      </c>
      <c r="AX16" s="19"/>
      <c r="AY16" s="19">
        <v>1</v>
      </c>
    </row>
    <row r="17" spans="1:66" s="3" customFormat="1" ht="18.75" x14ac:dyDescent="0.25">
      <c r="A17" s="25" t="s">
        <v>148</v>
      </c>
      <c r="B17" s="6">
        <v>3000</v>
      </c>
      <c r="C17" s="66">
        <v>71.8</v>
      </c>
      <c r="D17" s="234">
        <v>1</v>
      </c>
      <c r="E17" s="1"/>
      <c r="F17" s="122">
        <v>1</v>
      </c>
      <c r="G17" s="122">
        <v>1</v>
      </c>
      <c r="H17" s="122">
        <v>0</v>
      </c>
      <c r="I17" s="122">
        <v>2</v>
      </c>
      <c r="J17" s="122">
        <v>2</v>
      </c>
      <c r="K17" s="122">
        <v>2</v>
      </c>
      <c r="L17" s="122">
        <v>2</v>
      </c>
      <c r="M17" s="122">
        <v>2</v>
      </c>
      <c r="N17" s="122">
        <v>2</v>
      </c>
      <c r="O17" s="122">
        <v>1</v>
      </c>
      <c r="P17" s="122">
        <v>1</v>
      </c>
      <c r="Q17" s="122">
        <v>1</v>
      </c>
      <c r="R17" s="122">
        <v>1</v>
      </c>
      <c r="S17" s="122">
        <v>0</v>
      </c>
      <c r="T17" s="122">
        <v>0</v>
      </c>
      <c r="U17" s="122">
        <v>0</v>
      </c>
      <c r="V17" s="122">
        <f>0+AJ17</f>
        <v>0</v>
      </c>
      <c r="W17" s="122">
        <v>1</v>
      </c>
      <c r="X17" s="122">
        <v>1</v>
      </c>
      <c r="Y17" s="122">
        <f>0+AJ17</f>
        <v>0</v>
      </c>
      <c r="Z17" s="122">
        <v>1</v>
      </c>
      <c r="AA17" s="122"/>
      <c r="AB17" s="83"/>
      <c r="AC17" s="83"/>
      <c r="AD17" s="83"/>
      <c r="AE17" s="83"/>
      <c r="AF17" s="372">
        <f ca="1">AD17+IF(NOT(ISBLANK(OFFSET(AF17,0,6))),N(OFFSET(AF17,0,6)),N(OFFSET(AF17,0,7)))-AE17</f>
        <v>0</v>
      </c>
      <c r="AG17" s="1"/>
      <c r="AH17" s="411" t="s">
        <v>189</v>
      </c>
      <c r="AI17" s="78"/>
      <c r="AJ17" s="1"/>
      <c r="AK17" s="32"/>
      <c r="AL17" s="445">
        <v>0</v>
      </c>
      <c r="AM17" s="19">
        <v>0</v>
      </c>
      <c r="AN17" s="19">
        <v>1</v>
      </c>
      <c r="AO17" s="19">
        <v>1</v>
      </c>
      <c r="AP17" s="19"/>
      <c r="AQ17" s="19"/>
      <c r="AR17" s="19"/>
      <c r="AS17" s="19"/>
      <c r="AT17" s="19"/>
      <c r="AU17" s="19"/>
      <c r="AV17" s="19">
        <v>2</v>
      </c>
      <c r="AW17" s="19"/>
      <c r="AX17" s="19">
        <v>2</v>
      </c>
      <c r="AY17" s="19">
        <v>1</v>
      </c>
    </row>
    <row r="18" spans="1:66" s="3" customFormat="1" ht="14.25" customHeight="1" x14ac:dyDescent="0.25">
      <c r="A18" s="23"/>
      <c r="D18" s="235"/>
      <c r="AH18" s="341"/>
      <c r="AI18" s="341"/>
      <c r="AK18" s="344"/>
      <c r="AL18" s="388"/>
      <c r="AM18" s="388"/>
      <c r="AN18" s="388"/>
      <c r="AO18" s="388"/>
      <c r="AP18" s="388"/>
      <c r="AQ18" s="388"/>
      <c r="AR18" s="388"/>
      <c r="AS18" s="388"/>
      <c r="AT18" s="388"/>
      <c r="AU18" s="388"/>
      <c r="AV18" s="388"/>
      <c r="AW18" s="388"/>
      <c r="AX18" s="388"/>
      <c r="AY18" s="388"/>
    </row>
    <row r="19" spans="1:66" s="3" customFormat="1" ht="18.75" x14ac:dyDescent="0.3">
      <c r="A19" s="24" t="s">
        <v>150</v>
      </c>
      <c r="B19" s="12" t="s">
        <v>123</v>
      </c>
      <c r="C19" s="61"/>
      <c r="D19" s="395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13">
        <v>46160</v>
      </c>
      <c r="AB19" s="13">
        <v>46161.480132453697</v>
      </c>
      <c r="AC19" s="13">
        <v>46161.480806111111</v>
      </c>
      <c r="AD19" s="13">
        <v>46161.482963182869</v>
      </c>
      <c r="AE19" s="13">
        <v>46161.483291841403</v>
      </c>
      <c r="AF19" s="35" t="s">
        <v>129</v>
      </c>
      <c r="AG19" s="1"/>
      <c r="AH19" s="29" t="s">
        <v>126</v>
      </c>
      <c r="AI19" s="29" t="s">
        <v>126</v>
      </c>
      <c r="AJ19" s="11"/>
      <c r="AK19" s="9" t="s">
        <v>127</v>
      </c>
      <c r="AL19" s="363">
        <v>46161.483291127108</v>
      </c>
      <c r="AM19" s="363"/>
      <c r="AN19" s="363">
        <v>46142</v>
      </c>
      <c r="AO19" s="363">
        <v>46114</v>
      </c>
      <c r="AP19" s="409">
        <v>46065</v>
      </c>
      <c r="AQ19" s="363">
        <v>46099</v>
      </c>
      <c r="AR19" s="363">
        <v>46084</v>
      </c>
      <c r="AS19" s="363">
        <v>46048</v>
      </c>
      <c r="AT19" s="363">
        <v>46035</v>
      </c>
      <c r="AU19" s="363">
        <v>46029</v>
      </c>
      <c r="AV19" s="363">
        <v>46017</v>
      </c>
      <c r="AW19" s="363">
        <v>46007</v>
      </c>
      <c r="AX19" s="363">
        <v>46001</v>
      </c>
      <c r="AY19" s="363">
        <v>45951</v>
      </c>
      <c r="BA19" s="389" t="s">
        <v>150</v>
      </c>
      <c r="BB19" s="376" t="s">
        <v>123</v>
      </c>
      <c r="BC19" s="13">
        <v>46118</v>
      </c>
      <c r="BD19" s="13">
        <v>46125</v>
      </c>
      <c r="BE19" s="13">
        <v>46132</v>
      </c>
      <c r="BF19" s="13">
        <v>46139</v>
      </c>
      <c r="BG19" s="13">
        <v>46146</v>
      </c>
      <c r="BH19" s="13">
        <v>46154</v>
      </c>
      <c r="BI19" s="13">
        <v>46160</v>
      </c>
      <c r="BJ19" s="13">
        <v>46161.480131898148</v>
      </c>
      <c r="BK19" s="13">
        <v>46161.480805520827</v>
      </c>
      <c r="BL19" s="13">
        <v>46161.482962604168</v>
      </c>
      <c r="BM19" s="13">
        <v>46161.483291279132</v>
      </c>
      <c r="BN19" s="35" t="s">
        <v>129</v>
      </c>
    </row>
    <row r="20" spans="1:66" s="3" customFormat="1" ht="18.75" x14ac:dyDescent="0.25">
      <c r="A20" s="25" t="s">
        <v>153</v>
      </c>
      <c r="B20" s="6">
        <v>150</v>
      </c>
      <c r="C20" s="82">
        <v>334.31</v>
      </c>
      <c r="D20" s="234">
        <v>70</v>
      </c>
      <c r="E20" s="1"/>
      <c r="F20" s="39">
        <v>0</v>
      </c>
      <c r="G20" s="39">
        <v>0</v>
      </c>
      <c r="H20" s="39">
        <v>0</v>
      </c>
      <c r="I20" s="39">
        <v>0</v>
      </c>
      <c r="J20" s="206">
        <v>132</v>
      </c>
      <c r="K20" s="39">
        <v>55</v>
      </c>
      <c r="L20" s="39">
        <f>45+AO20</f>
        <v>45</v>
      </c>
      <c r="M20" s="39">
        <v>183</v>
      </c>
      <c r="N20" s="39">
        <v>183</v>
      </c>
      <c r="O20" s="39">
        <v>178</v>
      </c>
      <c r="P20" s="39">
        <v>168</v>
      </c>
      <c r="Q20" s="39">
        <v>147</v>
      </c>
      <c r="R20" s="39">
        <v>138</v>
      </c>
      <c r="S20" s="39">
        <v>128</v>
      </c>
      <c r="T20" s="39">
        <v>109</v>
      </c>
      <c r="U20" s="39"/>
      <c r="V20" s="39"/>
      <c r="W20" s="39"/>
      <c r="X20" s="39">
        <v>88</v>
      </c>
      <c r="Y20" s="39">
        <v>88</v>
      </c>
      <c r="Z20" s="39">
        <v>82</v>
      </c>
      <c r="AA20" s="39">
        <v>76</v>
      </c>
      <c r="AB20" s="6">
        <v>76</v>
      </c>
      <c r="AC20" s="6">
        <v>76</v>
      </c>
      <c r="AD20" s="6">
        <v>76</v>
      </c>
      <c r="AE20" s="6">
        <v>76</v>
      </c>
      <c r="AF20" s="372">
        <f ca="1">AD20+IF(NOT(ISBLANK(OFFSET(AF20,0,6))),N(OFFSET(AF20,0,6)),N(OFFSET(AF20,0,7)))-AE20</f>
        <v>0</v>
      </c>
      <c r="AG20" s="1"/>
      <c r="AH20" s="78"/>
      <c r="AI20" s="78"/>
      <c r="AK20" s="32"/>
      <c r="AL20" s="445">
        <v>0</v>
      </c>
      <c r="AM20" s="19">
        <v>0</v>
      </c>
      <c r="AN20" s="19">
        <v>0</v>
      </c>
      <c r="AO20" s="19"/>
      <c r="AP20" s="117"/>
      <c r="AQ20" s="19"/>
      <c r="AR20" s="19"/>
      <c r="AS20" s="19">
        <v>150</v>
      </c>
      <c r="AT20" s="19"/>
      <c r="AU20" s="19"/>
      <c r="AV20" s="19"/>
      <c r="AW20" s="19"/>
      <c r="AX20" s="19"/>
      <c r="AY20" s="19"/>
      <c r="BA20" s="364" t="s">
        <v>154</v>
      </c>
      <c r="BB20" s="135">
        <v>150</v>
      </c>
      <c r="BC20" s="39">
        <v>0</v>
      </c>
      <c r="BD20" s="39"/>
      <c r="BE20" s="39"/>
      <c r="BF20" s="39">
        <v>27</v>
      </c>
      <c r="BG20" s="39">
        <v>24</v>
      </c>
      <c r="BH20" s="39">
        <v>-1</v>
      </c>
      <c r="BI20" s="39">
        <v>-1</v>
      </c>
      <c r="BJ20" s="6"/>
      <c r="BK20" s="6"/>
      <c r="BL20" s="6"/>
      <c r="BM20" s="6"/>
      <c r="BN20" s="26">
        <f ca="1">BL20+IF(NOT(ISBLANK(OFFSET(BN20,0,6))),N(OFFSET(BN20,0,6)),N(OFFSET(BN20,0,7)))-BM20</f>
        <v>0</v>
      </c>
    </row>
    <row r="21" spans="1:66" s="3" customFormat="1" ht="18.75" x14ac:dyDescent="0.25">
      <c r="A21" s="25" t="s">
        <v>155</v>
      </c>
      <c r="B21" s="6">
        <v>100</v>
      </c>
      <c r="C21" s="81">
        <v>292.25</v>
      </c>
      <c r="D21" s="236">
        <v>70</v>
      </c>
      <c r="E21" s="1"/>
      <c r="F21" s="27">
        <v>6</v>
      </c>
      <c r="G21" s="27">
        <v>6</v>
      </c>
      <c r="H21" s="27">
        <v>5</v>
      </c>
      <c r="I21" s="27">
        <v>4</v>
      </c>
      <c r="J21" s="290">
        <v>144</v>
      </c>
      <c r="K21" s="27">
        <v>74</v>
      </c>
      <c r="L21" s="27">
        <f>73+AO21</f>
        <v>73</v>
      </c>
      <c r="M21" s="27">
        <v>151</v>
      </c>
      <c r="N21" s="27">
        <v>144</v>
      </c>
      <c r="O21" s="27">
        <v>136</v>
      </c>
      <c r="P21" s="27">
        <v>127</v>
      </c>
      <c r="Q21" s="27">
        <v>104</v>
      </c>
      <c r="R21" s="27">
        <v>102</v>
      </c>
      <c r="S21" s="27">
        <v>86</v>
      </c>
      <c r="T21" s="27">
        <v>79</v>
      </c>
      <c r="U21" s="27"/>
      <c r="V21" s="27"/>
      <c r="W21" s="27"/>
      <c r="X21" s="27">
        <v>55</v>
      </c>
      <c r="Y21" s="27">
        <v>55</v>
      </c>
      <c r="Z21" s="27">
        <v>36</v>
      </c>
      <c r="AA21" s="27">
        <v>27</v>
      </c>
      <c r="AB21" s="451">
        <v>27</v>
      </c>
      <c r="AC21" s="451">
        <v>27</v>
      </c>
      <c r="AD21" s="451">
        <v>27</v>
      </c>
      <c r="AE21" s="451">
        <v>27</v>
      </c>
      <c r="AF21" s="372">
        <f ca="1">AD21+IF(NOT(ISBLANK(OFFSET(AF21,0,6))),N(OFFSET(AF21,0,6)),N(OFFSET(AF21,0,7)))-AE21</f>
        <v>0</v>
      </c>
      <c r="AG21" s="1"/>
      <c r="AH21" s="78"/>
      <c r="AI21" s="78"/>
      <c r="AK21" s="32"/>
      <c r="AL21" s="445">
        <v>0</v>
      </c>
      <c r="AM21" s="19">
        <v>0</v>
      </c>
      <c r="AN21" s="19">
        <v>0</v>
      </c>
      <c r="AO21" s="19"/>
      <c r="AP21" s="117"/>
      <c r="AQ21" s="19"/>
      <c r="AR21" s="19"/>
      <c r="AS21" s="19">
        <v>100</v>
      </c>
      <c r="AT21" s="19"/>
      <c r="AU21" s="19"/>
      <c r="AV21" s="19"/>
      <c r="AW21" s="19"/>
      <c r="AX21" s="19"/>
      <c r="AY21" s="19"/>
      <c r="BA21" s="21" t="s">
        <v>156</v>
      </c>
      <c r="BB21" s="6">
        <v>100</v>
      </c>
      <c r="BC21" s="39">
        <v>0</v>
      </c>
      <c r="BD21" s="39"/>
      <c r="BE21" s="39"/>
      <c r="BF21" s="39">
        <v>35</v>
      </c>
      <c r="BG21" s="39">
        <v>31</v>
      </c>
      <c r="BH21" s="39">
        <v>1</v>
      </c>
      <c r="BI21" s="39">
        <v>1</v>
      </c>
      <c r="BJ21" s="6"/>
      <c r="BK21" s="6"/>
      <c r="BL21" s="6"/>
      <c r="BM21" s="6"/>
      <c r="BN21" s="26">
        <f ca="1">BL21+IF(NOT(ISBLANK(OFFSET(BN21,0,6))),N(OFFSET(BN21,0,6)),N(OFFSET(BN21,0,7)))-BM21</f>
        <v>0</v>
      </c>
    </row>
    <row r="22" spans="1:66" s="3" customFormat="1" ht="18.75" x14ac:dyDescent="0.3">
      <c r="A22" s="25" t="s">
        <v>157</v>
      </c>
      <c r="B22" s="6">
        <v>75</v>
      </c>
      <c r="C22" s="66">
        <v>425.38</v>
      </c>
      <c r="D22" s="234">
        <v>15</v>
      </c>
      <c r="E22" s="7"/>
      <c r="F22" s="27">
        <v>14</v>
      </c>
      <c r="G22" s="27">
        <v>13</v>
      </c>
      <c r="H22" s="27">
        <v>13</v>
      </c>
      <c r="I22" s="27">
        <v>13</v>
      </c>
      <c r="J22" s="27">
        <v>13</v>
      </c>
      <c r="K22" s="27">
        <v>13</v>
      </c>
      <c r="L22" s="27">
        <v>9</v>
      </c>
      <c r="M22" s="27">
        <v>9</v>
      </c>
      <c r="N22" s="27">
        <v>9</v>
      </c>
      <c r="O22" s="27">
        <v>9</v>
      </c>
      <c r="P22" s="27">
        <v>9</v>
      </c>
      <c r="Q22" s="27">
        <v>8</v>
      </c>
      <c r="R22" s="27">
        <v>8</v>
      </c>
      <c r="S22" s="27">
        <v>8</v>
      </c>
      <c r="T22" s="27">
        <v>8</v>
      </c>
      <c r="U22" s="27">
        <v>8</v>
      </c>
      <c r="V22" s="27">
        <v>8</v>
      </c>
      <c r="W22" s="27">
        <v>8</v>
      </c>
      <c r="X22" s="27">
        <v>8</v>
      </c>
      <c r="Y22" s="27">
        <v>8</v>
      </c>
      <c r="Z22" s="27">
        <v>8</v>
      </c>
      <c r="AA22" s="27">
        <v>8</v>
      </c>
      <c r="AB22" s="451">
        <v>8</v>
      </c>
      <c r="AC22" s="451">
        <v>8</v>
      </c>
      <c r="AD22" s="451">
        <v>8</v>
      </c>
      <c r="AE22" s="451">
        <v>8</v>
      </c>
      <c r="AF22" s="372">
        <f ca="1">AD22+IF(NOT(ISBLANK(OFFSET(AF22,0,6))),N(OFFSET(AF22,0,6)),N(OFFSET(AF22,0,7)))-AE22</f>
        <v>0</v>
      </c>
      <c r="AG22" s="7"/>
      <c r="AH22" s="78"/>
      <c r="AI22" s="78"/>
      <c r="AJ22" s="1"/>
      <c r="AK22" s="32"/>
      <c r="AL22" s="445">
        <v>0</v>
      </c>
      <c r="AM22" s="19">
        <v>0</v>
      </c>
      <c r="AN22" s="19">
        <v>0</v>
      </c>
      <c r="AO22" s="19"/>
      <c r="AP22" s="117"/>
      <c r="AQ22" s="19"/>
      <c r="AR22" s="19"/>
      <c r="AS22" s="19"/>
      <c r="AT22" s="19"/>
      <c r="AU22" s="19"/>
      <c r="AV22" s="19"/>
      <c r="AW22" s="19"/>
      <c r="AX22" s="19"/>
      <c r="AY22" s="19"/>
      <c r="BA22" s="22" t="s">
        <v>158</v>
      </c>
      <c r="BB22" s="6">
        <v>200</v>
      </c>
      <c r="BC22" s="39">
        <v>0</v>
      </c>
      <c r="BD22" s="39"/>
      <c r="BE22" s="39"/>
      <c r="BF22" s="39">
        <v>32</v>
      </c>
      <c r="BG22" s="39">
        <v>22</v>
      </c>
      <c r="BH22" s="39">
        <v>0</v>
      </c>
      <c r="BI22" s="39">
        <v>0</v>
      </c>
      <c r="BJ22" s="6"/>
      <c r="BK22" s="6"/>
      <c r="BL22" s="6"/>
      <c r="BM22" s="6"/>
      <c r="BN22" s="26">
        <f ca="1">BL22+IF(NOT(ISBLANK(OFFSET(BN22,0,6))),N(OFFSET(BN22,0,6)),N(OFFSET(BN22,0,7)))-BM22</f>
        <v>0</v>
      </c>
    </row>
    <row r="23" spans="1:66" s="3" customFormat="1" ht="18.75" x14ac:dyDescent="0.3">
      <c r="A23" s="25" t="s">
        <v>159</v>
      </c>
      <c r="B23" s="6">
        <v>150</v>
      </c>
      <c r="C23" s="66">
        <v>427.5</v>
      </c>
      <c r="D23" s="234"/>
      <c r="E23" s="7"/>
      <c r="F23" s="2"/>
      <c r="G23" s="2"/>
      <c r="H23" s="2"/>
      <c r="I23" s="2"/>
      <c r="J23" s="2"/>
      <c r="K23" s="2"/>
      <c r="L23" s="2"/>
      <c r="M23" s="2"/>
      <c r="N23" s="27">
        <v>0</v>
      </c>
      <c r="O23" s="27">
        <v>0</v>
      </c>
      <c r="P23" s="27">
        <v>0</v>
      </c>
      <c r="Q23" s="290">
        <v>20</v>
      </c>
      <c r="R23" s="27">
        <v>0</v>
      </c>
      <c r="S23" s="27">
        <v>0</v>
      </c>
      <c r="T23" s="27">
        <v>0</v>
      </c>
      <c r="U23" s="27">
        <v>0</v>
      </c>
      <c r="V23" s="27">
        <v>0</v>
      </c>
      <c r="W23" s="27">
        <v>0</v>
      </c>
      <c r="X23" s="27">
        <v>0</v>
      </c>
      <c r="Y23" s="27">
        <v>0</v>
      </c>
      <c r="Z23" s="27">
        <v>0</v>
      </c>
      <c r="AA23" s="27">
        <v>0</v>
      </c>
      <c r="AB23" s="451">
        <v>0</v>
      </c>
      <c r="AC23" s="451">
        <v>0</v>
      </c>
      <c r="AD23" s="451">
        <v>0</v>
      </c>
      <c r="AE23" s="451">
        <v>0</v>
      </c>
      <c r="AF23" s="372">
        <f ca="1">AD23+IF(NOT(ISBLANK(OFFSET(AF23,0,6))),N(OFFSET(AF23,0,6)),N(OFFSET(AF23,0,7)))-AE23</f>
        <v>0</v>
      </c>
      <c r="AG23" s="7"/>
      <c r="AH23" s="78"/>
      <c r="AI23" s="78"/>
      <c r="AJ23" s="1"/>
      <c r="AK23" s="32"/>
      <c r="AL23" s="445">
        <v>0</v>
      </c>
      <c r="AM23" s="19">
        <v>0</v>
      </c>
      <c r="AN23" s="19">
        <v>0</v>
      </c>
      <c r="AO23" s="19"/>
      <c r="AP23" s="117">
        <v>150</v>
      </c>
      <c r="AQ23" s="19"/>
      <c r="AR23" s="19"/>
      <c r="AS23" s="19"/>
      <c r="AT23" s="19"/>
      <c r="AU23" s="19"/>
      <c r="AV23" s="19"/>
      <c r="AW23" s="19"/>
      <c r="AX23" s="75"/>
      <c r="AY23" s="75"/>
      <c r="BA23" s="22" t="s">
        <v>160</v>
      </c>
      <c r="BB23" s="6">
        <v>150</v>
      </c>
      <c r="BC23" s="39">
        <f>AL23</f>
        <v>0</v>
      </c>
      <c r="BD23" s="39"/>
      <c r="BE23" s="39"/>
      <c r="BF23" s="39">
        <v>48</v>
      </c>
      <c r="BG23" s="39">
        <v>41</v>
      </c>
      <c r="BH23" s="39">
        <v>2</v>
      </c>
      <c r="BI23" s="39">
        <v>1</v>
      </c>
      <c r="BJ23" s="6"/>
      <c r="BK23" s="6"/>
      <c r="BL23" s="6"/>
      <c r="BM23" s="6"/>
      <c r="BN23" s="26">
        <f ca="1">BL23+IF(NOT(ISBLANK(OFFSET(BN23,0,6))),N(OFFSET(BN23,0,6)),N(OFFSET(BN23,0,7)))-BM23</f>
        <v>0</v>
      </c>
    </row>
    <row r="24" spans="1:66" ht="18.75" x14ac:dyDescent="0.3">
      <c r="AH24" s="11"/>
      <c r="AI24" s="11"/>
      <c r="AL24" s="11"/>
      <c r="AM24" s="11"/>
      <c r="AN24" s="11"/>
      <c r="AO24" s="11"/>
      <c r="AP24" s="11"/>
      <c r="AW24" s="11"/>
      <c r="AX24" s="11"/>
      <c r="AY24" s="11"/>
    </row>
    <row r="25" spans="1:66" ht="18.75" x14ac:dyDescent="0.3">
      <c r="A25" s="378" t="s">
        <v>161</v>
      </c>
      <c r="B25" s="379" t="s">
        <v>123</v>
      </c>
      <c r="C25" s="379" t="s">
        <v>124</v>
      </c>
      <c r="D25" s="379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13">
        <v>46160</v>
      </c>
      <c r="AB25" s="13">
        <v>46161.480132453697</v>
      </c>
      <c r="AC25" s="13">
        <v>46161.480806111111</v>
      </c>
      <c r="AD25" s="13">
        <v>46161.482963182869</v>
      </c>
      <c r="AE25" s="13">
        <v>46161.483291841672</v>
      </c>
      <c r="AF25" s="35" t="s">
        <v>129</v>
      </c>
      <c r="AH25" s="11"/>
      <c r="AI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</row>
    <row r="26" spans="1:66" ht="18.75" hidden="1" customHeight="1" x14ac:dyDescent="0.3">
      <c r="A26" s="382" t="s">
        <v>252</v>
      </c>
      <c r="B26" s="383">
        <v>100</v>
      </c>
      <c r="C26" s="198">
        <v>722</v>
      </c>
      <c r="D26" s="396"/>
      <c r="F26" s="39">
        <v>0</v>
      </c>
      <c r="G26" s="39">
        <v>0</v>
      </c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6"/>
      <c r="AC26" s="6"/>
      <c r="AD26" s="6"/>
      <c r="AE26" s="6"/>
      <c r="AF26" s="26">
        <f t="shared" ref="AF26:AF49" ca="1" si="0">AD26+IF(NOT(ISBLANK(OFFSET(AF26,0,6))),N(OFFSET(AF26,0,6)),N(OFFSET(AF26,0,7)))-AE26</f>
        <v>0</v>
      </c>
      <c r="AH26" s="11"/>
      <c r="AI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</row>
    <row r="27" spans="1:66" ht="18.75" x14ac:dyDescent="0.3">
      <c r="A27" s="384" t="s">
        <v>162</v>
      </c>
      <c r="B27" s="385">
        <v>100</v>
      </c>
      <c r="C27" s="199">
        <v>790</v>
      </c>
      <c r="D27" s="396"/>
      <c r="F27" s="39">
        <v>61</v>
      </c>
      <c r="G27" s="39">
        <v>0</v>
      </c>
      <c r="H27" s="39">
        <v>0</v>
      </c>
      <c r="I27" s="39">
        <v>0</v>
      </c>
      <c r="J27" s="39">
        <v>0</v>
      </c>
      <c r="K27" s="39">
        <v>0</v>
      </c>
      <c r="L27" s="39">
        <v>0</v>
      </c>
      <c r="M27" s="39">
        <v>0</v>
      </c>
      <c r="N27" s="39">
        <v>0</v>
      </c>
      <c r="O27" s="39">
        <v>0</v>
      </c>
      <c r="P27" s="39">
        <v>0</v>
      </c>
      <c r="Q27" s="39">
        <v>0</v>
      </c>
      <c r="R27" s="206">
        <v>15</v>
      </c>
      <c r="S27" s="6">
        <v>15</v>
      </c>
      <c r="T27" s="6">
        <v>15</v>
      </c>
      <c r="U27" s="6">
        <v>15</v>
      </c>
      <c r="V27" s="6">
        <v>15</v>
      </c>
      <c r="W27" s="6">
        <v>15</v>
      </c>
      <c r="X27" s="6">
        <v>15</v>
      </c>
      <c r="Y27" s="6">
        <v>15</v>
      </c>
      <c r="Z27" s="6">
        <v>15</v>
      </c>
      <c r="AA27" s="6">
        <v>15</v>
      </c>
      <c r="AB27" s="6">
        <v>15</v>
      </c>
      <c r="AC27" s="6">
        <v>15</v>
      </c>
      <c r="AD27" s="6">
        <v>15</v>
      </c>
      <c r="AE27" s="6">
        <v>15</v>
      </c>
      <c r="AF27" s="372">
        <f t="shared" ca="1" si="0"/>
        <v>0</v>
      </c>
      <c r="AH27" s="11"/>
      <c r="AI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</row>
    <row r="28" spans="1:66" ht="18" hidden="1" customHeight="1" x14ac:dyDescent="0.3">
      <c r="A28" s="386" t="s">
        <v>253</v>
      </c>
      <c r="B28" s="159">
        <v>150</v>
      </c>
      <c r="C28" s="200">
        <v>715.5</v>
      </c>
      <c r="D28" s="396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6"/>
      <c r="AC28" s="6"/>
      <c r="AD28" s="6"/>
      <c r="AE28" s="6"/>
      <c r="AF28" s="26">
        <f t="shared" ca="1" si="0"/>
        <v>0</v>
      </c>
      <c r="AH28" s="11"/>
      <c r="AI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</row>
    <row r="29" spans="1:66" ht="18" hidden="1" customHeight="1" x14ac:dyDescent="0.3">
      <c r="A29" s="386" t="s">
        <v>254</v>
      </c>
      <c r="B29" s="159">
        <v>100</v>
      </c>
      <c r="C29" s="200">
        <v>746</v>
      </c>
      <c r="D29" s="396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6"/>
      <c r="AC29" s="6"/>
      <c r="AD29" s="6"/>
      <c r="AE29" s="6"/>
      <c r="AF29" s="26">
        <f t="shared" ca="1" si="0"/>
        <v>0</v>
      </c>
      <c r="AH29" s="11"/>
      <c r="AI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</row>
    <row r="30" spans="1:66" ht="18" hidden="1" customHeight="1" x14ac:dyDescent="0.3">
      <c r="A30" s="386" t="s">
        <v>255</v>
      </c>
      <c r="B30" s="159">
        <v>50</v>
      </c>
      <c r="C30" s="200">
        <v>777</v>
      </c>
      <c r="D30" s="396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6"/>
      <c r="AC30" s="6"/>
      <c r="AD30" s="6"/>
      <c r="AE30" s="6"/>
      <c r="AF30" s="26">
        <f t="shared" ca="1" si="0"/>
        <v>0</v>
      </c>
      <c r="AH30" s="11"/>
      <c r="AI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</row>
    <row r="31" spans="1:66" ht="18" hidden="1" customHeight="1" x14ac:dyDescent="0.3">
      <c r="A31" s="386" t="s">
        <v>256</v>
      </c>
      <c r="B31" s="159">
        <v>200</v>
      </c>
      <c r="C31" s="200">
        <v>486</v>
      </c>
      <c r="D31" s="396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6"/>
      <c r="AC31" s="6"/>
      <c r="AD31" s="6"/>
      <c r="AE31" s="6"/>
      <c r="AF31" s="26">
        <f t="shared" ca="1" si="0"/>
        <v>0</v>
      </c>
      <c r="AH31" s="11"/>
      <c r="AI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</row>
    <row r="32" spans="1:66" ht="18" hidden="1" customHeight="1" x14ac:dyDescent="0.3">
      <c r="A32" s="386" t="s">
        <v>257</v>
      </c>
      <c r="B32" s="159">
        <v>150</v>
      </c>
      <c r="C32" s="200">
        <v>459</v>
      </c>
      <c r="D32" s="396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6"/>
      <c r="AC32" s="6"/>
      <c r="AD32" s="6"/>
      <c r="AE32" s="6"/>
      <c r="AF32" s="26">
        <f t="shared" ca="1" si="0"/>
        <v>0</v>
      </c>
      <c r="AH32" s="11"/>
      <c r="AI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</row>
    <row r="33" spans="1:66" ht="18" hidden="1" customHeight="1" x14ac:dyDescent="0.3">
      <c r="A33" s="386" t="s">
        <v>163</v>
      </c>
      <c r="B33" s="159">
        <v>100</v>
      </c>
      <c r="C33" s="200">
        <v>295</v>
      </c>
      <c r="D33" s="396"/>
      <c r="F33" s="39">
        <v>0</v>
      </c>
      <c r="G33" s="39">
        <v>0</v>
      </c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6"/>
      <c r="AC33" s="6"/>
      <c r="AD33" s="6"/>
      <c r="AE33" s="6"/>
      <c r="AF33" s="26">
        <f t="shared" ca="1" si="0"/>
        <v>0</v>
      </c>
      <c r="AH33" s="11"/>
      <c r="AI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</row>
    <row r="34" spans="1:66" ht="18" hidden="1" customHeight="1" x14ac:dyDescent="0.3">
      <c r="A34" s="386" t="s">
        <v>164</v>
      </c>
      <c r="B34" s="159">
        <v>100</v>
      </c>
      <c r="C34" s="200">
        <v>283</v>
      </c>
      <c r="D34" s="396"/>
      <c r="F34" s="39">
        <v>0</v>
      </c>
      <c r="G34" s="39">
        <v>0</v>
      </c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6"/>
      <c r="AC34" s="6"/>
      <c r="AD34" s="6"/>
      <c r="AE34" s="6"/>
      <c r="AF34" s="26">
        <f t="shared" ca="1" si="0"/>
        <v>0</v>
      </c>
      <c r="AH34" s="11"/>
      <c r="AI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</row>
    <row r="35" spans="1:66" ht="18" hidden="1" customHeight="1" x14ac:dyDescent="0.3">
      <c r="A35" s="382" t="s">
        <v>258</v>
      </c>
      <c r="B35" s="383">
        <v>150</v>
      </c>
      <c r="C35" s="241">
        <v>781.05</v>
      </c>
      <c r="D35" s="396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6"/>
      <c r="AC35" s="6"/>
      <c r="AD35" s="6"/>
      <c r="AE35" s="6"/>
      <c r="AF35" s="26">
        <f t="shared" ca="1" si="0"/>
        <v>0</v>
      </c>
      <c r="AH35" s="11"/>
      <c r="AI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</row>
    <row r="36" spans="1:66" ht="18" hidden="1" customHeight="1" x14ac:dyDescent="0.3">
      <c r="A36" s="382" t="s">
        <v>259</v>
      </c>
      <c r="B36" s="383">
        <v>100</v>
      </c>
      <c r="C36" s="241">
        <v>789</v>
      </c>
      <c r="D36" s="396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6"/>
      <c r="AC36" s="6"/>
      <c r="AD36" s="6"/>
      <c r="AE36" s="6"/>
      <c r="AF36" s="26">
        <f t="shared" ca="1" si="0"/>
        <v>0</v>
      </c>
      <c r="AH36" s="11"/>
      <c r="AI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</row>
    <row r="37" spans="1:66" ht="18" hidden="1" customHeight="1" x14ac:dyDescent="0.3">
      <c r="A37" s="382" t="s">
        <v>260</v>
      </c>
      <c r="B37" s="383">
        <v>75</v>
      </c>
      <c r="C37" s="241">
        <v>844.05</v>
      </c>
      <c r="D37" s="396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6"/>
      <c r="AC37" s="6"/>
      <c r="AD37" s="6"/>
      <c r="AE37" s="6"/>
      <c r="AF37" s="26">
        <f t="shared" ca="1" si="0"/>
        <v>0</v>
      </c>
      <c r="AH37" s="11"/>
      <c r="AI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</row>
    <row r="38" spans="1:66" ht="18" hidden="1" customHeight="1" x14ac:dyDescent="0.3">
      <c r="A38" s="382" t="s">
        <v>261</v>
      </c>
      <c r="B38" s="383">
        <v>200</v>
      </c>
      <c r="C38" s="241">
        <v>450</v>
      </c>
      <c r="D38" s="396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6"/>
      <c r="AC38" s="6"/>
      <c r="AD38" s="6"/>
      <c r="AE38" s="6"/>
      <c r="AF38" s="26">
        <f t="shared" ca="1" si="0"/>
        <v>0</v>
      </c>
      <c r="AH38" s="11"/>
      <c r="AI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</row>
    <row r="39" spans="1:66" ht="18" hidden="1" customHeight="1" x14ac:dyDescent="0.3">
      <c r="A39" s="382" t="s">
        <v>262</v>
      </c>
      <c r="B39" s="383">
        <v>150</v>
      </c>
      <c r="C39" s="241">
        <v>430.5</v>
      </c>
      <c r="D39" s="396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6"/>
      <c r="AC39" s="6"/>
      <c r="AD39" s="6"/>
      <c r="AE39" s="6"/>
      <c r="AF39" s="26">
        <f t="shared" ca="1" si="0"/>
        <v>0</v>
      </c>
      <c r="AH39" s="11"/>
      <c r="AI39" s="11"/>
      <c r="AL39" s="401"/>
      <c r="AM39" s="401"/>
      <c r="AN39" s="401"/>
      <c r="AO39" s="401"/>
      <c r="AP39" s="401"/>
      <c r="AQ39" s="11"/>
      <c r="AR39" s="11"/>
      <c r="AS39" s="11"/>
      <c r="AT39" s="11"/>
      <c r="AU39" s="11"/>
      <c r="AV39" s="11"/>
      <c r="AW39" s="11"/>
      <c r="AX39" s="11"/>
      <c r="AY39" s="11"/>
    </row>
    <row r="40" spans="1:66" ht="18" hidden="1" customHeight="1" x14ac:dyDescent="0.3">
      <c r="A40" s="397" t="s">
        <v>341</v>
      </c>
      <c r="B40" s="398">
        <v>150</v>
      </c>
      <c r="C40" s="246"/>
      <c r="D40" s="396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6"/>
      <c r="AC40" s="6"/>
      <c r="AD40" s="6"/>
      <c r="AE40" s="6"/>
      <c r="AF40" s="26">
        <f t="shared" ca="1" si="0"/>
        <v>0</v>
      </c>
      <c r="AH40" s="11"/>
      <c r="AI40" s="11"/>
      <c r="AL40" s="401"/>
      <c r="AM40" s="401"/>
      <c r="AN40" s="401"/>
      <c r="AO40" s="401"/>
      <c r="AP40" s="401"/>
      <c r="AQ40" s="11"/>
      <c r="AR40" s="11"/>
      <c r="AS40" s="11"/>
      <c r="AT40" s="11"/>
      <c r="AU40" s="11"/>
      <c r="AV40" s="11"/>
      <c r="AW40" s="11"/>
      <c r="AX40" s="11"/>
      <c r="AY40" s="11"/>
    </row>
    <row r="41" spans="1:66" ht="18" hidden="1" customHeight="1" x14ac:dyDescent="0.3">
      <c r="A41" s="397" t="s">
        <v>165</v>
      </c>
      <c r="B41" s="398">
        <v>25</v>
      </c>
      <c r="C41" s="246"/>
      <c r="D41" s="396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6"/>
      <c r="AC41" s="6"/>
      <c r="AD41" s="6"/>
      <c r="AE41" s="6"/>
      <c r="AF41" s="26">
        <f t="shared" ca="1" si="0"/>
        <v>0</v>
      </c>
      <c r="AH41" s="11"/>
      <c r="AI41" s="11"/>
      <c r="AL41" s="41"/>
      <c r="AM41" s="41"/>
      <c r="AN41" s="41"/>
      <c r="AO41" s="41"/>
      <c r="AP41" s="41"/>
      <c r="AQ41" s="11"/>
      <c r="AR41" s="11"/>
      <c r="AS41" s="11"/>
      <c r="AT41" s="11"/>
      <c r="AU41" s="11"/>
      <c r="AV41" s="11"/>
      <c r="AW41" s="11"/>
      <c r="AX41" s="11"/>
      <c r="AY41" s="1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</row>
    <row r="42" spans="1:66" ht="18" hidden="1" customHeight="1" x14ac:dyDescent="0.3">
      <c r="A42" s="397" t="s">
        <v>166</v>
      </c>
      <c r="B42" s="398">
        <v>25</v>
      </c>
      <c r="C42" s="246"/>
      <c r="D42" s="396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6"/>
      <c r="AC42" s="6"/>
      <c r="AD42" s="6"/>
      <c r="AE42" s="6"/>
      <c r="AF42" s="26">
        <f t="shared" ca="1" si="0"/>
        <v>0</v>
      </c>
      <c r="AH42" s="11"/>
      <c r="AI42" s="11"/>
      <c r="AL42" s="41"/>
      <c r="AM42" s="41"/>
      <c r="AN42" s="41"/>
      <c r="AO42" s="41"/>
      <c r="AP42" s="41"/>
      <c r="AQ42" s="11"/>
      <c r="AR42" s="11"/>
      <c r="AS42" s="11"/>
      <c r="AT42" s="11"/>
      <c r="AU42" s="11"/>
      <c r="AV42" s="11"/>
      <c r="AW42" s="11"/>
      <c r="AX42" s="11"/>
      <c r="AY42" s="1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</row>
    <row r="43" spans="1:66" ht="18" hidden="1" customHeight="1" x14ac:dyDescent="0.3">
      <c r="A43" s="397" t="s">
        <v>167</v>
      </c>
      <c r="B43" s="398">
        <v>25</v>
      </c>
      <c r="C43" s="246"/>
      <c r="D43" s="396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6"/>
      <c r="AC43" s="6"/>
      <c r="AD43" s="6"/>
      <c r="AE43" s="6"/>
      <c r="AF43" s="26">
        <f t="shared" ca="1" si="0"/>
        <v>0</v>
      </c>
      <c r="AH43" s="11"/>
      <c r="AI43" s="11"/>
      <c r="AL43" s="41"/>
      <c r="AM43" s="41"/>
      <c r="AN43" s="41"/>
      <c r="AO43" s="41"/>
      <c r="AP43" s="41"/>
      <c r="AQ43" s="11"/>
      <c r="AR43" s="11"/>
      <c r="AS43" s="11"/>
      <c r="AT43" s="11"/>
      <c r="AU43" s="11"/>
      <c r="AV43" s="11"/>
      <c r="AW43" s="11"/>
      <c r="AX43" s="11"/>
      <c r="AY43" s="11"/>
      <c r="BA43" s="41"/>
      <c r="BB43" s="41"/>
      <c r="BC43" s="41"/>
      <c r="BD43" s="41"/>
      <c r="BE43" s="41"/>
      <c r="BF43" s="41"/>
      <c r="BG43" s="41"/>
      <c r="BH43" s="41"/>
      <c r="BI43" s="41"/>
      <c r="BJ43" s="41"/>
      <c r="BK43" s="41"/>
      <c r="BL43" s="41"/>
      <c r="BM43" s="41"/>
      <c r="BN43" s="41"/>
    </row>
    <row r="44" spans="1:66" ht="18" hidden="1" customHeight="1" x14ac:dyDescent="0.3">
      <c r="A44" s="404" t="s">
        <v>226</v>
      </c>
      <c r="B44" s="405">
        <v>100</v>
      </c>
      <c r="C44" s="252">
        <v>841.1</v>
      </c>
      <c r="D44" s="396"/>
      <c r="F44" s="39">
        <v>0</v>
      </c>
      <c r="G44" s="39">
        <v>0</v>
      </c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6"/>
      <c r="AC44" s="6"/>
      <c r="AD44" s="6"/>
      <c r="AE44" s="6"/>
      <c r="AF44" s="26">
        <f t="shared" ca="1" si="0"/>
        <v>0</v>
      </c>
      <c r="AH44" s="11"/>
      <c r="AI44" s="11"/>
      <c r="AL44" s="41"/>
      <c r="AM44" s="41"/>
      <c r="AN44" s="41"/>
      <c r="AO44" s="41"/>
      <c r="AP44" s="41"/>
      <c r="AQ44" s="11"/>
      <c r="AR44" s="11"/>
      <c r="AS44" s="11"/>
      <c r="AT44" s="11"/>
      <c r="AU44" s="11"/>
      <c r="AV44" s="11"/>
      <c r="AW44" s="11"/>
      <c r="AX44" s="11"/>
      <c r="AY44" s="11"/>
      <c r="BA44" s="41"/>
      <c r="BB44" s="41"/>
      <c r="BC44" s="41"/>
      <c r="BD44" s="41"/>
      <c r="BE44" s="41"/>
      <c r="BF44" s="41"/>
      <c r="BG44" s="41"/>
      <c r="BH44" s="41"/>
      <c r="BI44" s="41"/>
      <c r="BJ44" s="41"/>
      <c r="BK44" s="41"/>
      <c r="BL44" s="41"/>
      <c r="BM44" s="41"/>
      <c r="BN44" s="41"/>
    </row>
    <row r="45" spans="1:66" ht="18.75" hidden="1" x14ac:dyDescent="0.3">
      <c r="A45" s="25" t="s">
        <v>169</v>
      </c>
      <c r="B45" s="6">
        <v>150</v>
      </c>
      <c r="C45" s="77">
        <v>805.35</v>
      </c>
      <c r="D45" s="396"/>
      <c r="F45" s="6">
        <v>75</v>
      </c>
      <c r="G45" s="6">
        <v>11</v>
      </c>
      <c r="H45" s="6">
        <v>1</v>
      </c>
      <c r="I45" s="6">
        <v>0</v>
      </c>
      <c r="J45" s="6">
        <v>0</v>
      </c>
      <c r="K45" s="6">
        <v>0</v>
      </c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26">
        <f t="shared" ca="1" si="0"/>
        <v>0</v>
      </c>
      <c r="AH45" s="11"/>
      <c r="AI45" s="11"/>
      <c r="AQ45" s="11"/>
      <c r="AR45" s="11"/>
      <c r="AS45" s="11"/>
      <c r="AT45" s="11"/>
      <c r="AU45" s="11"/>
      <c r="AV45" s="11"/>
      <c r="AW45" s="401"/>
      <c r="AX45" s="401"/>
      <c r="AY45" s="401"/>
    </row>
    <row r="46" spans="1:66" ht="18.75" hidden="1" x14ac:dyDescent="0.3">
      <c r="A46" s="25" t="s">
        <v>170</v>
      </c>
      <c r="B46" s="6">
        <v>100</v>
      </c>
      <c r="C46" s="77">
        <v>792.2</v>
      </c>
      <c r="D46" s="396"/>
      <c r="F46" s="6">
        <v>154</v>
      </c>
      <c r="G46" s="6">
        <v>63</v>
      </c>
      <c r="H46" s="6">
        <v>44</v>
      </c>
      <c r="I46" s="6">
        <v>26</v>
      </c>
      <c r="J46" s="6">
        <v>21</v>
      </c>
      <c r="K46" s="6">
        <v>17</v>
      </c>
      <c r="L46" s="6">
        <v>2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v>0</v>
      </c>
      <c r="W46" s="6">
        <v>0</v>
      </c>
      <c r="X46" s="6">
        <v>0</v>
      </c>
      <c r="Y46" s="6">
        <v>0</v>
      </c>
      <c r="Z46" s="6">
        <v>0</v>
      </c>
      <c r="AA46" s="6">
        <v>0</v>
      </c>
      <c r="AB46" s="6">
        <v>0</v>
      </c>
      <c r="AC46" s="6">
        <v>0</v>
      </c>
      <c r="AD46" s="6">
        <v>0</v>
      </c>
      <c r="AE46" s="6">
        <v>0</v>
      </c>
      <c r="AF46" s="26">
        <f t="shared" ca="1" si="0"/>
        <v>0</v>
      </c>
      <c r="AH46" s="11"/>
      <c r="AI46" s="11"/>
      <c r="AQ46" s="11"/>
      <c r="AR46" s="11"/>
      <c r="AS46" s="11"/>
      <c r="AT46" s="11"/>
      <c r="AU46" s="11"/>
      <c r="AV46" s="11"/>
      <c r="AW46" s="401"/>
      <c r="AX46" s="401"/>
      <c r="AY46" s="401"/>
    </row>
    <row r="47" spans="1:66" ht="18.75" hidden="1" x14ac:dyDescent="0.3">
      <c r="A47" s="25" t="s">
        <v>171</v>
      </c>
      <c r="B47" s="6">
        <v>200</v>
      </c>
      <c r="C47" s="77">
        <v>487.2</v>
      </c>
      <c r="D47" s="396"/>
      <c r="F47" s="6">
        <v>15</v>
      </c>
      <c r="G47" s="6">
        <v>-18</v>
      </c>
      <c r="H47" s="6">
        <v>-18</v>
      </c>
      <c r="I47" s="6">
        <v>0</v>
      </c>
      <c r="J47" s="6">
        <v>0</v>
      </c>
      <c r="K47" s="6">
        <v>0</v>
      </c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26">
        <f t="shared" ca="1" si="0"/>
        <v>0</v>
      </c>
      <c r="AH47" s="11"/>
      <c r="AI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401"/>
      <c r="AX47" s="401"/>
      <c r="AY47" s="401"/>
    </row>
    <row r="48" spans="1:66" ht="18.75" hidden="1" x14ac:dyDescent="0.3">
      <c r="A48" s="25" t="s">
        <v>172</v>
      </c>
      <c r="B48" s="6">
        <v>150</v>
      </c>
      <c r="C48" s="77">
        <v>460.35</v>
      </c>
      <c r="D48" s="396"/>
      <c r="F48" s="6">
        <v>64</v>
      </c>
      <c r="G48" s="6">
        <v>6</v>
      </c>
      <c r="H48" s="6">
        <v>6</v>
      </c>
      <c r="I48" s="6">
        <v>0</v>
      </c>
      <c r="J48" s="6">
        <v>0</v>
      </c>
      <c r="K48" s="6">
        <v>0</v>
      </c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26">
        <f t="shared" ca="1" si="0"/>
        <v>0</v>
      </c>
      <c r="AH48" s="11"/>
      <c r="AI48" s="11"/>
      <c r="AQ48" s="11"/>
      <c r="AR48" s="11"/>
      <c r="AS48" s="11"/>
      <c r="AT48" s="11"/>
      <c r="AU48" s="11"/>
      <c r="AV48" s="11"/>
      <c r="AW48" s="401"/>
      <c r="AX48" s="401"/>
      <c r="AY48" s="401"/>
    </row>
    <row r="49" spans="1:66" ht="18.75" hidden="1" x14ac:dyDescent="0.3">
      <c r="A49" s="25" t="s">
        <v>173</v>
      </c>
      <c r="B49" s="6">
        <v>10</v>
      </c>
      <c r="C49" s="77">
        <v>120</v>
      </c>
      <c r="D49" s="396"/>
      <c r="F49" s="39">
        <v>0</v>
      </c>
      <c r="G49" s="39">
        <v>0</v>
      </c>
      <c r="H49" s="39">
        <v>0</v>
      </c>
      <c r="I49" s="39">
        <v>0</v>
      </c>
      <c r="J49" s="39">
        <v>0</v>
      </c>
      <c r="K49" s="39">
        <v>0</v>
      </c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6"/>
      <c r="AC49" s="6"/>
      <c r="AD49" s="6"/>
      <c r="AE49" s="6"/>
      <c r="AF49" s="26">
        <f t="shared" ca="1" si="0"/>
        <v>0</v>
      </c>
      <c r="AH49" s="11"/>
      <c r="AI49" s="11"/>
      <c r="AQ49" s="11"/>
      <c r="AR49" s="11"/>
      <c r="AS49" s="11"/>
      <c r="AT49" s="11"/>
      <c r="AU49" s="11"/>
      <c r="AV49" s="11"/>
      <c r="AW49" s="401"/>
      <c r="AX49" s="401"/>
      <c r="AY49" s="401"/>
    </row>
    <row r="50" spans="1:66" ht="18.75" x14ac:dyDescent="0.3">
      <c r="AH50" s="11"/>
      <c r="AI50" s="11"/>
      <c r="AQ50" s="11"/>
      <c r="AR50" s="11"/>
      <c r="AS50" s="11"/>
      <c r="AT50" s="11"/>
      <c r="AU50" s="11"/>
      <c r="AV50" s="11"/>
      <c r="AW50" s="401"/>
      <c r="AX50" s="401"/>
      <c r="AY50" s="401"/>
    </row>
    <row r="51" spans="1:66" ht="18.75" hidden="1" x14ac:dyDescent="0.3">
      <c r="AH51" s="11"/>
      <c r="AI51" s="11"/>
      <c r="AQ51" s="11"/>
      <c r="AR51" s="11"/>
      <c r="AS51" s="11"/>
      <c r="AT51" s="11"/>
      <c r="AU51" s="11"/>
      <c r="AV51" s="11"/>
      <c r="AW51" s="401"/>
      <c r="AX51" s="401"/>
      <c r="AY51" s="401"/>
    </row>
    <row r="52" spans="1:66" ht="18.75" hidden="1" x14ac:dyDescent="0.3">
      <c r="AH52" s="11"/>
      <c r="AI52" s="11"/>
      <c r="AQ52" s="11"/>
      <c r="AR52" s="11"/>
      <c r="AS52" s="11"/>
      <c r="AT52" s="11"/>
      <c r="AU52" s="11"/>
      <c r="AV52" s="11"/>
      <c r="AW52" s="401"/>
      <c r="AX52" s="401"/>
      <c r="AY52" s="401"/>
    </row>
    <row r="53" spans="1:66" ht="18.75" hidden="1" x14ac:dyDescent="0.3">
      <c r="AH53" s="11"/>
      <c r="AI53" s="11"/>
      <c r="AQ53" s="11"/>
      <c r="AR53" s="11"/>
      <c r="AS53" s="11"/>
      <c r="AT53" s="11"/>
      <c r="AU53" s="11"/>
      <c r="AV53" s="11"/>
      <c r="AW53" s="401"/>
      <c r="AX53" s="401"/>
      <c r="AY53" s="401"/>
    </row>
    <row r="54" spans="1:66" ht="18.75" hidden="1" x14ac:dyDescent="0.3">
      <c r="AH54" s="11"/>
      <c r="AI54" s="11"/>
      <c r="AQ54" s="11"/>
      <c r="AR54" s="11"/>
      <c r="AS54" s="11"/>
      <c r="AT54" s="11"/>
      <c r="AU54" s="11"/>
      <c r="AV54" s="11"/>
      <c r="AW54" s="401"/>
      <c r="AX54" s="401"/>
      <c r="AY54" s="401"/>
    </row>
    <row r="55" spans="1:66" ht="21" customHeight="1" x14ac:dyDescent="0.3">
      <c r="A55" s="394" t="s">
        <v>174</v>
      </c>
      <c r="B55" s="394"/>
      <c r="C55" s="394"/>
      <c r="AH55" s="11"/>
      <c r="AI55" s="401"/>
      <c r="AQ55" s="11"/>
      <c r="AR55" s="11"/>
      <c r="AS55" s="11"/>
      <c r="AT55" s="11"/>
      <c r="AU55" s="11"/>
      <c r="AV55" s="11"/>
      <c r="AW55" s="401"/>
      <c r="AX55" s="401"/>
      <c r="AY55" s="401"/>
    </row>
    <row r="56" spans="1:66" ht="37.5" customHeight="1" x14ac:dyDescent="0.3">
      <c r="A56" s="361" t="s">
        <v>175</v>
      </c>
      <c r="B56" s="361"/>
      <c r="C56" s="361" t="s">
        <v>342</v>
      </c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01"/>
      <c r="AI56" s="401"/>
      <c r="AL56" s="41"/>
      <c r="AQ56" s="11"/>
      <c r="AR56" s="11"/>
      <c r="AS56" s="11"/>
      <c r="AT56" s="11"/>
      <c r="AU56" s="11"/>
      <c r="AV56" s="11"/>
      <c r="AW56" s="41"/>
      <c r="AX56" s="41"/>
      <c r="AY56" s="41"/>
    </row>
    <row r="57" spans="1:66" s="34" customFormat="1" ht="18.75" x14ac:dyDescent="0.3">
      <c r="A57" s="95"/>
      <c r="B57" s="72"/>
      <c r="C57" s="72">
        <v>0</v>
      </c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01"/>
      <c r="AI57" s="401"/>
      <c r="AJ57" s="41"/>
      <c r="AL57" s="41"/>
      <c r="AM57" s="71"/>
      <c r="AN57" s="71"/>
      <c r="AO57" s="71"/>
      <c r="AP57" s="71"/>
      <c r="AQ57" s="11"/>
      <c r="AR57" s="11"/>
      <c r="AS57" s="11"/>
      <c r="AT57" s="11"/>
      <c r="AU57" s="11"/>
      <c r="AV57" s="11"/>
      <c r="AW57" s="41"/>
      <c r="AX57" s="41"/>
      <c r="AY57" s="4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</row>
    <row r="58" spans="1:66" s="34" customFormat="1" ht="18.75" x14ac:dyDescent="0.3"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01"/>
      <c r="AI58" s="11"/>
      <c r="AJ58" s="41"/>
      <c r="AL58" s="41"/>
      <c r="AM58" s="71"/>
      <c r="AN58" s="71"/>
      <c r="AO58" s="71"/>
      <c r="AP58" s="71"/>
      <c r="AQ58" s="11"/>
      <c r="AR58" s="11"/>
      <c r="AS58" s="11"/>
      <c r="AT58" s="11"/>
      <c r="AU58" s="11"/>
      <c r="AV58" s="11"/>
      <c r="AW58" s="41"/>
      <c r="AX58" s="41"/>
      <c r="AY58" s="4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</row>
    <row r="59" spans="1:66" ht="18.75" x14ac:dyDescent="0.3">
      <c r="A59" s="472" t="s">
        <v>177</v>
      </c>
      <c r="B59" s="467"/>
      <c r="C59" s="467"/>
      <c r="D59" s="469"/>
      <c r="F59" s="356">
        <v>46013</v>
      </c>
      <c r="G59" s="356">
        <v>46020</v>
      </c>
      <c r="H59" s="356">
        <v>46027</v>
      </c>
      <c r="I59" s="356">
        <v>46034</v>
      </c>
      <c r="J59" s="356">
        <v>46041</v>
      </c>
      <c r="K59" s="356">
        <v>46048</v>
      </c>
      <c r="L59" s="356">
        <v>46055</v>
      </c>
      <c r="M59" s="356">
        <v>46062</v>
      </c>
      <c r="N59" s="356">
        <v>46069</v>
      </c>
      <c r="O59" s="356">
        <v>46076</v>
      </c>
      <c r="P59" s="356">
        <v>46083</v>
      </c>
      <c r="Q59" s="356">
        <v>46090</v>
      </c>
      <c r="R59" s="356">
        <v>46097</v>
      </c>
      <c r="S59" s="356">
        <v>46104</v>
      </c>
      <c r="T59" s="356">
        <v>46111</v>
      </c>
      <c r="U59" s="356">
        <v>46118</v>
      </c>
      <c r="V59" s="356">
        <v>46125</v>
      </c>
      <c r="W59" s="356">
        <v>46132</v>
      </c>
      <c r="X59" s="356">
        <v>46139</v>
      </c>
      <c r="Y59" s="356">
        <v>46146</v>
      </c>
      <c r="Z59" s="356">
        <v>46154</v>
      </c>
      <c r="AA59" s="356">
        <v>46160</v>
      </c>
      <c r="AB59" s="356">
        <v>46161.480132453697</v>
      </c>
      <c r="AC59" s="356">
        <v>46161.480806111111</v>
      </c>
      <c r="AD59" s="356">
        <v>46161.482963182869</v>
      </c>
      <c r="AE59" s="356">
        <v>46161.48329184208</v>
      </c>
      <c r="AF59" s="131"/>
      <c r="AH59" s="11"/>
      <c r="AI59" s="11"/>
      <c r="AQ59" s="11"/>
      <c r="AR59" s="11"/>
      <c r="AS59" s="11"/>
      <c r="AT59" s="11"/>
      <c r="AU59" s="11"/>
      <c r="AV59" s="11"/>
      <c r="AW59" s="41"/>
      <c r="AX59" s="41"/>
      <c r="AY59" s="41"/>
    </row>
    <row r="60" spans="1:66" ht="18.75" hidden="1" customHeight="1" x14ac:dyDescent="0.3">
      <c r="A60" s="470" t="s">
        <v>343</v>
      </c>
      <c r="B60" s="467"/>
      <c r="C60" s="467"/>
      <c r="D60" s="46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6"/>
      <c r="AC60" s="6"/>
      <c r="AD60" s="6"/>
      <c r="AE60" s="6"/>
      <c r="AH60" s="11"/>
      <c r="AQ60" s="11"/>
      <c r="AR60" s="11"/>
      <c r="AS60" s="11"/>
      <c r="AT60" s="11"/>
      <c r="AU60" s="11"/>
      <c r="AV60" s="11"/>
      <c r="AW60" s="41"/>
      <c r="AX60" s="41"/>
      <c r="AY60" s="41"/>
    </row>
    <row r="61" spans="1:66" ht="18.75" hidden="1" customHeight="1" x14ac:dyDescent="0.3">
      <c r="A61" s="470" t="s">
        <v>344</v>
      </c>
      <c r="B61" s="467"/>
      <c r="C61" s="467"/>
      <c r="D61" s="46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6"/>
      <c r="AC61" s="6"/>
      <c r="AD61" s="6"/>
      <c r="AE61" s="6"/>
      <c r="AQ61" s="11"/>
      <c r="AR61" s="11"/>
      <c r="AS61" s="11"/>
      <c r="AT61" s="11"/>
      <c r="AU61" s="11"/>
      <c r="AV61" s="11"/>
      <c r="AW61" s="11"/>
      <c r="AX61" s="11"/>
      <c r="AY61" s="11"/>
    </row>
    <row r="62" spans="1:66" ht="18.75" hidden="1" customHeight="1" x14ac:dyDescent="0.3">
      <c r="A62" s="470" t="s">
        <v>271</v>
      </c>
      <c r="B62" s="467"/>
      <c r="C62" s="467"/>
      <c r="D62" s="46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6"/>
      <c r="AC62" s="6"/>
      <c r="AD62" s="6"/>
      <c r="AE62" s="6"/>
      <c r="AQ62" s="11"/>
      <c r="AR62" s="11"/>
      <c r="AS62" s="11"/>
      <c r="AT62" s="11"/>
      <c r="AU62" s="11"/>
      <c r="AV62" s="11"/>
      <c r="AW62" s="349"/>
      <c r="AX62" s="349"/>
      <c r="AY62" s="349"/>
    </row>
    <row r="63" spans="1:66" s="34" customFormat="1" ht="18.75" hidden="1" customHeight="1" x14ac:dyDescent="0.3">
      <c r="A63" s="470" t="s">
        <v>345</v>
      </c>
      <c r="B63" s="467"/>
      <c r="C63" s="467"/>
      <c r="D63" s="469"/>
      <c r="E63" s="11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6"/>
      <c r="AC63" s="6"/>
      <c r="AD63" s="6"/>
      <c r="AE63" s="6"/>
      <c r="AF63" s="41"/>
      <c r="AG63" s="41"/>
      <c r="AH63" s="71"/>
      <c r="AI63" s="71"/>
      <c r="AJ63" s="41"/>
      <c r="AL63" s="41"/>
      <c r="AM63" s="71"/>
      <c r="AN63" s="71"/>
      <c r="AO63" s="71"/>
      <c r="AP63" s="71"/>
      <c r="AQ63" s="11"/>
      <c r="AR63" s="11"/>
      <c r="AS63" s="11"/>
      <c r="AT63" s="11"/>
      <c r="AU63" s="11"/>
      <c r="AV63" s="11"/>
      <c r="AW63" s="349"/>
      <c r="AX63" s="349"/>
      <c r="AY63" s="349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</row>
    <row r="64" spans="1:66" s="34" customFormat="1" ht="18.75" hidden="1" customHeight="1" x14ac:dyDescent="0.3">
      <c r="A64" s="470" t="s">
        <v>346</v>
      </c>
      <c r="B64" s="467"/>
      <c r="C64" s="467"/>
      <c r="D64" s="469"/>
      <c r="E64" s="11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6"/>
      <c r="AC64" s="6"/>
      <c r="AD64" s="6"/>
      <c r="AE64" s="6"/>
      <c r="AF64" s="41"/>
      <c r="AG64" s="41"/>
      <c r="AH64" s="71"/>
      <c r="AI64" s="71"/>
      <c r="AJ64" s="41"/>
      <c r="AL64" s="41"/>
      <c r="AM64" s="71"/>
      <c r="AN64" s="71"/>
      <c r="AO64" s="71"/>
      <c r="AP64" s="71"/>
      <c r="AQ64" s="11"/>
      <c r="AR64" s="11"/>
      <c r="AS64" s="11"/>
      <c r="AT64" s="11"/>
      <c r="AU64" s="11"/>
      <c r="AV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</row>
    <row r="65" spans="1:66" s="34" customFormat="1" ht="18.75" hidden="1" customHeight="1" x14ac:dyDescent="0.3">
      <c r="A65" s="470" t="s">
        <v>347</v>
      </c>
      <c r="B65" s="467"/>
      <c r="C65" s="467"/>
      <c r="D65" s="469"/>
      <c r="E65" s="11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6"/>
      <c r="AC65" s="6"/>
      <c r="AD65" s="6"/>
      <c r="AE65" s="6"/>
      <c r="AF65" s="41"/>
      <c r="AG65" s="41"/>
      <c r="AH65" s="71"/>
      <c r="AI65" s="71"/>
      <c r="AJ65" s="41"/>
      <c r="AL65" s="41"/>
      <c r="AM65" s="71"/>
      <c r="AN65" s="71"/>
      <c r="AO65" s="71"/>
      <c r="AP65" s="71"/>
      <c r="AQ65" s="11"/>
      <c r="AR65" s="11"/>
      <c r="AS65" s="11"/>
      <c r="AT65" s="11"/>
      <c r="AU65" s="11"/>
      <c r="AV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</row>
    <row r="66" spans="1:66" s="34" customFormat="1" ht="18.75" hidden="1" customHeight="1" x14ac:dyDescent="0.3">
      <c r="A66" s="470" t="s">
        <v>348</v>
      </c>
      <c r="B66" s="467"/>
      <c r="C66" s="467"/>
      <c r="D66" s="469"/>
      <c r="E66" s="11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6"/>
      <c r="AC66" s="6"/>
      <c r="AD66" s="6"/>
      <c r="AE66" s="6"/>
      <c r="AF66" s="11"/>
      <c r="AG66" s="11"/>
      <c r="AH66" s="71"/>
      <c r="AI66" s="71"/>
      <c r="AJ66" s="11"/>
      <c r="AL66" s="41"/>
      <c r="AM66" s="71"/>
      <c r="AN66" s="71"/>
      <c r="AO66" s="71"/>
      <c r="AP66" s="71"/>
      <c r="AQ66" s="11"/>
      <c r="AR66" s="11"/>
      <c r="AS66" s="11"/>
      <c r="AT66" s="11"/>
      <c r="AU66" s="11"/>
      <c r="AV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</row>
    <row r="67" spans="1:66" ht="18.75" hidden="1" customHeight="1" x14ac:dyDescent="0.3">
      <c r="A67" s="470" t="s">
        <v>278</v>
      </c>
      <c r="B67" s="467"/>
      <c r="C67" s="467"/>
      <c r="D67" s="46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6"/>
      <c r="AC67" s="6"/>
      <c r="AD67" s="6"/>
      <c r="AE67" s="6"/>
      <c r="AQ67" s="11"/>
      <c r="AR67" s="11"/>
      <c r="AS67" s="11"/>
      <c r="AT67" s="11"/>
      <c r="AU67" s="11"/>
      <c r="AV67" s="11"/>
    </row>
    <row r="68" spans="1:66" ht="18.75" hidden="1" customHeight="1" x14ac:dyDescent="0.3">
      <c r="A68" s="470" t="s">
        <v>349</v>
      </c>
      <c r="B68" s="467"/>
      <c r="C68" s="467"/>
      <c r="D68" s="46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6"/>
      <c r="AC68" s="6"/>
      <c r="AD68" s="6"/>
      <c r="AE68" s="6"/>
      <c r="AQ68" s="11"/>
      <c r="AR68" s="11"/>
      <c r="AS68" s="11"/>
      <c r="AT68" s="11"/>
      <c r="AU68" s="11"/>
      <c r="AV68" s="11"/>
      <c r="AW68" s="11"/>
      <c r="AX68" s="11"/>
      <c r="AY68" s="11"/>
    </row>
    <row r="69" spans="1:66" ht="18.75" hidden="1" customHeight="1" x14ac:dyDescent="0.3">
      <c r="A69" s="470" t="s">
        <v>350</v>
      </c>
      <c r="B69" s="467"/>
      <c r="C69" s="467"/>
      <c r="D69" s="46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6"/>
      <c r="AC69" s="6"/>
      <c r="AD69" s="6"/>
      <c r="AE69" s="6"/>
      <c r="AQ69" s="11"/>
      <c r="AR69" s="11"/>
      <c r="AS69" s="11"/>
      <c r="AT69" s="11"/>
      <c r="AU69" s="11"/>
      <c r="AV69" s="11"/>
      <c r="AW69" s="11"/>
      <c r="AX69" s="11"/>
      <c r="AY69" s="11"/>
    </row>
    <row r="70" spans="1:66" ht="18.75" hidden="1" customHeight="1" x14ac:dyDescent="0.3">
      <c r="A70" s="470" t="s">
        <v>351</v>
      </c>
      <c r="B70" s="467"/>
      <c r="C70" s="467"/>
      <c r="D70" s="46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6"/>
      <c r="AC70" s="6"/>
      <c r="AD70" s="6"/>
      <c r="AE70" s="6"/>
      <c r="AQ70" s="11"/>
      <c r="AR70" s="11"/>
      <c r="AS70" s="11"/>
      <c r="AT70" s="11"/>
      <c r="AU70" s="11"/>
      <c r="AV70" s="11"/>
      <c r="AW70" s="11"/>
      <c r="AX70" s="11"/>
      <c r="AY70" s="11"/>
    </row>
    <row r="71" spans="1:66" ht="18.75" hidden="1" customHeight="1" x14ac:dyDescent="0.3">
      <c r="A71" s="470" t="s">
        <v>352</v>
      </c>
      <c r="B71" s="467"/>
      <c r="C71" s="467"/>
      <c r="D71" s="46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6"/>
      <c r="AC71" s="6"/>
      <c r="AD71" s="6"/>
      <c r="AE71" s="6"/>
      <c r="AQ71" s="11"/>
      <c r="AR71" s="11"/>
      <c r="AS71" s="11"/>
      <c r="AT71" s="11"/>
      <c r="AU71" s="11"/>
      <c r="AV71" s="11"/>
    </row>
    <row r="72" spans="1:66" ht="18.75" hidden="1" customHeight="1" x14ac:dyDescent="0.3">
      <c r="A72" s="470" t="s">
        <v>353</v>
      </c>
      <c r="B72" s="467"/>
      <c r="C72" s="467"/>
      <c r="D72" s="46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6"/>
      <c r="AC72" s="6"/>
      <c r="AD72" s="6"/>
      <c r="AE72" s="6"/>
      <c r="AQ72" s="11"/>
      <c r="AR72" s="11"/>
      <c r="AS72" s="11"/>
      <c r="AT72" s="11"/>
      <c r="AU72" s="11"/>
      <c r="AV72" s="11"/>
    </row>
    <row r="73" spans="1:66" ht="18.75" hidden="1" customHeight="1" x14ac:dyDescent="0.3">
      <c r="A73" s="470" t="s">
        <v>354</v>
      </c>
      <c r="B73" s="467"/>
      <c r="C73" s="467"/>
      <c r="D73" s="46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6"/>
      <c r="AC73" s="6"/>
      <c r="AD73" s="6"/>
      <c r="AE73" s="6"/>
      <c r="AQ73" s="11"/>
      <c r="AR73" s="11"/>
      <c r="AS73" s="11"/>
      <c r="AT73" s="11"/>
      <c r="AU73" s="11"/>
      <c r="AV73" s="11"/>
    </row>
    <row r="74" spans="1:66" ht="18.75" hidden="1" customHeight="1" x14ac:dyDescent="0.3">
      <c r="A74" s="470" t="s">
        <v>355</v>
      </c>
      <c r="B74" s="467"/>
      <c r="C74" s="467"/>
      <c r="D74" s="46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6"/>
      <c r="AC74" s="6"/>
      <c r="AD74" s="6"/>
      <c r="AE74" s="6"/>
      <c r="AQ74" s="11"/>
      <c r="AR74" s="11"/>
      <c r="AS74" s="11"/>
      <c r="AT74" s="11"/>
      <c r="AU74" s="11"/>
      <c r="AV74" s="11"/>
    </row>
    <row r="75" spans="1:66" ht="18.75" hidden="1" customHeight="1" x14ac:dyDescent="0.3">
      <c r="A75" s="470" t="s">
        <v>356</v>
      </c>
      <c r="B75" s="467"/>
      <c r="C75" s="467"/>
      <c r="D75" s="46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6"/>
      <c r="AC75" s="6"/>
      <c r="AD75" s="6"/>
      <c r="AE75" s="6"/>
      <c r="AQ75" s="11"/>
      <c r="AR75" s="11"/>
      <c r="AS75" s="11"/>
      <c r="AT75" s="11"/>
      <c r="AU75" s="11"/>
      <c r="AV75" s="11"/>
    </row>
    <row r="76" spans="1:66" ht="18.75" hidden="1" customHeight="1" x14ac:dyDescent="0.3">
      <c r="A76" s="470" t="s">
        <v>357</v>
      </c>
      <c r="B76" s="467"/>
      <c r="C76" s="467"/>
      <c r="D76" s="46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6"/>
      <c r="AC76" s="6"/>
      <c r="AD76" s="6"/>
      <c r="AE76" s="6"/>
      <c r="AQ76" s="401"/>
      <c r="AR76" s="401"/>
      <c r="AS76" s="401"/>
      <c r="AT76" s="401"/>
      <c r="AU76" s="401"/>
      <c r="AV76" s="401"/>
    </row>
    <row r="77" spans="1:66" ht="18.75" hidden="1" customHeight="1" x14ac:dyDescent="0.3">
      <c r="A77" s="470" t="s">
        <v>358</v>
      </c>
      <c r="B77" s="467"/>
      <c r="C77" s="467"/>
      <c r="D77" s="46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6"/>
      <c r="AC77" s="6"/>
      <c r="AD77" s="6"/>
      <c r="AE77" s="6"/>
      <c r="AQ77" s="401"/>
      <c r="AR77" s="401"/>
      <c r="AS77" s="401"/>
      <c r="AT77" s="401"/>
      <c r="AU77" s="401"/>
      <c r="AV77" s="401"/>
    </row>
    <row r="78" spans="1:66" ht="18.75" hidden="1" customHeight="1" x14ac:dyDescent="0.3">
      <c r="A78" s="470" t="s">
        <v>359</v>
      </c>
      <c r="B78" s="467"/>
      <c r="C78" s="467"/>
      <c r="D78" s="46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6"/>
      <c r="AC78" s="6"/>
      <c r="AD78" s="6"/>
      <c r="AE78" s="6"/>
      <c r="AQ78" s="41"/>
      <c r="AR78" s="41"/>
      <c r="AS78" s="41"/>
      <c r="AT78" s="41"/>
      <c r="AU78" s="41"/>
      <c r="AV78" s="41"/>
    </row>
    <row r="79" spans="1:66" ht="18.75" hidden="1" customHeight="1" x14ac:dyDescent="0.3">
      <c r="A79" s="470" t="s">
        <v>360</v>
      </c>
      <c r="B79" s="467"/>
      <c r="C79" s="467"/>
      <c r="D79" s="46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6"/>
      <c r="AC79" s="6"/>
      <c r="AD79" s="6"/>
      <c r="AE79" s="6"/>
      <c r="AQ79" s="41"/>
      <c r="AR79" s="41"/>
      <c r="AS79" s="41"/>
      <c r="AT79" s="41"/>
      <c r="AU79" s="41"/>
      <c r="AV79" s="41"/>
    </row>
    <row r="80" spans="1:66" ht="18.75" hidden="1" customHeight="1" x14ac:dyDescent="0.3">
      <c r="A80" s="470" t="s">
        <v>361</v>
      </c>
      <c r="B80" s="467"/>
      <c r="C80" s="467"/>
      <c r="D80" s="46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6"/>
      <c r="AC80" s="6"/>
      <c r="AD80" s="6"/>
      <c r="AE80" s="6"/>
      <c r="AQ80" s="41"/>
      <c r="AR80" s="41"/>
      <c r="AS80" s="41"/>
      <c r="AT80" s="41"/>
      <c r="AU80" s="41"/>
      <c r="AV80" s="41"/>
    </row>
    <row r="81" spans="1:48" ht="18.75" hidden="1" customHeight="1" x14ac:dyDescent="0.3">
      <c r="A81" s="470" t="s">
        <v>362</v>
      </c>
      <c r="B81" s="467"/>
      <c r="C81" s="467"/>
      <c r="D81" s="46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6"/>
      <c r="AC81" s="6"/>
      <c r="AD81" s="6"/>
      <c r="AE81" s="6"/>
      <c r="AQ81" s="41"/>
      <c r="AR81" s="41"/>
      <c r="AS81" s="41"/>
      <c r="AT81" s="41"/>
      <c r="AU81" s="41"/>
      <c r="AV81" s="41"/>
    </row>
    <row r="82" spans="1:48" ht="18.75" hidden="1" customHeight="1" x14ac:dyDescent="0.3">
      <c r="A82" s="470" t="s">
        <v>363</v>
      </c>
      <c r="B82" s="467"/>
      <c r="C82" s="467"/>
      <c r="D82" s="46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6"/>
      <c r="AC82" s="6"/>
      <c r="AD82" s="6"/>
      <c r="AE82" s="6"/>
      <c r="AQ82" s="41"/>
      <c r="AR82" s="41"/>
      <c r="AS82" s="41"/>
      <c r="AT82" s="41"/>
      <c r="AU82" s="41"/>
      <c r="AV82" s="41"/>
    </row>
    <row r="83" spans="1:48" ht="18.75" hidden="1" customHeight="1" x14ac:dyDescent="0.3">
      <c r="A83" s="470" t="s">
        <v>364</v>
      </c>
      <c r="B83" s="467"/>
      <c r="C83" s="467"/>
      <c r="D83" s="46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6"/>
      <c r="AC83" s="6"/>
      <c r="AD83" s="6"/>
      <c r="AE83" s="6"/>
      <c r="AQ83" s="11"/>
      <c r="AR83" s="11"/>
      <c r="AS83" s="11"/>
      <c r="AT83" s="11"/>
      <c r="AU83" s="11"/>
      <c r="AV83" s="11"/>
    </row>
    <row r="84" spans="1:48" ht="18.75" hidden="1" customHeight="1" x14ac:dyDescent="0.3">
      <c r="A84" s="470" t="s">
        <v>365</v>
      </c>
      <c r="B84" s="467"/>
      <c r="C84" s="467"/>
      <c r="D84" s="46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6"/>
      <c r="AC84" s="6"/>
      <c r="AD84" s="6"/>
      <c r="AE84" s="6"/>
      <c r="AQ84" s="349"/>
      <c r="AR84" s="349"/>
      <c r="AS84" s="349"/>
      <c r="AT84" s="349"/>
      <c r="AU84" s="349"/>
      <c r="AV84" s="349"/>
    </row>
    <row r="85" spans="1:48" ht="18.75" hidden="1" customHeight="1" x14ac:dyDescent="0.3">
      <c r="A85" s="470" t="s">
        <v>366</v>
      </c>
      <c r="B85" s="467"/>
      <c r="C85" s="467"/>
      <c r="D85" s="46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6"/>
      <c r="AC85" s="6"/>
      <c r="AD85" s="6"/>
      <c r="AE85" s="6"/>
      <c r="AQ85" s="349"/>
      <c r="AR85" s="349"/>
      <c r="AS85" s="349"/>
      <c r="AT85" s="349"/>
      <c r="AU85" s="349"/>
      <c r="AV85" s="349"/>
    </row>
    <row r="86" spans="1:48" ht="18.75" hidden="1" customHeight="1" x14ac:dyDescent="0.25">
      <c r="A86" s="470" t="s">
        <v>367</v>
      </c>
      <c r="B86" s="467"/>
      <c r="C86" s="467"/>
      <c r="D86" s="46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6"/>
      <c r="AC86" s="6"/>
      <c r="AD86" s="6"/>
      <c r="AE86" s="6"/>
    </row>
    <row r="87" spans="1:48" ht="18.75" hidden="1" customHeight="1" x14ac:dyDescent="0.25">
      <c r="A87" s="470" t="s">
        <v>368</v>
      </c>
      <c r="B87" s="467"/>
      <c r="C87" s="467"/>
      <c r="D87" s="46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6"/>
      <c r="AC87" s="6"/>
      <c r="AD87" s="6"/>
      <c r="AE87" s="6"/>
    </row>
    <row r="88" spans="1:48" ht="18.75" hidden="1" customHeight="1" x14ac:dyDescent="0.25">
      <c r="A88" s="470" t="s">
        <v>369</v>
      </c>
      <c r="B88" s="467"/>
      <c r="C88" s="467"/>
      <c r="D88" s="46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6"/>
      <c r="AC88" s="6"/>
      <c r="AD88" s="6"/>
      <c r="AE88" s="6"/>
    </row>
    <row r="89" spans="1:48" ht="18.75" hidden="1" customHeight="1" x14ac:dyDescent="0.25">
      <c r="A89" s="470" t="s">
        <v>370</v>
      </c>
      <c r="B89" s="467"/>
      <c r="C89" s="467"/>
      <c r="D89" s="46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6"/>
      <c r="AC89" s="6"/>
      <c r="AD89" s="6"/>
      <c r="AE89" s="6"/>
    </row>
    <row r="90" spans="1:48" ht="18.75" hidden="1" customHeight="1" x14ac:dyDescent="0.3">
      <c r="A90" s="470" t="s">
        <v>371</v>
      </c>
      <c r="B90" s="467"/>
      <c r="C90" s="467"/>
      <c r="D90" s="46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6"/>
      <c r="AC90" s="6"/>
      <c r="AD90" s="6"/>
      <c r="AE90" s="6"/>
      <c r="AQ90" s="11"/>
      <c r="AR90" s="11"/>
      <c r="AS90" s="11"/>
      <c r="AT90" s="11"/>
      <c r="AU90" s="11"/>
      <c r="AV90" s="11"/>
    </row>
    <row r="91" spans="1:48" ht="18.75" hidden="1" customHeight="1" x14ac:dyDescent="0.3">
      <c r="A91" s="470" t="s">
        <v>372</v>
      </c>
      <c r="B91" s="467"/>
      <c r="C91" s="467"/>
      <c r="D91" s="46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6"/>
      <c r="AC91" s="6"/>
      <c r="AD91" s="6"/>
      <c r="AE91" s="6"/>
      <c r="AQ91" s="11"/>
      <c r="AR91" s="11"/>
      <c r="AS91" s="11"/>
      <c r="AT91" s="11"/>
      <c r="AU91" s="11"/>
      <c r="AV91" s="11"/>
    </row>
    <row r="92" spans="1:48" ht="18.75" hidden="1" customHeight="1" x14ac:dyDescent="0.3">
      <c r="A92" s="470" t="s">
        <v>373</v>
      </c>
      <c r="B92" s="467"/>
      <c r="C92" s="467"/>
      <c r="D92" s="46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6"/>
      <c r="AC92" s="6"/>
      <c r="AD92" s="6"/>
      <c r="AE92" s="6"/>
      <c r="AQ92" s="11"/>
      <c r="AR92" s="11"/>
      <c r="AS92" s="11"/>
      <c r="AT92" s="11"/>
      <c r="AU92" s="11"/>
      <c r="AV92" s="11"/>
    </row>
    <row r="93" spans="1:48" ht="18.75" hidden="1" customHeight="1" x14ac:dyDescent="0.25">
      <c r="A93" s="470" t="s">
        <v>374</v>
      </c>
      <c r="B93" s="467"/>
      <c r="C93" s="467"/>
      <c r="D93" s="46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6"/>
      <c r="AC93" s="6"/>
      <c r="AD93" s="6"/>
      <c r="AE93" s="6"/>
    </row>
    <row r="94" spans="1:48" ht="18.75" hidden="1" customHeight="1" x14ac:dyDescent="0.25">
      <c r="A94" s="470" t="s">
        <v>306</v>
      </c>
      <c r="B94" s="467"/>
      <c r="C94" s="467"/>
      <c r="D94" s="46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6"/>
      <c r="AC94" s="6"/>
      <c r="AD94" s="6"/>
      <c r="AE94" s="6"/>
    </row>
    <row r="95" spans="1:48" ht="18.75" hidden="1" customHeight="1" x14ac:dyDescent="0.25">
      <c r="A95" s="470" t="s">
        <v>305</v>
      </c>
      <c r="B95" s="467"/>
      <c r="C95" s="467"/>
      <c r="D95" s="46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6"/>
      <c r="AC95" s="6"/>
      <c r="AD95" s="6"/>
      <c r="AE95" s="6"/>
    </row>
    <row r="96" spans="1:48" ht="18.75" hidden="1" customHeight="1" x14ac:dyDescent="0.25">
      <c r="A96" s="470" t="s">
        <v>307</v>
      </c>
      <c r="B96" s="467"/>
      <c r="C96" s="467"/>
      <c r="D96" s="46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6"/>
      <c r="AC96" s="6"/>
      <c r="AD96" s="6"/>
      <c r="AE96" s="6"/>
    </row>
    <row r="97" spans="1:31" ht="18.75" hidden="1" customHeight="1" x14ac:dyDescent="0.25">
      <c r="A97" s="470" t="s">
        <v>375</v>
      </c>
      <c r="B97" s="467"/>
      <c r="C97" s="467"/>
      <c r="D97" s="46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6"/>
      <c r="AC97" s="6"/>
      <c r="AD97" s="6"/>
      <c r="AE97" s="6"/>
    </row>
    <row r="98" spans="1:31" ht="18.75" hidden="1" customHeight="1" x14ac:dyDescent="0.25">
      <c r="A98" s="470" t="s">
        <v>376</v>
      </c>
      <c r="B98" s="467"/>
      <c r="C98" s="467"/>
      <c r="D98" s="46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6"/>
      <c r="AC98" s="6"/>
      <c r="AD98" s="6"/>
      <c r="AE98" s="6"/>
    </row>
    <row r="99" spans="1:31" ht="18.75" hidden="1" customHeight="1" x14ac:dyDescent="0.25">
      <c r="A99" s="470" t="s">
        <v>313</v>
      </c>
      <c r="B99" s="467"/>
      <c r="C99" s="467"/>
      <c r="D99" s="46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6"/>
      <c r="AC99" s="6"/>
      <c r="AD99" s="6"/>
      <c r="AE99" s="6"/>
    </row>
    <row r="100" spans="1:31" ht="18.75" hidden="1" customHeight="1" x14ac:dyDescent="0.25">
      <c r="A100" s="470" t="s">
        <v>377</v>
      </c>
      <c r="B100" s="467"/>
      <c r="C100" s="467"/>
      <c r="D100" s="46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6"/>
      <c r="AC100" s="6"/>
      <c r="AD100" s="6"/>
      <c r="AE100" s="6"/>
    </row>
    <row r="101" spans="1:31" ht="18.75" hidden="1" customHeight="1" x14ac:dyDescent="0.25">
      <c r="A101" s="470" t="s">
        <v>314</v>
      </c>
      <c r="B101" s="467"/>
      <c r="C101" s="467"/>
      <c r="D101" s="46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6"/>
      <c r="AC101" s="6"/>
      <c r="AD101" s="6"/>
      <c r="AE101" s="6"/>
    </row>
    <row r="102" spans="1:31" ht="18.75" hidden="1" customHeight="1" x14ac:dyDescent="0.25">
      <c r="A102" s="470" t="s">
        <v>378</v>
      </c>
      <c r="B102" s="467"/>
      <c r="C102" s="467"/>
      <c r="D102" s="46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6"/>
      <c r="AC102" s="6"/>
      <c r="AD102" s="6"/>
      <c r="AE102" s="6"/>
    </row>
    <row r="103" spans="1:31" ht="18.75" hidden="1" customHeight="1" x14ac:dyDescent="0.25">
      <c r="A103" s="470" t="s">
        <v>318</v>
      </c>
      <c r="B103" s="467"/>
      <c r="C103" s="467"/>
      <c r="D103" s="46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6"/>
      <c r="AC103" s="6"/>
      <c r="AD103" s="6"/>
      <c r="AE103" s="6"/>
    </row>
    <row r="104" spans="1:31" ht="18.75" hidden="1" customHeight="1" x14ac:dyDescent="0.25">
      <c r="A104" s="470" t="s">
        <v>317</v>
      </c>
      <c r="B104" s="467"/>
      <c r="C104" s="467"/>
      <c r="D104" s="46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6"/>
      <c r="AC104" s="6"/>
      <c r="AD104" s="6"/>
      <c r="AE104" s="6"/>
    </row>
    <row r="105" spans="1:31" ht="18.75" x14ac:dyDescent="0.25">
      <c r="A105" s="470" t="s">
        <v>319</v>
      </c>
      <c r="B105" s="467"/>
      <c r="C105" s="467"/>
      <c r="D105" s="469"/>
      <c r="F105" s="39">
        <v>0</v>
      </c>
      <c r="G105" s="39">
        <v>0</v>
      </c>
      <c r="H105" s="39">
        <v>0</v>
      </c>
      <c r="I105" s="39">
        <v>0</v>
      </c>
      <c r="J105" s="39">
        <v>0</v>
      </c>
      <c r="K105" s="39">
        <v>0</v>
      </c>
      <c r="L105" s="39">
        <v>0</v>
      </c>
      <c r="M105" s="39">
        <v>0</v>
      </c>
      <c r="N105" s="39">
        <v>0</v>
      </c>
      <c r="O105" s="39">
        <v>0</v>
      </c>
      <c r="P105" s="39">
        <v>0</v>
      </c>
      <c r="Q105" s="39">
        <v>0</v>
      </c>
      <c r="R105" s="39">
        <v>0</v>
      </c>
      <c r="S105" s="39">
        <v>0</v>
      </c>
      <c r="T105" s="39">
        <v>0</v>
      </c>
      <c r="U105" s="39">
        <v>0</v>
      </c>
      <c r="V105" s="39">
        <v>0</v>
      </c>
      <c r="W105" s="39">
        <v>0</v>
      </c>
      <c r="X105" s="39">
        <v>0</v>
      </c>
      <c r="Y105" s="39">
        <v>0</v>
      </c>
      <c r="Z105" s="39">
        <v>0</v>
      </c>
      <c r="AA105" s="39"/>
      <c r="AB105" s="6"/>
      <c r="AC105" s="6"/>
      <c r="AD105" s="6"/>
      <c r="AE105" s="6"/>
    </row>
    <row r="106" spans="1:31" ht="18.75" x14ac:dyDescent="0.25">
      <c r="A106" s="470" t="s">
        <v>200</v>
      </c>
      <c r="B106" s="467"/>
      <c r="C106" s="467"/>
      <c r="D106" s="469"/>
      <c r="F106" s="39">
        <v>0</v>
      </c>
      <c r="G106" s="39">
        <v>0</v>
      </c>
      <c r="H106" s="39">
        <v>0</v>
      </c>
      <c r="I106" s="39">
        <v>0</v>
      </c>
      <c r="J106" s="39">
        <v>0</v>
      </c>
      <c r="K106" s="39">
        <v>0</v>
      </c>
      <c r="L106" s="39">
        <v>0</v>
      </c>
      <c r="M106" s="39">
        <v>0</v>
      </c>
      <c r="N106" s="39">
        <v>0</v>
      </c>
      <c r="O106" s="39">
        <v>0</v>
      </c>
      <c r="P106" s="39">
        <v>0</v>
      </c>
      <c r="Q106" s="39">
        <v>0</v>
      </c>
      <c r="R106" s="39">
        <v>0</v>
      </c>
      <c r="S106" s="39">
        <v>0</v>
      </c>
      <c r="T106" s="39">
        <v>0</v>
      </c>
      <c r="U106" s="39">
        <v>0</v>
      </c>
      <c r="V106" s="39">
        <v>0</v>
      </c>
      <c r="W106" s="39">
        <v>0</v>
      </c>
      <c r="X106" s="39">
        <v>0</v>
      </c>
      <c r="Y106" s="39">
        <v>0</v>
      </c>
      <c r="Z106" s="39">
        <v>0</v>
      </c>
      <c r="AA106" s="39"/>
      <c r="AB106" s="6"/>
      <c r="AC106" s="6"/>
      <c r="AD106" s="6"/>
      <c r="AE106" s="6"/>
    </row>
    <row r="107" spans="1:31" ht="18.75" x14ac:dyDescent="0.25">
      <c r="A107" s="470" t="s">
        <v>193</v>
      </c>
      <c r="B107" s="467"/>
      <c r="C107" s="467"/>
      <c r="D107" s="469"/>
      <c r="F107" s="39">
        <v>0</v>
      </c>
      <c r="G107" s="39">
        <v>0</v>
      </c>
      <c r="H107" s="39">
        <v>0</v>
      </c>
      <c r="I107" s="39">
        <v>0</v>
      </c>
      <c r="J107" s="39">
        <v>0</v>
      </c>
      <c r="K107" s="39">
        <v>0</v>
      </c>
      <c r="L107" s="39">
        <v>0</v>
      </c>
      <c r="M107" s="39">
        <v>0</v>
      </c>
      <c r="N107" s="39">
        <v>0</v>
      </c>
      <c r="O107" s="39">
        <v>0</v>
      </c>
      <c r="P107" s="39">
        <v>0</v>
      </c>
      <c r="Q107" s="39">
        <v>0</v>
      </c>
      <c r="R107" s="39">
        <v>0</v>
      </c>
      <c r="S107" s="39">
        <v>0</v>
      </c>
      <c r="T107" s="39">
        <v>0</v>
      </c>
      <c r="U107" s="39">
        <v>0</v>
      </c>
      <c r="V107" s="39">
        <v>0</v>
      </c>
      <c r="W107" s="39">
        <v>0</v>
      </c>
      <c r="X107" s="39">
        <v>0</v>
      </c>
      <c r="Y107" s="39">
        <v>0</v>
      </c>
      <c r="Z107" s="39">
        <v>0</v>
      </c>
      <c r="AA107" s="39"/>
      <c r="AB107" s="6"/>
      <c r="AC107" s="6"/>
      <c r="AD107" s="6"/>
      <c r="AE107" s="6"/>
    </row>
    <row r="108" spans="1:31" ht="18.75" x14ac:dyDescent="0.25">
      <c r="A108" s="470" t="s">
        <v>379</v>
      </c>
      <c r="B108" s="467"/>
      <c r="C108" s="467"/>
      <c r="D108" s="469"/>
      <c r="F108" s="39">
        <v>0</v>
      </c>
      <c r="G108" s="39">
        <v>0</v>
      </c>
      <c r="H108" s="39">
        <v>0</v>
      </c>
      <c r="I108" s="39">
        <v>0</v>
      </c>
      <c r="J108" s="39">
        <v>0</v>
      </c>
      <c r="K108" s="39">
        <v>0</v>
      </c>
      <c r="L108" s="39">
        <v>0</v>
      </c>
      <c r="M108" s="39">
        <v>0</v>
      </c>
      <c r="N108" s="39">
        <v>0</v>
      </c>
      <c r="O108" s="39">
        <v>0</v>
      </c>
      <c r="P108" s="39">
        <v>0</v>
      </c>
      <c r="Q108" s="39">
        <v>0</v>
      </c>
      <c r="R108" s="39">
        <v>0</v>
      </c>
      <c r="S108" s="39">
        <v>0</v>
      </c>
      <c r="T108" s="39">
        <v>5</v>
      </c>
      <c r="U108" s="39">
        <v>5</v>
      </c>
      <c r="V108" s="39">
        <v>5</v>
      </c>
      <c r="W108" s="39">
        <v>0</v>
      </c>
      <c r="X108" s="39">
        <v>0</v>
      </c>
      <c r="Y108" s="39">
        <v>0</v>
      </c>
      <c r="Z108" s="39">
        <v>0</v>
      </c>
      <c r="AA108" s="39"/>
      <c r="AB108" s="6"/>
      <c r="AC108" s="6"/>
      <c r="AD108" s="6"/>
      <c r="AE108" s="6"/>
    </row>
    <row r="109" spans="1:31" ht="18.75" x14ac:dyDescent="0.25">
      <c r="A109" s="470" t="s">
        <v>321</v>
      </c>
      <c r="B109" s="467"/>
      <c r="C109" s="467"/>
      <c r="D109" s="469"/>
      <c r="F109" s="39">
        <v>0</v>
      </c>
      <c r="G109" s="39">
        <v>0</v>
      </c>
      <c r="H109" s="39">
        <v>0</v>
      </c>
      <c r="I109" s="39">
        <v>0</v>
      </c>
      <c r="J109" s="39">
        <v>0</v>
      </c>
      <c r="K109" s="39">
        <v>0</v>
      </c>
      <c r="L109" s="39">
        <v>0</v>
      </c>
      <c r="M109" s="39">
        <v>0</v>
      </c>
      <c r="N109" s="39">
        <v>0</v>
      </c>
      <c r="O109" s="39">
        <v>0</v>
      </c>
      <c r="P109" s="39">
        <v>0</v>
      </c>
      <c r="Q109" s="39">
        <v>0</v>
      </c>
      <c r="R109" s="39">
        <v>0</v>
      </c>
      <c r="S109" s="39">
        <v>0</v>
      </c>
      <c r="T109" s="39">
        <v>0</v>
      </c>
      <c r="U109" s="39">
        <v>0</v>
      </c>
      <c r="V109" s="39">
        <v>0</v>
      </c>
      <c r="W109" s="39">
        <v>0</v>
      </c>
      <c r="X109" s="39">
        <v>0</v>
      </c>
      <c r="Y109" s="39">
        <v>0</v>
      </c>
      <c r="Z109" s="39">
        <v>0</v>
      </c>
      <c r="AA109" s="39"/>
      <c r="AB109" s="6"/>
      <c r="AC109" s="6"/>
      <c r="AD109" s="6"/>
      <c r="AE109" s="6"/>
    </row>
    <row r="110" spans="1:31" ht="18.75" x14ac:dyDescent="0.25">
      <c r="A110" s="335" t="s">
        <v>380</v>
      </c>
      <c r="B110" s="336"/>
      <c r="C110" s="336"/>
      <c r="D110" s="337"/>
      <c r="N110" s="39">
        <v>0</v>
      </c>
      <c r="O110" s="39">
        <v>0</v>
      </c>
      <c r="P110" s="39">
        <v>0</v>
      </c>
      <c r="Q110" s="39">
        <v>0</v>
      </c>
      <c r="R110" s="39">
        <v>0</v>
      </c>
      <c r="S110" s="39">
        <v>0</v>
      </c>
      <c r="T110" s="39">
        <v>153</v>
      </c>
      <c r="U110" s="39">
        <v>153</v>
      </c>
      <c r="V110" s="39">
        <v>153</v>
      </c>
      <c r="W110" s="39">
        <v>200</v>
      </c>
      <c r="X110" s="39">
        <v>200</v>
      </c>
      <c r="Y110" s="39">
        <v>200</v>
      </c>
      <c r="Z110" s="39">
        <v>200</v>
      </c>
      <c r="AA110" s="39"/>
      <c r="AB110" s="6"/>
      <c r="AC110" s="6"/>
      <c r="AD110" s="6"/>
      <c r="AE110" s="6"/>
    </row>
    <row r="111" spans="1:31" ht="18.75" x14ac:dyDescent="0.25">
      <c r="A111" s="335" t="s">
        <v>381</v>
      </c>
      <c r="B111" s="336"/>
      <c r="C111" s="336"/>
      <c r="D111" s="337"/>
      <c r="N111" s="39">
        <v>0</v>
      </c>
      <c r="O111" s="39">
        <v>0</v>
      </c>
      <c r="P111" s="39">
        <v>0</v>
      </c>
      <c r="Q111" s="39">
        <v>0</v>
      </c>
      <c r="R111" s="39">
        <v>0</v>
      </c>
      <c r="S111" s="39">
        <v>0</v>
      </c>
      <c r="T111" s="39">
        <v>87</v>
      </c>
      <c r="U111" s="39">
        <v>67</v>
      </c>
      <c r="V111" s="39">
        <v>67</v>
      </c>
      <c r="W111" s="39">
        <v>55</v>
      </c>
      <c r="X111" s="39">
        <v>55</v>
      </c>
      <c r="Y111" s="39">
        <v>55</v>
      </c>
      <c r="Z111" s="39">
        <v>55</v>
      </c>
      <c r="AA111" s="39"/>
      <c r="AB111" s="6"/>
      <c r="AC111" s="6"/>
      <c r="AD111" s="6"/>
      <c r="AE111" s="6"/>
    </row>
    <row r="112" spans="1:31" ht="18.75" x14ac:dyDescent="0.25">
      <c r="A112" s="335" t="s">
        <v>382</v>
      </c>
      <c r="B112" s="336"/>
      <c r="C112" s="336"/>
      <c r="D112" s="337"/>
      <c r="N112" s="39">
        <v>0</v>
      </c>
      <c r="O112" s="39">
        <v>0</v>
      </c>
      <c r="P112" s="39">
        <v>0</v>
      </c>
      <c r="Q112" s="39">
        <v>0</v>
      </c>
      <c r="R112" s="39">
        <v>0</v>
      </c>
      <c r="S112" s="39">
        <v>0</v>
      </c>
      <c r="T112" s="39">
        <v>10</v>
      </c>
      <c r="U112" s="39">
        <v>10</v>
      </c>
      <c r="V112" s="39">
        <v>10</v>
      </c>
      <c r="W112" s="39">
        <v>10</v>
      </c>
      <c r="X112" s="39">
        <v>10</v>
      </c>
      <c r="Y112" s="39">
        <v>10</v>
      </c>
      <c r="Z112" s="39">
        <v>10</v>
      </c>
      <c r="AA112" s="39"/>
      <c r="AB112" s="6"/>
      <c r="AC112" s="6"/>
      <c r="AD112" s="6"/>
      <c r="AE112" s="6"/>
    </row>
    <row r="113" spans="1:31" ht="18.75" x14ac:dyDescent="0.25">
      <c r="A113" s="335" t="s">
        <v>383</v>
      </c>
      <c r="B113" s="336"/>
      <c r="C113" s="336"/>
      <c r="D113" s="337"/>
      <c r="N113" s="39">
        <v>0</v>
      </c>
      <c r="O113" s="39">
        <v>0</v>
      </c>
      <c r="P113" s="39">
        <v>0</v>
      </c>
      <c r="Q113" s="39">
        <v>0</v>
      </c>
      <c r="R113" s="39">
        <v>0</v>
      </c>
      <c r="S113" s="39">
        <v>0</v>
      </c>
      <c r="T113" s="39">
        <v>6</v>
      </c>
      <c r="U113" s="39">
        <v>6</v>
      </c>
      <c r="V113" s="39">
        <v>6</v>
      </c>
      <c r="W113" s="39">
        <v>6</v>
      </c>
      <c r="X113" s="39">
        <v>6</v>
      </c>
      <c r="Y113" s="39">
        <v>6</v>
      </c>
      <c r="Z113" s="39">
        <v>6</v>
      </c>
      <c r="AA113" s="39"/>
      <c r="AB113" s="6"/>
      <c r="AC113" s="6"/>
      <c r="AD113" s="6"/>
      <c r="AE113" s="6"/>
    </row>
    <row r="114" spans="1:31" ht="18.75" x14ac:dyDescent="0.25">
      <c r="A114" s="335" t="s">
        <v>384</v>
      </c>
      <c r="B114" s="336"/>
      <c r="C114" s="336"/>
      <c r="D114" s="337"/>
      <c r="N114" s="39">
        <v>0</v>
      </c>
      <c r="O114" s="39">
        <v>0</v>
      </c>
      <c r="P114" s="39">
        <v>0</v>
      </c>
      <c r="Q114" s="39">
        <v>0</v>
      </c>
      <c r="R114" s="39">
        <v>0</v>
      </c>
      <c r="S114" s="39">
        <v>0</v>
      </c>
      <c r="T114" s="39">
        <v>17</v>
      </c>
      <c r="U114" s="39">
        <v>17</v>
      </c>
      <c r="V114" s="39">
        <v>17</v>
      </c>
      <c r="W114" s="39">
        <v>17</v>
      </c>
      <c r="X114" s="39">
        <v>17</v>
      </c>
      <c r="Y114" s="39">
        <v>17</v>
      </c>
      <c r="Z114" s="39">
        <v>17</v>
      </c>
      <c r="AA114" s="39"/>
      <c r="AB114" s="6"/>
      <c r="AC114" s="6"/>
      <c r="AD114" s="6"/>
      <c r="AE114" s="6"/>
    </row>
    <row r="115" spans="1:31" ht="18.75" x14ac:dyDescent="0.25">
      <c r="A115" s="335" t="s">
        <v>385</v>
      </c>
      <c r="B115" s="336"/>
      <c r="C115" s="336"/>
      <c r="D115" s="337"/>
      <c r="R115" s="39">
        <v>0</v>
      </c>
      <c r="S115" s="39">
        <v>0</v>
      </c>
      <c r="T115" s="39">
        <v>0</v>
      </c>
      <c r="U115" s="39">
        <v>0</v>
      </c>
      <c r="V115" s="39">
        <v>0</v>
      </c>
      <c r="W115" s="39">
        <v>55</v>
      </c>
      <c r="X115" s="39">
        <v>55</v>
      </c>
      <c r="Y115" s="39">
        <v>55</v>
      </c>
      <c r="Z115" s="39">
        <v>55</v>
      </c>
      <c r="AA115" s="39"/>
      <c r="AB115" s="6"/>
      <c r="AC115" s="6"/>
      <c r="AD115" s="6"/>
      <c r="AE115" s="6"/>
    </row>
    <row r="116" spans="1:31" ht="18.75" x14ac:dyDescent="0.25">
      <c r="A116" s="335" t="s">
        <v>386</v>
      </c>
      <c r="B116" s="336"/>
      <c r="C116" s="336"/>
      <c r="D116" s="337"/>
      <c r="R116" s="39">
        <v>0</v>
      </c>
      <c r="S116" s="39">
        <v>0</v>
      </c>
      <c r="T116" s="39">
        <v>0</v>
      </c>
      <c r="U116" s="39">
        <v>0</v>
      </c>
      <c r="V116" s="39">
        <v>0</v>
      </c>
      <c r="W116" s="39">
        <v>55</v>
      </c>
      <c r="X116" s="39">
        <v>55</v>
      </c>
      <c r="Y116" s="39">
        <v>55</v>
      </c>
      <c r="Z116" s="39">
        <v>55</v>
      </c>
      <c r="AA116" s="39"/>
      <c r="AB116" s="6"/>
      <c r="AC116" s="6"/>
      <c r="AD116" s="6"/>
      <c r="AE116" s="6"/>
    </row>
    <row r="117" spans="1:31" ht="18.75" x14ac:dyDescent="0.25">
      <c r="A117" s="470"/>
      <c r="B117" s="467"/>
      <c r="C117" s="467"/>
      <c r="D117" s="46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6"/>
      <c r="AC117" s="6"/>
      <c r="AD117" s="6"/>
      <c r="AE117" s="6"/>
    </row>
  </sheetData>
  <mergeCells count="59">
    <mergeCell ref="B2:D2"/>
    <mergeCell ref="C5:C6"/>
    <mergeCell ref="AW7:BE7"/>
    <mergeCell ref="A86:D86"/>
    <mergeCell ref="A104:D104"/>
    <mergeCell ref="A95:D95"/>
    <mergeCell ref="A71:D71"/>
    <mergeCell ref="A85:D85"/>
    <mergeCell ref="A76:D76"/>
    <mergeCell ref="B3:D3"/>
    <mergeCell ref="D5:D6"/>
    <mergeCell ref="A89:D89"/>
    <mergeCell ref="A105:D105"/>
    <mergeCell ref="A74:D74"/>
    <mergeCell ref="A101:D101"/>
    <mergeCell ref="A5:A6"/>
    <mergeCell ref="A94:D94"/>
    <mergeCell ref="A103:D103"/>
    <mergeCell ref="A70:D70"/>
    <mergeCell ref="A79:D79"/>
    <mergeCell ref="A61:D61"/>
    <mergeCell ref="A88:D88"/>
    <mergeCell ref="A69:D69"/>
    <mergeCell ref="A78:D78"/>
    <mergeCell ref="A87:D87"/>
    <mergeCell ref="A65:D65"/>
    <mergeCell ref="A99:D99"/>
    <mergeCell ref="A84:D84"/>
    <mergeCell ref="A90:D90"/>
    <mergeCell ref="A66:D66"/>
    <mergeCell ref="B5:B6"/>
    <mergeCell ref="A59:D59"/>
    <mergeCell ref="A73:D73"/>
    <mergeCell ref="A107:D107"/>
    <mergeCell ref="A98:D98"/>
    <mergeCell ref="A60:D60"/>
    <mergeCell ref="A80:D80"/>
    <mergeCell ref="A75:D75"/>
    <mergeCell ref="A109:D109"/>
    <mergeCell ref="A72:D72"/>
    <mergeCell ref="A81:D81"/>
    <mergeCell ref="A63:D63"/>
    <mergeCell ref="A117:D117"/>
    <mergeCell ref="A93:D93"/>
    <mergeCell ref="A68:D68"/>
    <mergeCell ref="A102:D102"/>
    <mergeCell ref="A67:D67"/>
    <mergeCell ref="A77:D77"/>
    <mergeCell ref="A83:D83"/>
    <mergeCell ref="A92:D92"/>
    <mergeCell ref="A64:D64"/>
    <mergeCell ref="A82:D82"/>
    <mergeCell ref="A108:D108"/>
    <mergeCell ref="A106:D106"/>
    <mergeCell ref="A97:D97"/>
    <mergeCell ref="A91:D91"/>
    <mergeCell ref="A100:D100"/>
    <mergeCell ref="A62:D62"/>
    <mergeCell ref="A96:D96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70" fitToHeight="0" orientation="landscape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13">
    <tabColor rgb="FFFF0000"/>
  </sheetPr>
  <dimension ref="A1:V168"/>
  <sheetViews>
    <sheetView topLeftCell="A112" zoomScale="85" zoomScaleNormal="85" workbookViewId="0">
      <selection activeCell="D148" sqref="D148"/>
    </sheetView>
  </sheetViews>
  <sheetFormatPr defaultRowHeight="15" x14ac:dyDescent="0.25"/>
  <cols>
    <col min="1" max="1" width="31.7109375" customWidth="1"/>
    <col min="6" max="6" width="10" customWidth="1"/>
    <col min="20" max="21" width="13" hidden="1" customWidth="1"/>
  </cols>
  <sheetData>
    <row r="1" spans="1:22" ht="18" customHeight="1" x14ac:dyDescent="0.25">
      <c r="A1" s="488" t="s">
        <v>387</v>
      </c>
      <c r="B1" s="478"/>
      <c r="C1" s="478"/>
      <c r="D1" s="478"/>
      <c r="E1" s="478"/>
      <c r="F1" s="478"/>
      <c r="G1" s="478"/>
      <c r="H1" s="478"/>
      <c r="I1" s="478"/>
      <c r="J1" s="478"/>
      <c r="K1" s="478"/>
      <c r="L1" s="478"/>
      <c r="M1" s="478"/>
      <c r="N1" s="478"/>
      <c r="O1" s="478"/>
      <c r="P1" s="478"/>
      <c r="Q1" s="478"/>
      <c r="R1" s="478"/>
      <c r="S1" s="478"/>
      <c r="T1" s="478"/>
      <c r="U1" s="478"/>
      <c r="V1" s="478"/>
    </row>
    <row r="2" spans="1:22" ht="18" customHeight="1" x14ac:dyDescent="0.25">
      <c r="A2" s="484" t="s">
        <v>119</v>
      </c>
      <c r="B2" s="484" t="s">
        <v>388</v>
      </c>
      <c r="C2" s="485"/>
      <c r="D2" s="485"/>
      <c r="E2" s="485"/>
      <c r="F2" s="486"/>
      <c r="G2" s="484" t="s">
        <v>389</v>
      </c>
      <c r="H2" s="485"/>
      <c r="I2" s="485"/>
      <c r="J2" s="485"/>
      <c r="K2" s="485"/>
      <c r="L2" s="486"/>
      <c r="M2" s="484" t="s">
        <v>390</v>
      </c>
      <c r="N2" s="485"/>
      <c r="O2" s="485"/>
      <c r="P2" s="485"/>
      <c r="Q2" s="486"/>
      <c r="R2" s="484" t="s">
        <v>391</v>
      </c>
      <c r="S2" s="485"/>
      <c r="T2" s="485"/>
      <c r="U2" s="485"/>
      <c r="V2" s="486"/>
    </row>
    <row r="3" spans="1:22" ht="15.75" customHeight="1" x14ac:dyDescent="0.25">
      <c r="A3" s="487"/>
      <c r="B3" s="96">
        <v>44900</v>
      </c>
      <c r="C3" s="96">
        <v>44907</v>
      </c>
      <c r="D3" s="96">
        <v>44914</v>
      </c>
      <c r="E3" s="96">
        <v>44921</v>
      </c>
      <c r="F3" s="97" t="s">
        <v>129</v>
      </c>
      <c r="G3" s="96">
        <v>44563</v>
      </c>
      <c r="H3" s="96">
        <v>44570</v>
      </c>
      <c r="I3" s="96">
        <v>44577</v>
      </c>
      <c r="J3" s="96">
        <v>44584</v>
      </c>
      <c r="K3" s="96">
        <v>44591</v>
      </c>
      <c r="L3" s="97" t="s">
        <v>129</v>
      </c>
      <c r="M3" s="96">
        <v>44598</v>
      </c>
      <c r="N3" s="96">
        <v>44605</v>
      </c>
      <c r="O3" s="96">
        <v>44612</v>
      </c>
      <c r="P3" s="96">
        <v>44619</v>
      </c>
      <c r="Q3" s="97" t="s">
        <v>129</v>
      </c>
      <c r="R3" s="96">
        <v>44626</v>
      </c>
      <c r="S3" s="96">
        <v>44633</v>
      </c>
      <c r="T3" s="96">
        <v>44640</v>
      </c>
      <c r="U3" s="96">
        <v>44647</v>
      </c>
      <c r="V3" s="97" t="s">
        <v>129</v>
      </c>
    </row>
    <row r="4" spans="1:22" ht="15.75" customHeight="1" x14ac:dyDescent="0.25">
      <c r="A4" s="87" t="s">
        <v>392</v>
      </c>
      <c r="B4" s="105">
        <v>110</v>
      </c>
      <c r="C4" s="88">
        <v>190</v>
      </c>
      <c r="D4" s="88">
        <v>100</v>
      </c>
      <c r="E4" s="88">
        <v>200</v>
      </c>
      <c r="F4" s="106">
        <f t="shared" ref="F4:F12" si="0">B4+C4+D4+E4</f>
        <v>600</v>
      </c>
      <c r="G4" s="88">
        <v>0</v>
      </c>
      <c r="H4" s="88">
        <v>0</v>
      </c>
      <c r="I4" s="88">
        <v>0</v>
      </c>
      <c r="J4" s="88">
        <v>0</v>
      </c>
      <c r="K4" s="88">
        <v>0</v>
      </c>
      <c r="L4" s="106">
        <f t="shared" ref="L4:L12" si="1">G4+H4+I4+J4+K4</f>
        <v>0</v>
      </c>
      <c r="M4" s="88">
        <v>0</v>
      </c>
      <c r="N4" s="88">
        <v>0</v>
      </c>
      <c r="O4" s="88">
        <v>0</v>
      </c>
      <c r="P4" s="88">
        <v>0</v>
      </c>
      <c r="Q4" s="106">
        <f t="shared" ref="Q4:Q12" si="2">M4+N4+O4+P4</f>
        <v>0</v>
      </c>
      <c r="R4" s="88">
        <v>0</v>
      </c>
      <c r="S4" s="88">
        <v>0</v>
      </c>
      <c r="T4" s="88"/>
      <c r="U4" s="88"/>
      <c r="V4" s="106">
        <f t="shared" ref="V4:V12" si="3">R4+S4+T4+U4</f>
        <v>0</v>
      </c>
    </row>
    <row r="5" spans="1:22" ht="15.75" customHeight="1" x14ac:dyDescent="0.25">
      <c r="A5" s="90" t="s">
        <v>393</v>
      </c>
      <c r="B5" s="88">
        <v>140</v>
      </c>
      <c r="C5" s="88">
        <v>340</v>
      </c>
      <c r="D5" s="88">
        <v>120</v>
      </c>
      <c r="E5" s="88">
        <v>200</v>
      </c>
      <c r="F5" s="106">
        <f t="shared" si="0"/>
        <v>800</v>
      </c>
      <c r="G5" s="88">
        <v>0</v>
      </c>
      <c r="H5" s="88">
        <v>0</v>
      </c>
      <c r="I5" s="88">
        <v>0</v>
      </c>
      <c r="J5" s="88">
        <v>0</v>
      </c>
      <c r="K5" s="88">
        <v>0</v>
      </c>
      <c r="L5" s="106">
        <f t="shared" si="1"/>
        <v>0</v>
      </c>
      <c r="M5" s="88">
        <v>0</v>
      </c>
      <c r="N5" s="88">
        <v>0</v>
      </c>
      <c r="O5" s="88">
        <v>0</v>
      </c>
      <c r="P5" s="88">
        <v>0</v>
      </c>
      <c r="Q5" s="106">
        <f t="shared" si="2"/>
        <v>0</v>
      </c>
      <c r="R5" s="88">
        <v>0</v>
      </c>
      <c r="S5" s="88">
        <v>0</v>
      </c>
      <c r="T5" s="88"/>
      <c r="U5" s="88"/>
      <c r="V5" s="106">
        <f t="shared" si="3"/>
        <v>0</v>
      </c>
    </row>
    <row r="6" spans="1:22" ht="15.75" customHeight="1" x14ac:dyDescent="0.25">
      <c r="A6" s="90" t="s">
        <v>394</v>
      </c>
      <c r="B6" s="88">
        <v>140</v>
      </c>
      <c r="C6" s="88">
        <v>260</v>
      </c>
      <c r="D6" s="88">
        <v>150</v>
      </c>
      <c r="E6" s="88">
        <v>250</v>
      </c>
      <c r="F6" s="106">
        <f t="shared" si="0"/>
        <v>800</v>
      </c>
      <c r="G6" s="88">
        <v>0</v>
      </c>
      <c r="H6" s="88">
        <v>0</v>
      </c>
      <c r="I6" s="88">
        <v>0</v>
      </c>
      <c r="J6" s="88">
        <v>0</v>
      </c>
      <c r="K6" s="88">
        <v>0</v>
      </c>
      <c r="L6" s="106">
        <f t="shared" si="1"/>
        <v>0</v>
      </c>
      <c r="M6" s="88">
        <v>0</v>
      </c>
      <c r="N6" s="88">
        <v>0</v>
      </c>
      <c r="O6" s="88">
        <v>0</v>
      </c>
      <c r="P6" s="88">
        <v>0</v>
      </c>
      <c r="Q6" s="106">
        <f t="shared" si="2"/>
        <v>0</v>
      </c>
      <c r="R6" s="88">
        <v>0</v>
      </c>
      <c r="S6" s="88">
        <v>0</v>
      </c>
      <c r="T6" s="88"/>
      <c r="U6" s="88"/>
      <c r="V6" s="106">
        <f t="shared" si="3"/>
        <v>0</v>
      </c>
    </row>
    <row r="7" spans="1:22" ht="15.75" customHeight="1" x14ac:dyDescent="0.25">
      <c r="A7" s="90" t="s">
        <v>395</v>
      </c>
      <c r="B7" s="88">
        <v>80</v>
      </c>
      <c r="C7" s="88">
        <v>120</v>
      </c>
      <c r="D7" s="88">
        <v>0</v>
      </c>
      <c r="E7" s="88">
        <v>300</v>
      </c>
      <c r="F7" s="106">
        <f t="shared" si="0"/>
        <v>500</v>
      </c>
      <c r="G7" s="88">
        <v>0</v>
      </c>
      <c r="H7" s="88">
        <v>0</v>
      </c>
      <c r="I7" s="88">
        <v>0</v>
      </c>
      <c r="J7" s="88">
        <v>0</v>
      </c>
      <c r="K7" s="88">
        <v>0</v>
      </c>
      <c r="L7" s="106">
        <f t="shared" si="1"/>
        <v>0</v>
      </c>
      <c r="M7" s="88">
        <v>0</v>
      </c>
      <c r="N7" s="88">
        <v>0</v>
      </c>
      <c r="O7" s="88">
        <v>0</v>
      </c>
      <c r="P7" s="88">
        <v>0</v>
      </c>
      <c r="Q7" s="106">
        <f t="shared" si="2"/>
        <v>0</v>
      </c>
      <c r="R7" s="88">
        <v>0</v>
      </c>
      <c r="S7" s="88">
        <v>0</v>
      </c>
      <c r="T7" s="88"/>
      <c r="U7" s="88"/>
      <c r="V7" s="106">
        <f t="shared" si="3"/>
        <v>0</v>
      </c>
    </row>
    <row r="8" spans="1:22" ht="15.75" customHeight="1" x14ac:dyDescent="0.25">
      <c r="A8" s="91" t="s">
        <v>396</v>
      </c>
      <c r="B8" s="88">
        <v>4</v>
      </c>
      <c r="C8" s="88">
        <v>8</v>
      </c>
      <c r="D8" s="88">
        <v>41</v>
      </c>
      <c r="E8" s="88">
        <v>47</v>
      </c>
      <c r="F8" s="106">
        <f t="shared" si="0"/>
        <v>100</v>
      </c>
      <c r="G8" s="88">
        <v>0</v>
      </c>
      <c r="H8" s="88">
        <v>0</v>
      </c>
      <c r="I8" s="88">
        <v>0</v>
      </c>
      <c r="J8" s="88">
        <v>0</v>
      </c>
      <c r="K8" s="88">
        <v>0</v>
      </c>
      <c r="L8" s="106">
        <f t="shared" si="1"/>
        <v>0</v>
      </c>
      <c r="M8" s="88">
        <v>0</v>
      </c>
      <c r="N8" s="88">
        <v>0</v>
      </c>
      <c r="O8" s="88">
        <v>0</v>
      </c>
      <c r="P8" s="88">
        <v>0</v>
      </c>
      <c r="Q8" s="106">
        <f t="shared" si="2"/>
        <v>0</v>
      </c>
      <c r="R8" s="88">
        <v>0</v>
      </c>
      <c r="S8" s="88">
        <v>0</v>
      </c>
      <c r="T8" s="88"/>
      <c r="U8" s="88"/>
      <c r="V8" s="106">
        <f t="shared" si="3"/>
        <v>0</v>
      </c>
    </row>
    <row r="9" spans="1:22" ht="15.75" customHeight="1" x14ac:dyDescent="0.25">
      <c r="A9" s="92" t="s">
        <v>397</v>
      </c>
      <c r="B9" s="88">
        <v>42</v>
      </c>
      <c r="C9" s="88">
        <v>27</v>
      </c>
      <c r="D9" s="88">
        <v>6</v>
      </c>
      <c r="E9" s="88">
        <v>25</v>
      </c>
      <c r="F9" s="106">
        <f t="shared" si="0"/>
        <v>100</v>
      </c>
      <c r="G9" s="88">
        <v>0</v>
      </c>
      <c r="H9" s="88">
        <v>0</v>
      </c>
      <c r="I9" s="88">
        <v>0</v>
      </c>
      <c r="J9" s="88">
        <v>0</v>
      </c>
      <c r="K9" s="88">
        <v>0</v>
      </c>
      <c r="L9" s="106">
        <f t="shared" si="1"/>
        <v>0</v>
      </c>
      <c r="M9" s="88">
        <v>0</v>
      </c>
      <c r="N9" s="88">
        <v>0</v>
      </c>
      <c r="O9" s="88">
        <v>0</v>
      </c>
      <c r="P9" s="88">
        <v>0</v>
      </c>
      <c r="Q9" s="106">
        <f t="shared" si="2"/>
        <v>0</v>
      </c>
      <c r="R9" s="88">
        <v>0</v>
      </c>
      <c r="S9" s="88">
        <v>0</v>
      </c>
      <c r="T9" s="88"/>
      <c r="U9" s="88"/>
      <c r="V9" s="106">
        <f t="shared" si="3"/>
        <v>0</v>
      </c>
    </row>
    <row r="10" spans="1:22" ht="15.75" customHeight="1" x14ac:dyDescent="0.25">
      <c r="A10" s="92" t="s">
        <v>398</v>
      </c>
      <c r="B10" s="88">
        <v>3</v>
      </c>
      <c r="C10" s="88">
        <v>0</v>
      </c>
      <c r="D10" s="88">
        <v>4</v>
      </c>
      <c r="E10" s="88">
        <v>3</v>
      </c>
      <c r="F10" s="106">
        <f t="shared" si="0"/>
        <v>10</v>
      </c>
      <c r="G10" s="88">
        <v>0</v>
      </c>
      <c r="H10" s="88">
        <v>0</v>
      </c>
      <c r="I10" s="88">
        <v>0</v>
      </c>
      <c r="J10" s="88">
        <v>0</v>
      </c>
      <c r="K10" s="88">
        <v>0</v>
      </c>
      <c r="L10" s="106">
        <f t="shared" si="1"/>
        <v>0</v>
      </c>
      <c r="M10" s="88">
        <v>0</v>
      </c>
      <c r="N10" s="88">
        <v>0</v>
      </c>
      <c r="O10" s="88">
        <v>0</v>
      </c>
      <c r="P10" s="88">
        <v>0</v>
      </c>
      <c r="Q10" s="106">
        <f t="shared" si="2"/>
        <v>0</v>
      </c>
      <c r="R10" s="88">
        <v>0</v>
      </c>
      <c r="S10" s="88">
        <v>0</v>
      </c>
      <c r="T10" s="88"/>
      <c r="U10" s="88"/>
      <c r="V10" s="106">
        <f t="shared" si="3"/>
        <v>0</v>
      </c>
    </row>
    <row r="11" spans="1:22" ht="15.75" customHeight="1" x14ac:dyDescent="0.25">
      <c r="A11" s="92" t="s">
        <v>399</v>
      </c>
      <c r="B11" s="88">
        <v>2</v>
      </c>
      <c r="C11" s="88">
        <v>0</v>
      </c>
      <c r="D11" s="88">
        <v>1</v>
      </c>
      <c r="E11" s="88">
        <v>4</v>
      </c>
      <c r="F11" s="106">
        <f t="shared" si="0"/>
        <v>7</v>
      </c>
      <c r="G11" s="88">
        <v>0</v>
      </c>
      <c r="H11" s="88">
        <v>0</v>
      </c>
      <c r="I11" s="88">
        <v>0</v>
      </c>
      <c r="J11" s="88">
        <v>0</v>
      </c>
      <c r="K11" s="88">
        <v>0</v>
      </c>
      <c r="L11" s="106">
        <f t="shared" si="1"/>
        <v>0</v>
      </c>
      <c r="M11" s="88">
        <v>0</v>
      </c>
      <c r="N11" s="88">
        <v>0</v>
      </c>
      <c r="O11" s="88">
        <v>0</v>
      </c>
      <c r="P11" s="88">
        <v>0</v>
      </c>
      <c r="Q11" s="106">
        <f t="shared" si="2"/>
        <v>0</v>
      </c>
      <c r="R11" s="88">
        <v>0</v>
      </c>
      <c r="S11" s="88">
        <v>0</v>
      </c>
      <c r="T11" s="88"/>
      <c r="U11" s="88"/>
      <c r="V11" s="106">
        <f t="shared" si="3"/>
        <v>0</v>
      </c>
    </row>
    <row r="12" spans="1:22" ht="15.75" customHeight="1" x14ac:dyDescent="0.25">
      <c r="A12" s="92" t="s">
        <v>400</v>
      </c>
      <c r="B12" s="88">
        <v>0</v>
      </c>
      <c r="C12" s="88">
        <v>10</v>
      </c>
      <c r="D12" s="88">
        <v>112</v>
      </c>
      <c r="E12" s="88">
        <v>28</v>
      </c>
      <c r="F12" s="106">
        <f t="shared" si="0"/>
        <v>150</v>
      </c>
      <c r="G12" s="88">
        <v>0</v>
      </c>
      <c r="H12" s="88">
        <v>0</v>
      </c>
      <c r="I12" s="88">
        <v>0</v>
      </c>
      <c r="J12" s="88">
        <v>0</v>
      </c>
      <c r="K12" s="88">
        <v>0</v>
      </c>
      <c r="L12" s="106">
        <f t="shared" si="1"/>
        <v>0</v>
      </c>
      <c r="M12" s="88">
        <v>0</v>
      </c>
      <c r="N12" s="88">
        <v>0</v>
      </c>
      <c r="O12" s="88">
        <v>0</v>
      </c>
      <c r="P12" s="88">
        <v>0</v>
      </c>
      <c r="Q12" s="106">
        <f t="shared" si="2"/>
        <v>0</v>
      </c>
      <c r="R12" s="88">
        <v>0</v>
      </c>
      <c r="S12" s="88">
        <v>0</v>
      </c>
      <c r="T12" s="88"/>
      <c r="U12" s="88"/>
      <c r="V12" s="106">
        <f t="shared" si="3"/>
        <v>0</v>
      </c>
    </row>
    <row r="13" spans="1:22" ht="15.75" customHeight="1" x14ac:dyDescent="0.25">
      <c r="A13" s="107" t="s">
        <v>401</v>
      </c>
      <c r="B13" s="108">
        <f>SUM(B4:B7)</f>
        <v>470</v>
      </c>
      <c r="C13" s="108">
        <f>SUM(C4:C7)</f>
        <v>910</v>
      </c>
      <c r="D13" s="108">
        <f>SUM(D4:D7)</f>
        <v>370</v>
      </c>
      <c r="E13" s="108">
        <f>SUM(E4:E7)</f>
        <v>950</v>
      </c>
      <c r="F13" s="108">
        <f>SUM(F4:F7)</f>
        <v>2700</v>
      </c>
      <c r="G13" s="108">
        <f t="shared" ref="G13:V13" si="4">SUM(G4:G8)</f>
        <v>0</v>
      </c>
      <c r="H13" s="108">
        <f t="shared" si="4"/>
        <v>0</v>
      </c>
      <c r="I13" s="108">
        <f t="shared" si="4"/>
        <v>0</v>
      </c>
      <c r="J13" s="108">
        <f t="shared" si="4"/>
        <v>0</v>
      </c>
      <c r="K13" s="108">
        <f t="shared" si="4"/>
        <v>0</v>
      </c>
      <c r="L13" s="108">
        <f t="shared" si="4"/>
        <v>0</v>
      </c>
      <c r="M13" s="108">
        <f t="shared" si="4"/>
        <v>0</v>
      </c>
      <c r="N13" s="108">
        <f t="shared" si="4"/>
        <v>0</v>
      </c>
      <c r="O13" s="108">
        <f t="shared" si="4"/>
        <v>0</v>
      </c>
      <c r="P13" s="108">
        <f t="shared" si="4"/>
        <v>0</v>
      </c>
      <c r="Q13" s="108">
        <f t="shared" si="4"/>
        <v>0</v>
      </c>
      <c r="R13" s="108">
        <f t="shared" si="4"/>
        <v>0</v>
      </c>
      <c r="S13" s="108">
        <f t="shared" si="4"/>
        <v>0</v>
      </c>
      <c r="T13" s="108">
        <f t="shared" si="4"/>
        <v>0</v>
      </c>
      <c r="U13" s="108">
        <f t="shared" si="4"/>
        <v>0</v>
      </c>
      <c r="V13" s="108">
        <f t="shared" si="4"/>
        <v>0</v>
      </c>
    </row>
    <row r="15" spans="1:22" ht="18" customHeight="1" x14ac:dyDescent="0.25">
      <c r="A15" s="488" t="s">
        <v>387</v>
      </c>
      <c r="B15" s="478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78"/>
      <c r="P15" s="478"/>
      <c r="Q15" s="478"/>
      <c r="R15" s="478"/>
      <c r="S15" s="478"/>
      <c r="T15" s="478"/>
      <c r="U15" s="478"/>
      <c r="V15" s="478"/>
    </row>
    <row r="16" spans="1:22" ht="18" customHeight="1" x14ac:dyDescent="0.25">
      <c r="A16" s="484" t="s">
        <v>181</v>
      </c>
      <c r="B16" s="484" t="s">
        <v>388</v>
      </c>
      <c r="C16" s="485"/>
      <c r="D16" s="485"/>
      <c r="E16" s="485"/>
      <c r="F16" s="486"/>
      <c r="G16" s="484" t="s">
        <v>389</v>
      </c>
      <c r="H16" s="485"/>
      <c r="I16" s="485"/>
      <c r="J16" s="485"/>
      <c r="K16" s="485"/>
      <c r="L16" s="486"/>
      <c r="M16" s="484" t="s">
        <v>390</v>
      </c>
      <c r="N16" s="485"/>
      <c r="O16" s="485"/>
      <c r="P16" s="485"/>
      <c r="Q16" s="486"/>
      <c r="R16" s="484" t="s">
        <v>391</v>
      </c>
      <c r="S16" s="485"/>
      <c r="T16" s="485"/>
      <c r="U16" s="485"/>
      <c r="V16" s="486"/>
    </row>
    <row r="17" spans="1:22" ht="15.75" customHeight="1" x14ac:dyDescent="0.25">
      <c r="A17" s="487"/>
      <c r="B17" s="96">
        <v>44900</v>
      </c>
      <c r="C17" s="96">
        <v>44907</v>
      </c>
      <c r="D17" s="96">
        <v>44914</v>
      </c>
      <c r="E17" s="96">
        <v>44921</v>
      </c>
      <c r="F17" s="97" t="s">
        <v>129</v>
      </c>
      <c r="G17" s="96">
        <v>44563</v>
      </c>
      <c r="H17" s="96">
        <v>44570</v>
      </c>
      <c r="I17" s="96">
        <v>44577</v>
      </c>
      <c r="J17" s="96">
        <v>44584</v>
      </c>
      <c r="K17" s="96">
        <v>44591</v>
      </c>
      <c r="L17" s="97" t="s">
        <v>129</v>
      </c>
      <c r="M17" s="96">
        <v>44598</v>
      </c>
      <c r="N17" s="96">
        <v>44605</v>
      </c>
      <c r="O17" s="96">
        <v>44612</v>
      </c>
      <c r="P17" s="96">
        <v>44619</v>
      </c>
      <c r="Q17" s="97" t="s">
        <v>129</v>
      </c>
      <c r="R17" s="96">
        <v>44626</v>
      </c>
      <c r="S17" s="96">
        <v>44633</v>
      </c>
      <c r="T17" s="96">
        <v>44640</v>
      </c>
      <c r="U17" s="96">
        <v>44647</v>
      </c>
      <c r="V17" s="97" t="s">
        <v>129</v>
      </c>
    </row>
    <row r="18" spans="1:22" ht="15.75" customHeight="1" x14ac:dyDescent="0.25">
      <c r="A18" s="87" t="s">
        <v>392</v>
      </c>
      <c r="B18" s="105">
        <v>40</v>
      </c>
      <c r="C18" s="88">
        <v>120</v>
      </c>
      <c r="D18" s="88">
        <v>178</v>
      </c>
      <c r="E18" s="88">
        <v>262</v>
      </c>
      <c r="F18" s="106">
        <f t="shared" ref="F18:F26" si="5">B18+C18+D18+E18</f>
        <v>600</v>
      </c>
      <c r="G18" s="88">
        <v>0</v>
      </c>
      <c r="H18" s="88">
        <v>0</v>
      </c>
      <c r="I18" s="88">
        <v>0</v>
      </c>
      <c r="J18" s="88">
        <v>0</v>
      </c>
      <c r="K18" s="88">
        <v>0</v>
      </c>
      <c r="L18" s="106">
        <f t="shared" ref="L18:L26" si="6">G18+H18+I18+J18+K18</f>
        <v>0</v>
      </c>
      <c r="M18" s="88">
        <v>0</v>
      </c>
      <c r="N18" s="88">
        <v>0</v>
      </c>
      <c r="O18" s="88">
        <v>0</v>
      </c>
      <c r="P18" s="88">
        <v>0</v>
      </c>
      <c r="Q18" s="106">
        <f t="shared" ref="Q18:Q26" si="7">M18+N18+O18+P18</f>
        <v>0</v>
      </c>
      <c r="R18" s="88">
        <v>0</v>
      </c>
      <c r="S18" s="88">
        <v>0</v>
      </c>
      <c r="T18" s="88"/>
      <c r="U18" s="88"/>
      <c r="V18" s="106">
        <f t="shared" ref="V18:V26" si="8">R18+S18+T18+U18</f>
        <v>0</v>
      </c>
    </row>
    <row r="19" spans="1:22" ht="15.75" customHeight="1" x14ac:dyDescent="0.25">
      <c r="A19" s="90" t="s">
        <v>393</v>
      </c>
      <c r="B19" s="88">
        <v>128</v>
      </c>
      <c r="C19" s="88">
        <v>212</v>
      </c>
      <c r="D19" s="88">
        <v>383</v>
      </c>
      <c r="E19" s="88">
        <v>77</v>
      </c>
      <c r="F19" s="106">
        <f t="shared" si="5"/>
        <v>800</v>
      </c>
      <c r="G19" s="88">
        <v>0</v>
      </c>
      <c r="H19" s="88">
        <v>0</v>
      </c>
      <c r="I19" s="88">
        <v>0</v>
      </c>
      <c r="J19" s="88">
        <v>0</v>
      </c>
      <c r="K19" s="88">
        <v>0</v>
      </c>
      <c r="L19" s="106">
        <f t="shared" si="6"/>
        <v>0</v>
      </c>
      <c r="M19" s="88">
        <v>0</v>
      </c>
      <c r="N19" s="88">
        <v>0</v>
      </c>
      <c r="O19" s="88">
        <v>0</v>
      </c>
      <c r="P19" s="88">
        <v>0</v>
      </c>
      <c r="Q19" s="106">
        <f t="shared" si="7"/>
        <v>0</v>
      </c>
      <c r="R19" s="88">
        <v>0</v>
      </c>
      <c r="S19" s="88">
        <v>0</v>
      </c>
      <c r="T19" s="88"/>
      <c r="U19" s="88"/>
      <c r="V19" s="106">
        <f t="shared" si="8"/>
        <v>0</v>
      </c>
    </row>
    <row r="20" spans="1:22" ht="15.75" customHeight="1" x14ac:dyDescent="0.25">
      <c r="A20" s="90" t="s">
        <v>394</v>
      </c>
      <c r="B20" s="88">
        <v>170</v>
      </c>
      <c r="C20" s="88">
        <v>30</v>
      </c>
      <c r="D20" s="88">
        <v>291</v>
      </c>
      <c r="E20" s="88">
        <v>309</v>
      </c>
      <c r="F20" s="106">
        <f t="shared" si="5"/>
        <v>800</v>
      </c>
      <c r="G20" s="88">
        <v>0</v>
      </c>
      <c r="H20" s="88">
        <v>0</v>
      </c>
      <c r="I20" s="88">
        <v>0</v>
      </c>
      <c r="J20" s="88">
        <v>0</v>
      </c>
      <c r="K20" s="88">
        <v>0</v>
      </c>
      <c r="L20" s="106">
        <f t="shared" si="6"/>
        <v>0</v>
      </c>
      <c r="M20" s="88">
        <v>0</v>
      </c>
      <c r="N20" s="88">
        <v>0</v>
      </c>
      <c r="O20" s="88">
        <v>0</v>
      </c>
      <c r="P20" s="88">
        <v>0</v>
      </c>
      <c r="Q20" s="106">
        <f t="shared" si="7"/>
        <v>0</v>
      </c>
      <c r="R20" s="88">
        <v>0</v>
      </c>
      <c r="S20" s="88">
        <v>0</v>
      </c>
      <c r="T20" s="88"/>
      <c r="U20" s="88"/>
      <c r="V20" s="106">
        <f t="shared" si="8"/>
        <v>0</v>
      </c>
    </row>
    <row r="21" spans="1:22" ht="15.75" customHeight="1" x14ac:dyDescent="0.25">
      <c r="A21" s="90" t="s">
        <v>395</v>
      </c>
      <c r="B21" s="88">
        <v>80</v>
      </c>
      <c r="C21" s="88">
        <v>63</v>
      </c>
      <c r="D21" s="88">
        <v>59</v>
      </c>
      <c r="E21" s="88">
        <v>224</v>
      </c>
      <c r="F21" s="106">
        <f t="shared" si="5"/>
        <v>426</v>
      </c>
      <c r="G21" s="88">
        <v>21</v>
      </c>
      <c r="H21" s="88">
        <v>7</v>
      </c>
      <c r="I21" s="88">
        <v>20</v>
      </c>
      <c r="J21" s="88">
        <v>10</v>
      </c>
      <c r="K21" s="88">
        <v>16</v>
      </c>
      <c r="L21" s="106">
        <f t="shared" si="6"/>
        <v>74</v>
      </c>
      <c r="M21" s="88">
        <v>0</v>
      </c>
      <c r="N21" s="88">
        <v>0</v>
      </c>
      <c r="O21" s="88">
        <v>0</v>
      </c>
      <c r="P21" s="88">
        <v>0</v>
      </c>
      <c r="Q21" s="106">
        <f t="shared" si="7"/>
        <v>0</v>
      </c>
      <c r="R21" s="88">
        <v>0</v>
      </c>
      <c r="S21" s="88">
        <v>0</v>
      </c>
      <c r="T21" s="88"/>
      <c r="U21" s="88"/>
      <c r="V21" s="106">
        <f t="shared" si="8"/>
        <v>0</v>
      </c>
    </row>
    <row r="22" spans="1:22" ht="15.75" customHeight="1" x14ac:dyDescent="0.25">
      <c r="A22" s="91" t="s">
        <v>396</v>
      </c>
      <c r="B22" s="88">
        <v>6</v>
      </c>
      <c r="C22" s="88">
        <v>0</v>
      </c>
      <c r="D22" s="88">
        <v>0</v>
      </c>
      <c r="E22" s="88">
        <v>0</v>
      </c>
      <c r="F22" s="106">
        <f t="shared" si="5"/>
        <v>6</v>
      </c>
      <c r="G22" s="88">
        <v>0</v>
      </c>
      <c r="H22" s="88">
        <v>0</v>
      </c>
      <c r="I22" s="88">
        <v>94</v>
      </c>
      <c r="J22" s="88">
        <v>0</v>
      </c>
      <c r="K22" s="88">
        <v>0</v>
      </c>
      <c r="L22" s="106">
        <f t="shared" si="6"/>
        <v>94</v>
      </c>
      <c r="M22" s="88">
        <v>0</v>
      </c>
      <c r="N22" s="88">
        <v>0</v>
      </c>
      <c r="O22" s="88">
        <v>0</v>
      </c>
      <c r="P22" s="88">
        <v>0</v>
      </c>
      <c r="Q22" s="106">
        <f t="shared" si="7"/>
        <v>0</v>
      </c>
      <c r="R22" s="88">
        <v>0</v>
      </c>
      <c r="S22" s="88">
        <v>0</v>
      </c>
      <c r="T22" s="88"/>
      <c r="U22" s="88"/>
      <c r="V22" s="106">
        <f t="shared" si="8"/>
        <v>0</v>
      </c>
    </row>
    <row r="23" spans="1:22" ht="15.75" customHeight="1" x14ac:dyDescent="0.25">
      <c r="A23" s="92" t="s">
        <v>397</v>
      </c>
      <c r="B23" s="88">
        <v>16</v>
      </c>
      <c r="C23" s="88">
        <v>5</v>
      </c>
      <c r="D23" s="88">
        <v>0</v>
      </c>
      <c r="E23" s="88">
        <v>0</v>
      </c>
      <c r="F23" s="106">
        <f t="shared" si="5"/>
        <v>21</v>
      </c>
      <c r="G23" s="88">
        <v>0</v>
      </c>
      <c r="H23" s="88">
        <v>0</v>
      </c>
      <c r="I23" s="88">
        <v>29</v>
      </c>
      <c r="J23" s="88">
        <v>0</v>
      </c>
      <c r="K23" s="88">
        <v>0</v>
      </c>
      <c r="L23" s="106">
        <f t="shared" si="6"/>
        <v>29</v>
      </c>
      <c r="M23" s="88">
        <v>0</v>
      </c>
      <c r="N23" s="88">
        <v>0</v>
      </c>
      <c r="O23" s="88">
        <v>0</v>
      </c>
      <c r="P23" s="88">
        <v>0</v>
      </c>
      <c r="Q23" s="106">
        <f t="shared" si="7"/>
        <v>0</v>
      </c>
      <c r="R23" s="88">
        <v>0</v>
      </c>
      <c r="S23" s="88">
        <v>0</v>
      </c>
      <c r="T23" s="88"/>
      <c r="U23" s="88"/>
      <c r="V23" s="106">
        <f t="shared" si="8"/>
        <v>0</v>
      </c>
    </row>
    <row r="24" spans="1:22" ht="15.75" customHeight="1" x14ac:dyDescent="0.25">
      <c r="A24" s="92" t="s">
        <v>398</v>
      </c>
      <c r="B24" s="88">
        <v>3</v>
      </c>
      <c r="C24" s="88">
        <v>1</v>
      </c>
      <c r="D24" s="88">
        <v>3</v>
      </c>
      <c r="E24" s="88">
        <v>3</v>
      </c>
      <c r="F24" s="106">
        <f t="shared" si="5"/>
        <v>10</v>
      </c>
      <c r="G24" s="88">
        <v>0</v>
      </c>
      <c r="H24" s="88">
        <v>0</v>
      </c>
      <c r="I24" s="88">
        <v>0</v>
      </c>
      <c r="J24" s="88">
        <v>0</v>
      </c>
      <c r="K24" s="88">
        <v>0</v>
      </c>
      <c r="L24" s="106">
        <f t="shared" si="6"/>
        <v>0</v>
      </c>
      <c r="M24" s="88">
        <v>0</v>
      </c>
      <c r="N24" s="88">
        <v>0</v>
      </c>
      <c r="O24" s="88">
        <v>0</v>
      </c>
      <c r="P24" s="88">
        <v>0</v>
      </c>
      <c r="Q24" s="106">
        <f t="shared" si="7"/>
        <v>0</v>
      </c>
      <c r="R24" s="88">
        <v>0</v>
      </c>
      <c r="S24" s="88">
        <v>0</v>
      </c>
      <c r="T24" s="88"/>
      <c r="U24" s="88"/>
      <c r="V24" s="106">
        <f t="shared" si="8"/>
        <v>0</v>
      </c>
    </row>
    <row r="25" spans="1:22" ht="15.75" customHeight="1" x14ac:dyDescent="0.25">
      <c r="A25" s="92" t="s">
        <v>399</v>
      </c>
      <c r="B25" s="88">
        <v>1</v>
      </c>
      <c r="C25" s="88">
        <v>2</v>
      </c>
      <c r="D25" s="88">
        <v>1</v>
      </c>
      <c r="E25" s="88">
        <v>4</v>
      </c>
      <c r="F25" s="106">
        <f t="shared" si="5"/>
        <v>8</v>
      </c>
      <c r="G25" s="88">
        <v>0</v>
      </c>
      <c r="H25" s="88">
        <v>0</v>
      </c>
      <c r="I25" s="88">
        <v>0</v>
      </c>
      <c r="J25" s="88">
        <v>0</v>
      </c>
      <c r="K25" s="88">
        <v>0</v>
      </c>
      <c r="L25" s="106">
        <f t="shared" si="6"/>
        <v>0</v>
      </c>
      <c r="M25" s="88">
        <v>0</v>
      </c>
      <c r="N25" s="88">
        <v>0</v>
      </c>
      <c r="O25" s="88">
        <v>0</v>
      </c>
      <c r="P25" s="88">
        <v>0</v>
      </c>
      <c r="Q25" s="106">
        <f t="shared" si="7"/>
        <v>0</v>
      </c>
      <c r="R25" s="88">
        <v>0</v>
      </c>
      <c r="S25" s="88">
        <v>0</v>
      </c>
      <c r="T25" s="88"/>
      <c r="U25" s="88"/>
      <c r="V25" s="106">
        <f t="shared" si="8"/>
        <v>0</v>
      </c>
    </row>
    <row r="26" spans="1:22" ht="15.75" customHeight="1" x14ac:dyDescent="0.25">
      <c r="A26" s="92" t="s">
        <v>400</v>
      </c>
      <c r="B26" s="88">
        <v>1</v>
      </c>
      <c r="C26" s="88">
        <v>27</v>
      </c>
      <c r="D26" s="88">
        <v>32</v>
      </c>
      <c r="E26" s="88">
        <v>30</v>
      </c>
      <c r="F26" s="106">
        <f t="shared" si="5"/>
        <v>90</v>
      </c>
      <c r="G26" s="88">
        <v>0</v>
      </c>
      <c r="H26" s="88">
        <v>0</v>
      </c>
      <c r="I26" s="88">
        <v>0</v>
      </c>
      <c r="J26" s="88">
        <v>0</v>
      </c>
      <c r="K26" s="88">
        <v>0</v>
      </c>
      <c r="L26" s="106">
        <f t="shared" si="6"/>
        <v>0</v>
      </c>
      <c r="M26" s="88">
        <v>0</v>
      </c>
      <c r="N26" s="88">
        <v>0</v>
      </c>
      <c r="O26" s="88">
        <v>0</v>
      </c>
      <c r="P26" s="88">
        <v>0</v>
      </c>
      <c r="Q26" s="106">
        <f t="shared" si="7"/>
        <v>0</v>
      </c>
      <c r="R26" s="88">
        <v>0</v>
      </c>
      <c r="S26" s="88">
        <v>0</v>
      </c>
      <c r="T26" s="88"/>
      <c r="U26" s="88"/>
      <c r="V26" s="106">
        <f t="shared" si="8"/>
        <v>0</v>
      </c>
    </row>
    <row r="27" spans="1:22" ht="15.75" customHeight="1" x14ac:dyDescent="0.25">
      <c r="A27" s="107" t="s">
        <v>401</v>
      </c>
      <c r="B27" s="108">
        <f>SUM(B18:B21)</f>
        <v>418</v>
      </c>
      <c r="C27" s="108">
        <f>SUM(C18:C21)</f>
        <v>425</v>
      </c>
      <c r="D27" s="108">
        <f>SUM(D18:D21)</f>
        <v>911</v>
      </c>
      <c r="E27" s="108">
        <f>SUM(E18:E21)</f>
        <v>872</v>
      </c>
      <c r="F27" s="108">
        <f>SUM(F18:F21)</f>
        <v>2626</v>
      </c>
      <c r="G27" s="108">
        <f t="shared" ref="G27:V27" si="9">SUM(G18:G22)</f>
        <v>21</v>
      </c>
      <c r="H27" s="108">
        <f t="shared" si="9"/>
        <v>7</v>
      </c>
      <c r="I27" s="108">
        <f t="shared" si="9"/>
        <v>114</v>
      </c>
      <c r="J27" s="108">
        <f t="shared" si="9"/>
        <v>10</v>
      </c>
      <c r="K27" s="108">
        <f t="shared" si="9"/>
        <v>16</v>
      </c>
      <c r="L27" s="108">
        <f t="shared" si="9"/>
        <v>168</v>
      </c>
      <c r="M27" s="108">
        <f t="shared" si="9"/>
        <v>0</v>
      </c>
      <c r="N27" s="108">
        <f t="shared" si="9"/>
        <v>0</v>
      </c>
      <c r="O27" s="108">
        <f t="shared" si="9"/>
        <v>0</v>
      </c>
      <c r="P27" s="108">
        <f t="shared" si="9"/>
        <v>0</v>
      </c>
      <c r="Q27" s="108">
        <f t="shared" si="9"/>
        <v>0</v>
      </c>
      <c r="R27" s="108">
        <f t="shared" si="9"/>
        <v>0</v>
      </c>
      <c r="S27" s="108">
        <f t="shared" si="9"/>
        <v>0</v>
      </c>
      <c r="T27" s="108">
        <f t="shared" si="9"/>
        <v>0</v>
      </c>
      <c r="U27" s="108">
        <f t="shared" si="9"/>
        <v>0</v>
      </c>
      <c r="V27" s="108">
        <f t="shared" si="9"/>
        <v>0</v>
      </c>
    </row>
    <row r="28" spans="1:22" ht="15.75" customHeight="1" x14ac:dyDescent="0.25">
      <c r="A28" s="101"/>
      <c r="B28" s="98"/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8"/>
      <c r="N28" s="98"/>
      <c r="O28" s="98"/>
      <c r="P28" s="98"/>
      <c r="Q28" s="98"/>
      <c r="R28" s="98"/>
      <c r="S28" s="98"/>
      <c r="T28" s="98"/>
      <c r="U28" s="98"/>
      <c r="V28" s="98"/>
    </row>
    <row r="29" spans="1:22" ht="15.75" customHeight="1" x14ac:dyDescent="0.25">
      <c r="A29" s="488" t="s">
        <v>387</v>
      </c>
      <c r="B29" s="478"/>
      <c r="C29" s="478"/>
      <c r="D29" s="478"/>
      <c r="E29" s="478"/>
      <c r="F29" s="478"/>
      <c r="G29" s="478"/>
      <c r="H29" s="478"/>
      <c r="I29" s="478"/>
      <c r="J29" s="478"/>
      <c r="K29" s="478"/>
      <c r="L29" s="478"/>
      <c r="M29" s="478"/>
      <c r="N29" s="478"/>
      <c r="O29" s="478"/>
      <c r="P29" s="478"/>
      <c r="Q29" s="478"/>
      <c r="R29" s="478"/>
      <c r="S29" s="478"/>
      <c r="T29" s="478"/>
      <c r="U29" s="478"/>
      <c r="V29" s="478"/>
    </row>
    <row r="30" spans="1:22" ht="15.75" customHeight="1" x14ac:dyDescent="0.25">
      <c r="A30" s="484" t="s">
        <v>209</v>
      </c>
      <c r="B30" s="484" t="s">
        <v>388</v>
      </c>
      <c r="C30" s="485"/>
      <c r="D30" s="485"/>
      <c r="E30" s="485"/>
      <c r="F30" s="486"/>
      <c r="G30" s="484" t="s">
        <v>389</v>
      </c>
      <c r="H30" s="485"/>
      <c r="I30" s="485"/>
      <c r="J30" s="485"/>
      <c r="K30" s="485"/>
      <c r="L30" s="486"/>
      <c r="M30" s="484" t="s">
        <v>390</v>
      </c>
      <c r="N30" s="485"/>
      <c r="O30" s="485"/>
      <c r="P30" s="485"/>
      <c r="Q30" s="486"/>
      <c r="R30" s="484" t="s">
        <v>391</v>
      </c>
      <c r="S30" s="485"/>
      <c r="T30" s="485"/>
      <c r="U30" s="485"/>
      <c r="V30" s="486"/>
    </row>
    <row r="31" spans="1:22" ht="15.75" customHeight="1" x14ac:dyDescent="0.25">
      <c r="A31" s="487"/>
      <c r="B31" s="96">
        <v>44900</v>
      </c>
      <c r="C31" s="96">
        <v>44907</v>
      </c>
      <c r="D31" s="96">
        <v>44914</v>
      </c>
      <c r="E31" s="96">
        <v>44921</v>
      </c>
      <c r="F31" s="97" t="s">
        <v>129</v>
      </c>
      <c r="G31" s="96">
        <v>44563</v>
      </c>
      <c r="H31" s="96">
        <v>44570</v>
      </c>
      <c r="I31" s="96">
        <v>44577</v>
      </c>
      <c r="J31" s="96">
        <v>44584</v>
      </c>
      <c r="K31" s="96">
        <v>44591</v>
      </c>
      <c r="L31" s="97" t="s">
        <v>129</v>
      </c>
      <c r="M31" s="96">
        <v>44598</v>
      </c>
      <c r="N31" s="96">
        <v>44605</v>
      </c>
      <c r="O31" s="96">
        <v>44612</v>
      </c>
      <c r="P31" s="96">
        <v>44619</v>
      </c>
      <c r="Q31" s="97" t="s">
        <v>129</v>
      </c>
      <c r="R31" s="96">
        <v>44626</v>
      </c>
      <c r="S31" s="96">
        <v>44633</v>
      </c>
      <c r="T31" s="96">
        <v>44640</v>
      </c>
      <c r="U31" s="96">
        <v>44647</v>
      </c>
      <c r="V31" s="97" t="s">
        <v>129</v>
      </c>
    </row>
    <row r="32" spans="1:22" ht="15.75" customHeight="1" x14ac:dyDescent="0.25">
      <c r="A32" s="87" t="s">
        <v>392</v>
      </c>
      <c r="B32" s="105">
        <v>180</v>
      </c>
      <c r="C32" s="88">
        <v>40</v>
      </c>
      <c r="D32" s="88">
        <v>140</v>
      </c>
      <c r="E32" s="88">
        <v>190</v>
      </c>
      <c r="F32" s="106">
        <f t="shared" ref="F32:F40" si="10">B32+C32+D32+E32</f>
        <v>550</v>
      </c>
      <c r="G32" s="88">
        <v>0</v>
      </c>
      <c r="H32" s="88">
        <v>0</v>
      </c>
      <c r="I32" s="88">
        <v>0</v>
      </c>
      <c r="J32" s="88">
        <v>0</v>
      </c>
      <c r="K32" s="88">
        <v>0</v>
      </c>
      <c r="L32" s="106">
        <f t="shared" ref="L32:L40" si="11">G32+H32+I32+J32+K32</f>
        <v>0</v>
      </c>
      <c r="M32" s="88">
        <v>0</v>
      </c>
      <c r="N32" s="88">
        <v>0</v>
      </c>
      <c r="O32" s="88">
        <v>0</v>
      </c>
      <c r="P32" s="88">
        <v>0</v>
      </c>
      <c r="Q32" s="106">
        <f t="shared" ref="Q32:Q40" si="12">M32+N32+O32+P32</f>
        <v>0</v>
      </c>
      <c r="R32" s="88">
        <v>0</v>
      </c>
      <c r="S32" s="88">
        <v>0</v>
      </c>
      <c r="T32" s="88"/>
      <c r="U32" s="88"/>
      <c r="V32" s="106">
        <f t="shared" ref="V32:V40" si="13">R32+S32+T32+U32</f>
        <v>0</v>
      </c>
    </row>
    <row r="33" spans="1:22" ht="18" customHeight="1" x14ac:dyDescent="0.25">
      <c r="A33" s="90" t="s">
        <v>393</v>
      </c>
      <c r="B33" s="88">
        <v>220</v>
      </c>
      <c r="C33" s="88">
        <v>200</v>
      </c>
      <c r="D33" s="88">
        <v>380</v>
      </c>
      <c r="E33" s="88">
        <v>0</v>
      </c>
      <c r="F33" s="106">
        <f t="shared" si="10"/>
        <v>800</v>
      </c>
      <c r="G33" s="88">
        <v>0</v>
      </c>
      <c r="H33" s="88">
        <v>0</v>
      </c>
      <c r="I33" s="88">
        <v>0</v>
      </c>
      <c r="J33" s="88">
        <v>0</v>
      </c>
      <c r="K33" s="88">
        <v>0</v>
      </c>
      <c r="L33" s="106">
        <f t="shared" si="11"/>
        <v>0</v>
      </c>
      <c r="M33" s="88">
        <v>0</v>
      </c>
      <c r="N33" s="88">
        <v>0</v>
      </c>
      <c r="O33" s="88">
        <v>0</v>
      </c>
      <c r="P33" s="88">
        <v>0</v>
      </c>
      <c r="Q33" s="106">
        <f t="shared" si="12"/>
        <v>0</v>
      </c>
      <c r="R33" s="88">
        <v>0</v>
      </c>
      <c r="S33" s="88">
        <v>0</v>
      </c>
      <c r="T33" s="88"/>
      <c r="U33" s="88"/>
      <c r="V33" s="106">
        <f t="shared" si="13"/>
        <v>0</v>
      </c>
    </row>
    <row r="34" spans="1:22" ht="18" customHeight="1" x14ac:dyDescent="0.25">
      <c r="A34" s="90" t="s">
        <v>394</v>
      </c>
      <c r="B34" s="88">
        <v>120</v>
      </c>
      <c r="C34" s="88">
        <v>80</v>
      </c>
      <c r="D34" s="88">
        <v>130</v>
      </c>
      <c r="E34" s="88">
        <v>270</v>
      </c>
      <c r="F34" s="106">
        <f t="shared" si="10"/>
        <v>600</v>
      </c>
      <c r="G34" s="88">
        <v>0</v>
      </c>
      <c r="H34" s="88">
        <v>0</v>
      </c>
      <c r="I34" s="88">
        <v>0</v>
      </c>
      <c r="J34" s="88">
        <v>0</v>
      </c>
      <c r="K34" s="88">
        <v>0</v>
      </c>
      <c r="L34" s="106">
        <f t="shared" si="11"/>
        <v>0</v>
      </c>
      <c r="M34" s="88">
        <v>0</v>
      </c>
      <c r="N34" s="88">
        <v>0</v>
      </c>
      <c r="O34" s="88">
        <v>0</v>
      </c>
      <c r="P34" s="88">
        <v>0</v>
      </c>
      <c r="Q34" s="106">
        <f t="shared" si="12"/>
        <v>0</v>
      </c>
      <c r="R34" s="88">
        <v>0</v>
      </c>
      <c r="S34" s="88">
        <v>0</v>
      </c>
      <c r="T34" s="88"/>
      <c r="U34" s="88"/>
      <c r="V34" s="106">
        <f t="shared" si="13"/>
        <v>0</v>
      </c>
    </row>
    <row r="35" spans="1:22" ht="15.75" customHeight="1" x14ac:dyDescent="0.25">
      <c r="A35" s="90" t="s">
        <v>395</v>
      </c>
      <c r="B35" s="88">
        <v>70</v>
      </c>
      <c r="C35" s="88">
        <v>20</v>
      </c>
      <c r="D35" s="88">
        <v>40</v>
      </c>
      <c r="E35" s="88">
        <v>60</v>
      </c>
      <c r="F35" s="106">
        <f t="shared" si="10"/>
        <v>190</v>
      </c>
      <c r="G35" s="88">
        <v>0</v>
      </c>
      <c r="H35" s="88">
        <v>50</v>
      </c>
      <c r="I35" s="88">
        <v>10</v>
      </c>
      <c r="J35" s="88">
        <v>10</v>
      </c>
      <c r="K35" s="88">
        <v>10</v>
      </c>
      <c r="L35" s="106">
        <f t="shared" si="11"/>
        <v>80</v>
      </c>
      <c r="M35" s="88">
        <v>10</v>
      </c>
      <c r="N35" s="88">
        <v>6</v>
      </c>
      <c r="O35" s="88">
        <v>4</v>
      </c>
      <c r="P35" s="88">
        <v>10</v>
      </c>
      <c r="Q35" s="106">
        <f t="shared" si="12"/>
        <v>30</v>
      </c>
      <c r="R35" s="88">
        <v>0</v>
      </c>
      <c r="S35" s="88">
        <v>0</v>
      </c>
      <c r="T35" s="88"/>
      <c r="U35" s="88"/>
      <c r="V35" s="106">
        <f t="shared" si="13"/>
        <v>0</v>
      </c>
    </row>
    <row r="36" spans="1:22" ht="15.75" customHeight="1" x14ac:dyDescent="0.25">
      <c r="A36" s="91" t="s">
        <v>396</v>
      </c>
      <c r="B36" s="88">
        <v>46</v>
      </c>
      <c r="C36" s="88">
        <v>54</v>
      </c>
      <c r="D36" s="88">
        <v>0</v>
      </c>
      <c r="E36" s="88">
        <v>0</v>
      </c>
      <c r="F36" s="106">
        <f t="shared" si="10"/>
        <v>100</v>
      </c>
      <c r="G36" s="88">
        <v>0</v>
      </c>
      <c r="H36" s="88">
        <v>0</v>
      </c>
      <c r="I36" s="88">
        <v>0</v>
      </c>
      <c r="J36" s="88">
        <v>0</v>
      </c>
      <c r="K36" s="88">
        <v>0</v>
      </c>
      <c r="L36" s="106">
        <f t="shared" si="11"/>
        <v>0</v>
      </c>
      <c r="M36" s="88">
        <v>0</v>
      </c>
      <c r="N36" s="88">
        <v>0</v>
      </c>
      <c r="O36" s="88">
        <v>0</v>
      </c>
      <c r="P36" s="88">
        <v>0</v>
      </c>
      <c r="Q36" s="106">
        <f t="shared" si="12"/>
        <v>0</v>
      </c>
      <c r="R36" s="88">
        <v>0</v>
      </c>
      <c r="S36" s="88">
        <v>0</v>
      </c>
      <c r="T36" s="88"/>
      <c r="U36" s="88"/>
      <c r="V36" s="106">
        <f t="shared" si="13"/>
        <v>0</v>
      </c>
    </row>
    <row r="37" spans="1:22" ht="15.75" customHeight="1" x14ac:dyDescent="0.25">
      <c r="A37" s="92" t="s">
        <v>397</v>
      </c>
      <c r="B37" s="88">
        <v>30</v>
      </c>
      <c r="C37" s="88">
        <v>45</v>
      </c>
      <c r="D37" s="88">
        <v>0</v>
      </c>
      <c r="E37" s="88">
        <v>0</v>
      </c>
      <c r="F37" s="106">
        <f t="shared" si="10"/>
        <v>75</v>
      </c>
      <c r="G37" s="88">
        <v>0</v>
      </c>
      <c r="H37" s="88">
        <v>0</v>
      </c>
      <c r="I37" s="88">
        <v>0</v>
      </c>
      <c r="J37" s="88">
        <v>0</v>
      </c>
      <c r="K37" s="88">
        <v>0</v>
      </c>
      <c r="L37" s="106">
        <f t="shared" si="11"/>
        <v>0</v>
      </c>
      <c r="M37" s="88">
        <v>0</v>
      </c>
      <c r="N37" s="88">
        <v>0</v>
      </c>
      <c r="O37" s="88">
        <v>0</v>
      </c>
      <c r="P37" s="88">
        <v>0</v>
      </c>
      <c r="Q37" s="106">
        <f t="shared" si="12"/>
        <v>0</v>
      </c>
      <c r="R37" s="88">
        <v>0</v>
      </c>
      <c r="S37" s="88">
        <v>0</v>
      </c>
      <c r="T37" s="88"/>
      <c r="U37" s="88"/>
      <c r="V37" s="106">
        <f t="shared" si="13"/>
        <v>0</v>
      </c>
    </row>
    <row r="38" spans="1:22" ht="15.75" customHeight="1" x14ac:dyDescent="0.25">
      <c r="A38" s="92" t="s">
        <v>398</v>
      </c>
      <c r="B38" s="88">
        <v>0</v>
      </c>
      <c r="C38" s="88">
        <v>10</v>
      </c>
      <c r="D38" s="88">
        <v>0</v>
      </c>
      <c r="E38" s="88">
        <v>0</v>
      </c>
      <c r="F38" s="106">
        <f t="shared" si="10"/>
        <v>10</v>
      </c>
      <c r="G38" s="88">
        <v>0</v>
      </c>
      <c r="H38" s="88">
        <v>0</v>
      </c>
      <c r="I38" s="88">
        <v>0</v>
      </c>
      <c r="J38" s="88">
        <v>0</v>
      </c>
      <c r="K38" s="88">
        <v>0</v>
      </c>
      <c r="L38" s="106">
        <f t="shared" si="11"/>
        <v>0</v>
      </c>
      <c r="M38" s="88">
        <v>0</v>
      </c>
      <c r="N38" s="88">
        <v>0</v>
      </c>
      <c r="O38" s="88">
        <v>0</v>
      </c>
      <c r="P38" s="88">
        <v>0</v>
      </c>
      <c r="Q38" s="106">
        <f t="shared" si="12"/>
        <v>0</v>
      </c>
      <c r="R38" s="88">
        <v>0</v>
      </c>
      <c r="S38" s="88">
        <v>0</v>
      </c>
      <c r="T38" s="88"/>
      <c r="U38" s="88"/>
      <c r="V38" s="106">
        <f t="shared" si="13"/>
        <v>0</v>
      </c>
    </row>
    <row r="39" spans="1:22" ht="15.75" customHeight="1" x14ac:dyDescent="0.25">
      <c r="A39" s="92" t="s">
        <v>399</v>
      </c>
      <c r="B39" s="88">
        <v>0</v>
      </c>
      <c r="C39" s="88">
        <v>2</v>
      </c>
      <c r="D39" s="88">
        <v>1</v>
      </c>
      <c r="E39" s="88">
        <v>3</v>
      </c>
      <c r="F39" s="106">
        <f t="shared" si="10"/>
        <v>6</v>
      </c>
      <c r="G39" s="88">
        <v>0</v>
      </c>
      <c r="H39" s="88">
        <v>0</v>
      </c>
      <c r="I39" s="88">
        <v>0</v>
      </c>
      <c r="J39" s="88">
        <v>0</v>
      </c>
      <c r="K39" s="88">
        <v>0</v>
      </c>
      <c r="L39" s="106">
        <f t="shared" si="11"/>
        <v>0</v>
      </c>
      <c r="M39" s="88">
        <v>0</v>
      </c>
      <c r="N39" s="88">
        <v>0</v>
      </c>
      <c r="O39" s="88">
        <v>0</v>
      </c>
      <c r="P39" s="88">
        <v>0</v>
      </c>
      <c r="Q39" s="106">
        <f t="shared" si="12"/>
        <v>0</v>
      </c>
      <c r="R39" s="88">
        <v>0</v>
      </c>
      <c r="S39" s="88">
        <v>0</v>
      </c>
      <c r="T39" s="88"/>
      <c r="U39" s="88"/>
      <c r="V39" s="106">
        <f t="shared" si="13"/>
        <v>0</v>
      </c>
    </row>
    <row r="40" spans="1:22" ht="15.75" customHeight="1" x14ac:dyDescent="0.25">
      <c r="A40" s="92" t="s">
        <v>400</v>
      </c>
      <c r="B40" s="88">
        <v>0</v>
      </c>
      <c r="C40" s="88">
        <v>75</v>
      </c>
      <c r="D40" s="88">
        <v>22</v>
      </c>
      <c r="E40" s="88">
        <v>53</v>
      </c>
      <c r="F40" s="106">
        <f t="shared" si="10"/>
        <v>150</v>
      </c>
      <c r="G40" s="88">
        <v>0</v>
      </c>
      <c r="H40" s="88">
        <v>0</v>
      </c>
      <c r="I40" s="88">
        <v>0</v>
      </c>
      <c r="J40" s="88">
        <v>0</v>
      </c>
      <c r="K40" s="88">
        <v>0</v>
      </c>
      <c r="L40" s="106">
        <f t="shared" si="11"/>
        <v>0</v>
      </c>
      <c r="M40" s="88">
        <v>0</v>
      </c>
      <c r="N40" s="88">
        <v>0</v>
      </c>
      <c r="O40" s="88">
        <v>0</v>
      </c>
      <c r="P40" s="88">
        <v>0</v>
      </c>
      <c r="Q40" s="106">
        <f t="shared" si="12"/>
        <v>0</v>
      </c>
      <c r="R40" s="88">
        <v>0</v>
      </c>
      <c r="S40" s="88">
        <v>0</v>
      </c>
      <c r="T40" s="88"/>
      <c r="U40" s="88"/>
      <c r="V40" s="106">
        <f t="shared" si="13"/>
        <v>0</v>
      </c>
    </row>
    <row r="41" spans="1:22" ht="15.75" customHeight="1" x14ac:dyDescent="0.25">
      <c r="A41" s="107" t="s">
        <v>401</v>
      </c>
      <c r="B41" s="108">
        <f>SUM(B32:B35)</f>
        <v>590</v>
      </c>
      <c r="C41" s="108">
        <f>SUM(C32:C35)</f>
        <v>340</v>
      </c>
      <c r="D41" s="108">
        <f>SUM(D32:D35)</f>
        <v>690</v>
      </c>
      <c r="E41" s="108">
        <f>SUM(E32:E35)</f>
        <v>520</v>
      </c>
      <c r="F41" s="108">
        <f>SUM(F32:F35)</f>
        <v>2140</v>
      </c>
      <c r="G41" s="108">
        <f t="shared" ref="G41:V41" si="14">SUM(G32:G36)</f>
        <v>0</v>
      </c>
      <c r="H41" s="108">
        <f t="shared" si="14"/>
        <v>50</v>
      </c>
      <c r="I41" s="108">
        <f t="shared" si="14"/>
        <v>10</v>
      </c>
      <c r="J41" s="108">
        <f t="shared" si="14"/>
        <v>10</v>
      </c>
      <c r="K41" s="108">
        <f t="shared" si="14"/>
        <v>10</v>
      </c>
      <c r="L41" s="108">
        <f t="shared" si="14"/>
        <v>80</v>
      </c>
      <c r="M41" s="108">
        <f t="shared" si="14"/>
        <v>10</v>
      </c>
      <c r="N41" s="108">
        <f t="shared" si="14"/>
        <v>6</v>
      </c>
      <c r="O41" s="108">
        <f t="shared" si="14"/>
        <v>4</v>
      </c>
      <c r="P41" s="108">
        <f t="shared" si="14"/>
        <v>10</v>
      </c>
      <c r="Q41" s="108">
        <f t="shared" si="14"/>
        <v>30</v>
      </c>
      <c r="R41" s="108">
        <f t="shared" si="14"/>
        <v>0</v>
      </c>
      <c r="S41" s="108">
        <f t="shared" si="14"/>
        <v>0</v>
      </c>
      <c r="T41" s="108">
        <f t="shared" si="14"/>
        <v>0</v>
      </c>
      <c r="U41" s="108">
        <f t="shared" si="14"/>
        <v>0</v>
      </c>
      <c r="V41" s="108">
        <f t="shared" si="14"/>
        <v>0</v>
      </c>
    </row>
    <row r="42" spans="1:22" ht="15.75" customHeight="1" x14ac:dyDescent="0.25">
      <c r="A42" s="101"/>
      <c r="B42" s="98"/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</row>
    <row r="43" spans="1:22" ht="15.75" customHeight="1" x14ac:dyDescent="0.25">
      <c r="A43" s="488" t="s">
        <v>387</v>
      </c>
      <c r="B43" s="478"/>
      <c r="C43" s="478"/>
      <c r="D43" s="478"/>
      <c r="E43" s="478"/>
      <c r="F43" s="478"/>
      <c r="G43" s="478"/>
      <c r="H43" s="478"/>
      <c r="I43" s="478"/>
      <c r="J43" s="478"/>
      <c r="K43" s="478"/>
      <c r="L43" s="478"/>
      <c r="M43" s="478"/>
      <c r="N43" s="478"/>
      <c r="O43" s="478"/>
      <c r="P43" s="478"/>
      <c r="Q43" s="478"/>
      <c r="R43" s="478"/>
      <c r="S43" s="478"/>
      <c r="T43" s="478"/>
      <c r="U43" s="478"/>
      <c r="V43" s="478"/>
    </row>
    <row r="44" spans="1:22" ht="15.75" customHeight="1" x14ac:dyDescent="0.25">
      <c r="A44" s="484" t="s">
        <v>222</v>
      </c>
      <c r="B44" s="484" t="s">
        <v>388</v>
      </c>
      <c r="C44" s="485"/>
      <c r="D44" s="485"/>
      <c r="E44" s="485"/>
      <c r="F44" s="486"/>
      <c r="G44" s="484" t="s">
        <v>389</v>
      </c>
      <c r="H44" s="485"/>
      <c r="I44" s="485"/>
      <c r="J44" s="485"/>
      <c r="K44" s="485"/>
      <c r="L44" s="486"/>
      <c r="M44" s="484" t="s">
        <v>390</v>
      </c>
      <c r="N44" s="485"/>
      <c r="O44" s="485"/>
      <c r="P44" s="485"/>
      <c r="Q44" s="486"/>
      <c r="R44" s="484" t="s">
        <v>391</v>
      </c>
      <c r="S44" s="485"/>
      <c r="T44" s="485"/>
      <c r="U44" s="485"/>
      <c r="V44" s="486"/>
    </row>
    <row r="45" spans="1:22" ht="15.75" customHeight="1" x14ac:dyDescent="0.25">
      <c r="A45" s="487"/>
      <c r="B45" s="96">
        <v>44900</v>
      </c>
      <c r="C45" s="96">
        <v>44907</v>
      </c>
      <c r="D45" s="96">
        <v>44914</v>
      </c>
      <c r="E45" s="96">
        <v>44921</v>
      </c>
      <c r="F45" s="97" t="s">
        <v>129</v>
      </c>
      <c r="G45" s="96">
        <v>44563</v>
      </c>
      <c r="H45" s="96">
        <v>44570</v>
      </c>
      <c r="I45" s="96">
        <v>44577</v>
      </c>
      <c r="J45" s="96">
        <v>44584</v>
      </c>
      <c r="K45" s="96">
        <v>44591</v>
      </c>
      <c r="L45" s="97" t="s">
        <v>129</v>
      </c>
      <c r="M45" s="96">
        <v>44598</v>
      </c>
      <c r="N45" s="96">
        <v>44605</v>
      </c>
      <c r="O45" s="96">
        <v>44612</v>
      </c>
      <c r="P45" s="96">
        <v>44619</v>
      </c>
      <c r="Q45" s="97" t="s">
        <v>129</v>
      </c>
      <c r="R45" s="96">
        <v>44626</v>
      </c>
      <c r="S45" s="96">
        <v>44633</v>
      </c>
      <c r="T45" s="96">
        <v>44640</v>
      </c>
      <c r="U45" s="96">
        <v>44647</v>
      </c>
      <c r="V45" s="97" t="s">
        <v>129</v>
      </c>
    </row>
    <row r="46" spans="1:22" ht="15.75" customHeight="1" x14ac:dyDescent="0.25">
      <c r="A46" s="87" t="s">
        <v>392</v>
      </c>
      <c r="B46" s="105">
        <v>255</v>
      </c>
      <c r="C46" s="88">
        <v>120</v>
      </c>
      <c r="D46" s="88">
        <v>105</v>
      </c>
      <c r="E46" s="88">
        <v>117</v>
      </c>
      <c r="F46" s="106">
        <f t="shared" ref="F46:F54" si="15">B46+C46+D46+E46</f>
        <v>597</v>
      </c>
      <c r="G46" s="88">
        <v>3</v>
      </c>
      <c r="H46" s="88">
        <v>0</v>
      </c>
      <c r="I46" s="88">
        <v>0</v>
      </c>
      <c r="J46" s="88">
        <v>0</v>
      </c>
      <c r="K46" s="88">
        <v>0</v>
      </c>
      <c r="L46" s="106">
        <f t="shared" ref="L46:L54" si="16">G46+H46+I46+J46+K46</f>
        <v>3</v>
      </c>
      <c r="M46" s="88">
        <v>0</v>
      </c>
      <c r="N46" s="88">
        <v>0</v>
      </c>
      <c r="O46" s="88">
        <v>0</v>
      </c>
      <c r="P46" s="88">
        <v>0</v>
      </c>
      <c r="Q46" s="106">
        <f t="shared" ref="Q46:Q54" si="17">M46+N46+O46+P46</f>
        <v>0</v>
      </c>
      <c r="R46" s="88">
        <v>0</v>
      </c>
      <c r="S46" s="88">
        <v>0</v>
      </c>
      <c r="T46" s="88"/>
      <c r="U46" s="88"/>
      <c r="V46" s="106">
        <f t="shared" ref="V46:V54" si="18">R46+S46+T46+U46</f>
        <v>0</v>
      </c>
    </row>
    <row r="47" spans="1:22" ht="15.75" customHeight="1" x14ac:dyDescent="0.25">
      <c r="A47" s="90" t="s">
        <v>393</v>
      </c>
      <c r="B47" s="88">
        <v>325</v>
      </c>
      <c r="C47" s="88">
        <v>170</v>
      </c>
      <c r="D47" s="88">
        <v>200</v>
      </c>
      <c r="E47" s="88">
        <v>105</v>
      </c>
      <c r="F47" s="106">
        <f t="shared" si="15"/>
        <v>800</v>
      </c>
      <c r="G47" s="88">
        <v>0</v>
      </c>
      <c r="H47" s="88">
        <v>0</v>
      </c>
      <c r="I47" s="88">
        <v>0</v>
      </c>
      <c r="J47" s="88">
        <v>0</v>
      </c>
      <c r="K47" s="88">
        <v>0</v>
      </c>
      <c r="L47" s="106">
        <f t="shared" si="16"/>
        <v>0</v>
      </c>
      <c r="M47" s="88">
        <v>0</v>
      </c>
      <c r="N47" s="88">
        <v>0</v>
      </c>
      <c r="O47" s="88">
        <v>0</v>
      </c>
      <c r="P47" s="88">
        <v>0</v>
      </c>
      <c r="Q47" s="106">
        <f t="shared" si="17"/>
        <v>0</v>
      </c>
      <c r="R47" s="88">
        <v>0</v>
      </c>
      <c r="S47" s="88">
        <v>0</v>
      </c>
      <c r="T47" s="88"/>
      <c r="U47" s="88"/>
      <c r="V47" s="106">
        <f t="shared" si="18"/>
        <v>0</v>
      </c>
    </row>
    <row r="48" spans="1:22" ht="15.75" customHeight="1" x14ac:dyDescent="0.25">
      <c r="A48" s="90" t="s">
        <v>394</v>
      </c>
      <c r="B48" s="88">
        <v>155</v>
      </c>
      <c r="C48" s="88">
        <v>155</v>
      </c>
      <c r="D48" s="88">
        <v>230</v>
      </c>
      <c r="E48" s="88">
        <v>210</v>
      </c>
      <c r="F48" s="106">
        <f t="shared" si="15"/>
        <v>750</v>
      </c>
      <c r="G48" s="88">
        <v>0</v>
      </c>
      <c r="H48" s="88">
        <v>0</v>
      </c>
      <c r="I48" s="88">
        <v>0</v>
      </c>
      <c r="J48" s="88">
        <v>0</v>
      </c>
      <c r="K48" s="88">
        <v>0</v>
      </c>
      <c r="L48" s="106">
        <f t="shared" si="16"/>
        <v>0</v>
      </c>
      <c r="M48" s="88">
        <v>0</v>
      </c>
      <c r="N48" s="88">
        <v>0</v>
      </c>
      <c r="O48" s="88">
        <v>0</v>
      </c>
      <c r="P48" s="88">
        <v>0</v>
      </c>
      <c r="Q48" s="106">
        <f t="shared" si="17"/>
        <v>0</v>
      </c>
      <c r="R48" s="88">
        <v>0</v>
      </c>
      <c r="S48" s="88">
        <v>0</v>
      </c>
      <c r="T48" s="88"/>
      <c r="U48" s="88"/>
      <c r="V48" s="106">
        <f t="shared" si="18"/>
        <v>0</v>
      </c>
    </row>
    <row r="49" spans="1:22" ht="15.75" customHeight="1" x14ac:dyDescent="0.25">
      <c r="A49" s="90" t="s">
        <v>395</v>
      </c>
      <c r="B49" s="88">
        <v>100</v>
      </c>
      <c r="C49" s="88">
        <v>25</v>
      </c>
      <c r="D49" s="88">
        <v>45</v>
      </c>
      <c r="E49" s="88">
        <v>183</v>
      </c>
      <c r="F49" s="106">
        <f t="shared" si="15"/>
        <v>353</v>
      </c>
      <c r="G49" s="88">
        <v>0</v>
      </c>
      <c r="H49" s="88">
        <v>0</v>
      </c>
      <c r="I49" s="88">
        <v>0</v>
      </c>
      <c r="J49" s="88">
        <v>0</v>
      </c>
      <c r="K49" s="88">
        <v>0</v>
      </c>
      <c r="L49" s="106">
        <f t="shared" si="16"/>
        <v>0</v>
      </c>
      <c r="M49" s="88">
        <v>0</v>
      </c>
      <c r="N49" s="88">
        <v>0</v>
      </c>
      <c r="O49" s="88">
        <v>0</v>
      </c>
      <c r="P49" s="88">
        <v>0</v>
      </c>
      <c r="Q49" s="106">
        <f t="shared" si="17"/>
        <v>0</v>
      </c>
      <c r="R49" s="88">
        <v>0</v>
      </c>
      <c r="S49" s="88">
        <v>0</v>
      </c>
      <c r="T49" s="88"/>
      <c r="U49" s="88"/>
      <c r="V49" s="106">
        <f t="shared" si="18"/>
        <v>0</v>
      </c>
    </row>
    <row r="50" spans="1:22" ht="18" customHeight="1" x14ac:dyDescent="0.25">
      <c r="A50" s="91" t="s">
        <v>396</v>
      </c>
      <c r="B50" s="88">
        <v>0</v>
      </c>
      <c r="C50" s="88">
        <v>89</v>
      </c>
      <c r="D50" s="88">
        <v>11</v>
      </c>
      <c r="E50" s="88">
        <v>0</v>
      </c>
      <c r="F50" s="106">
        <f t="shared" si="15"/>
        <v>100</v>
      </c>
      <c r="G50" s="88">
        <v>0</v>
      </c>
      <c r="H50" s="88">
        <v>0</v>
      </c>
      <c r="I50" s="88">
        <v>0</v>
      </c>
      <c r="J50" s="88">
        <v>0</v>
      </c>
      <c r="K50" s="88">
        <v>0</v>
      </c>
      <c r="L50" s="106">
        <f t="shared" si="16"/>
        <v>0</v>
      </c>
      <c r="M50" s="88">
        <v>0</v>
      </c>
      <c r="N50" s="88">
        <v>0</v>
      </c>
      <c r="O50" s="88">
        <v>0</v>
      </c>
      <c r="P50" s="88">
        <v>0</v>
      </c>
      <c r="Q50" s="106">
        <f t="shared" si="17"/>
        <v>0</v>
      </c>
      <c r="R50" s="88">
        <v>0</v>
      </c>
      <c r="S50" s="88">
        <v>0</v>
      </c>
      <c r="T50" s="88"/>
      <c r="U50" s="88"/>
      <c r="V50" s="106">
        <f t="shared" si="18"/>
        <v>0</v>
      </c>
    </row>
    <row r="51" spans="1:22" ht="18" customHeight="1" x14ac:dyDescent="0.25">
      <c r="A51" s="92" t="s">
        <v>397</v>
      </c>
      <c r="B51" s="88">
        <v>0</v>
      </c>
      <c r="C51" s="88">
        <v>30</v>
      </c>
      <c r="D51" s="88">
        <v>9</v>
      </c>
      <c r="E51" s="88">
        <v>17</v>
      </c>
      <c r="F51" s="106">
        <f t="shared" si="15"/>
        <v>56</v>
      </c>
      <c r="G51" s="88">
        <v>0</v>
      </c>
      <c r="H51" s="88">
        <v>0</v>
      </c>
      <c r="I51" s="88">
        <v>0</v>
      </c>
      <c r="J51" s="88">
        <v>0</v>
      </c>
      <c r="K51" s="88">
        <v>0</v>
      </c>
      <c r="L51" s="106">
        <f t="shared" si="16"/>
        <v>0</v>
      </c>
      <c r="M51" s="88">
        <v>0</v>
      </c>
      <c r="N51" s="88">
        <v>0</v>
      </c>
      <c r="O51" s="88">
        <v>0</v>
      </c>
      <c r="P51" s="88">
        <v>0</v>
      </c>
      <c r="Q51" s="106">
        <f t="shared" si="17"/>
        <v>0</v>
      </c>
      <c r="R51" s="88">
        <v>0</v>
      </c>
      <c r="S51" s="88">
        <v>0</v>
      </c>
      <c r="T51" s="88"/>
      <c r="U51" s="88"/>
      <c r="V51" s="106">
        <f t="shared" si="18"/>
        <v>0</v>
      </c>
    </row>
    <row r="52" spans="1:22" ht="15.75" customHeight="1" x14ac:dyDescent="0.25">
      <c r="A52" s="92" t="s">
        <v>398</v>
      </c>
      <c r="B52" s="88">
        <v>2</v>
      </c>
      <c r="C52" s="88">
        <v>1</v>
      </c>
      <c r="D52" s="88">
        <v>2</v>
      </c>
      <c r="E52" s="88">
        <v>5</v>
      </c>
      <c r="F52" s="106">
        <f t="shared" si="15"/>
        <v>10</v>
      </c>
      <c r="G52" s="88">
        <v>0</v>
      </c>
      <c r="H52" s="88">
        <v>0</v>
      </c>
      <c r="I52" s="88">
        <v>0</v>
      </c>
      <c r="J52" s="88">
        <v>0</v>
      </c>
      <c r="K52" s="88">
        <v>0</v>
      </c>
      <c r="L52" s="106">
        <f t="shared" si="16"/>
        <v>0</v>
      </c>
      <c r="M52" s="88">
        <v>0</v>
      </c>
      <c r="N52" s="88">
        <v>0</v>
      </c>
      <c r="O52" s="88">
        <v>0</v>
      </c>
      <c r="P52" s="88">
        <v>0</v>
      </c>
      <c r="Q52" s="106">
        <f t="shared" si="17"/>
        <v>0</v>
      </c>
      <c r="R52" s="88">
        <v>0</v>
      </c>
      <c r="S52" s="88">
        <v>0</v>
      </c>
      <c r="T52" s="88"/>
      <c r="U52" s="88"/>
      <c r="V52" s="106">
        <f t="shared" si="18"/>
        <v>0</v>
      </c>
    </row>
    <row r="53" spans="1:22" ht="15.75" customHeight="1" x14ac:dyDescent="0.25">
      <c r="A53" s="92" t="s">
        <v>399</v>
      </c>
      <c r="B53" s="88">
        <v>1</v>
      </c>
      <c r="C53" s="88">
        <v>0</v>
      </c>
      <c r="D53" s="88">
        <v>3</v>
      </c>
      <c r="E53" s="88">
        <v>3</v>
      </c>
      <c r="F53" s="106">
        <f t="shared" si="15"/>
        <v>7</v>
      </c>
      <c r="G53" s="88">
        <v>0</v>
      </c>
      <c r="H53" s="88">
        <v>0</v>
      </c>
      <c r="I53" s="88">
        <v>0</v>
      </c>
      <c r="J53" s="88">
        <v>0</v>
      </c>
      <c r="K53" s="88">
        <v>0</v>
      </c>
      <c r="L53" s="106">
        <f t="shared" si="16"/>
        <v>0</v>
      </c>
      <c r="M53" s="88">
        <v>0</v>
      </c>
      <c r="N53" s="88">
        <v>0</v>
      </c>
      <c r="O53" s="88">
        <v>0</v>
      </c>
      <c r="P53" s="88">
        <v>0</v>
      </c>
      <c r="Q53" s="106">
        <f t="shared" si="17"/>
        <v>0</v>
      </c>
      <c r="R53" s="88">
        <v>0</v>
      </c>
      <c r="S53" s="88">
        <v>0</v>
      </c>
      <c r="T53" s="88"/>
      <c r="U53" s="88"/>
      <c r="V53" s="106">
        <f t="shared" si="18"/>
        <v>0</v>
      </c>
    </row>
    <row r="54" spans="1:22" ht="15.75" customHeight="1" x14ac:dyDescent="0.25">
      <c r="A54" s="92" t="s">
        <v>400</v>
      </c>
      <c r="B54" s="88">
        <v>0</v>
      </c>
      <c r="C54" s="88">
        <v>39</v>
      </c>
      <c r="D54" s="88">
        <v>42</v>
      </c>
      <c r="E54" s="88">
        <v>39</v>
      </c>
      <c r="F54" s="106">
        <f t="shared" si="15"/>
        <v>120</v>
      </c>
      <c r="G54" s="88">
        <v>0</v>
      </c>
      <c r="H54" s="88">
        <v>0</v>
      </c>
      <c r="I54" s="88">
        <v>0</v>
      </c>
      <c r="J54" s="88">
        <v>0</v>
      </c>
      <c r="K54" s="88">
        <v>0</v>
      </c>
      <c r="L54" s="106">
        <f t="shared" si="16"/>
        <v>0</v>
      </c>
      <c r="M54" s="88">
        <v>0</v>
      </c>
      <c r="N54" s="88">
        <v>0</v>
      </c>
      <c r="O54" s="88">
        <v>0</v>
      </c>
      <c r="P54" s="88">
        <v>0</v>
      </c>
      <c r="Q54" s="106">
        <f t="shared" si="17"/>
        <v>0</v>
      </c>
      <c r="R54" s="88">
        <v>0</v>
      </c>
      <c r="S54" s="88">
        <v>0</v>
      </c>
      <c r="T54" s="88"/>
      <c r="U54" s="88"/>
      <c r="V54" s="106">
        <f t="shared" si="18"/>
        <v>0</v>
      </c>
    </row>
    <row r="55" spans="1:22" ht="15.75" customHeight="1" x14ac:dyDescent="0.25">
      <c r="A55" s="107" t="s">
        <v>401</v>
      </c>
      <c r="B55" s="108">
        <f>SUM(B46:B49)</f>
        <v>835</v>
      </c>
      <c r="C55" s="108">
        <f>SUM(C46:C49)</f>
        <v>470</v>
      </c>
      <c r="D55" s="108">
        <f>SUM(D46:D49)</f>
        <v>580</v>
      </c>
      <c r="E55" s="108">
        <f>SUM(E46:E49)</f>
        <v>615</v>
      </c>
      <c r="F55" s="108">
        <f>SUM(F46:F49)</f>
        <v>2500</v>
      </c>
      <c r="G55" s="108">
        <f t="shared" ref="G55:V55" si="19">SUM(G46:G50)</f>
        <v>3</v>
      </c>
      <c r="H55" s="108">
        <f t="shared" si="19"/>
        <v>0</v>
      </c>
      <c r="I55" s="108">
        <f t="shared" si="19"/>
        <v>0</v>
      </c>
      <c r="J55" s="108">
        <f t="shared" si="19"/>
        <v>0</v>
      </c>
      <c r="K55" s="108">
        <f t="shared" si="19"/>
        <v>0</v>
      </c>
      <c r="L55" s="108">
        <f t="shared" si="19"/>
        <v>3</v>
      </c>
      <c r="M55" s="108">
        <f t="shared" si="19"/>
        <v>0</v>
      </c>
      <c r="N55" s="108">
        <f t="shared" si="19"/>
        <v>0</v>
      </c>
      <c r="O55" s="108">
        <f t="shared" si="19"/>
        <v>0</v>
      </c>
      <c r="P55" s="108">
        <f t="shared" si="19"/>
        <v>0</v>
      </c>
      <c r="Q55" s="108">
        <f t="shared" si="19"/>
        <v>0</v>
      </c>
      <c r="R55" s="108">
        <f t="shared" si="19"/>
        <v>0</v>
      </c>
      <c r="S55" s="108">
        <f t="shared" si="19"/>
        <v>0</v>
      </c>
      <c r="T55" s="108">
        <f t="shared" si="19"/>
        <v>0</v>
      </c>
      <c r="U55" s="108">
        <f t="shared" si="19"/>
        <v>0</v>
      </c>
      <c r="V55" s="108">
        <f t="shared" si="19"/>
        <v>0</v>
      </c>
    </row>
    <row r="56" spans="1:22" ht="15.75" customHeight="1" x14ac:dyDescent="0.25">
      <c r="A56" s="101"/>
      <c r="B56" s="98"/>
      <c r="C56" s="98"/>
      <c r="D56" s="98"/>
      <c r="E56" s="98"/>
      <c r="F56" s="98"/>
      <c r="G56" s="98"/>
      <c r="H56" s="98"/>
      <c r="I56" s="98"/>
      <c r="J56" s="98"/>
      <c r="K56" s="98"/>
      <c r="L56" s="98"/>
      <c r="M56" s="98"/>
      <c r="N56" s="98"/>
      <c r="O56" s="98"/>
      <c r="P56" s="98"/>
      <c r="Q56" s="98"/>
      <c r="R56" s="98"/>
      <c r="S56" s="98"/>
      <c r="T56" s="98"/>
      <c r="U56" s="98"/>
      <c r="V56" s="98"/>
    </row>
    <row r="57" spans="1:22" ht="15.75" customHeight="1" x14ac:dyDescent="0.25">
      <c r="A57" s="488" t="s">
        <v>387</v>
      </c>
      <c r="B57" s="478"/>
      <c r="C57" s="478"/>
      <c r="D57" s="478"/>
      <c r="E57" s="478"/>
      <c r="F57" s="478"/>
      <c r="G57" s="478"/>
      <c r="H57" s="478"/>
      <c r="I57" s="478"/>
      <c r="J57" s="478"/>
      <c r="K57" s="478"/>
      <c r="L57" s="478"/>
      <c r="M57" s="478"/>
      <c r="N57" s="478"/>
      <c r="O57" s="478"/>
      <c r="P57" s="478"/>
      <c r="Q57" s="478"/>
      <c r="R57" s="478"/>
      <c r="S57" s="478"/>
      <c r="T57" s="478"/>
      <c r="U57" s="478"/>
      <c r="V57" s="478"/>
    </row>
    <row r="58" spans="1:22" ht="15.75" customHeight="1" x14ac:dyDescent="0.25">
      <c r="A58" s="484" t="s">
        <v>402</v>
      </c>
      <c r="B58" s="484" t="s">
        <v>388</v>
      </c>
      <c r="C58" s="485"/>
      <c r="D58" s="485"/>
      <c r="E58" s="485"/>
      <c r="F58" s="486"/>
      <c r="G58" s="484" t="s">
        <v>389</v>
      </c>
      <c r="H58" s="485"/>
      <c r="I58" s="485"/>
      <c r="J58" s="485"/>
      <c r="K58" s="485"/>
      <c r="L58" s="486"/>
      <c r="M58" s="484" t="s">
        <v>390</v>
      </c>
      <c r="N58" s="485"/>
      <c r="O58" s="485"/>
      <c r="P58" s="485"/>
      <c r="Q58" s="486"/>
      <c r="R58" s="484" t="s">
        <v>391</v>
      </c>
      <c r="S58" s="485"/>
      <c r="T58" s="485"/>
      <c r="U58" s="485"/>
      <c r="V58" s="486"/>
    </row>
    <row r="59" spans="1:22" ht="15.75" customHeight="1" x14ac:dyDescent="0.25">
      <c r="A59" s="487"/>
      <c r="B59" s="96">
        <v>44900</v>
      </c>
      <c r="C59" s="96">
        <v>44907</v>
      </c>
      <c r="D59" s="96">
        <v>44914</v>
      </c>
      <c r="E59" s="96">
        <v>44921</v>
      </c>
      <c r="F59" s="97" t="s">
        <v>129</v>
      </c>
      <c r="G59" s="96">
        <v>44563</v>
      </c>
      <c r="H59" s="96">
        <v>44570</v>
      </c>
      <c r="I59" s="96">
        <v>44577</v>
      </c>
      <c r="J59" s="96">
        <v>44584</v>
      </c>
      <c r="K59" s="96">
        <v>44591</v>
      </c>
      <c r="L59" s="97" t="s">
        <v>129</v>
      </c>
      <c r="M59" s="96">
        <v>44598</v>
      </c>
      <c r="N59" s="96">
        <v>44605</v>
      </c>
      <c r="O59" s="96">
        <v>44612</v>
      </c>
      <c r="P59" s="96">
        <v>44619</v>
      </c>
      <c r="Q59" s="97" t="s">
        <v>129</v>
      </c>
      <c r="R59" s="96">
        <v>44626</v>
      </c>
      <c r="S59" s="96">
        <v>44633</v>
      </c>
      <c r="T59" s="96">
        <v>44640</v>
      </c>
      <c r="U59" s="96">
        <v>44647</v>
      </c>
      <c r="V59" s="97" t="s">
        <v>129</v>
      </c>
    </row>
    <row r="60" spans="1:22" ht="15.75" customHeight="1" x14ac:dyDescent="0.25">
      <c r="A60" s="87" t="s">
        <v>392</v>
      </c>
      <c r="B60" s="105">
        <v>150</v>
      </c>
      <c r="C60" s="88">
        <v>150</v>
      </c>
      <c r="D60" s="88">
        <v>300</v>
      </c>
      <c r="E60" s="88">
        <v>350</v>
      </c>
      <c r="F60" s="106">
        <f t="shared" ref="F60:F68" si="20">B60+C60+D60+E60</f>
        <v>950</v>
      </c>
      <c r="G60" s="88">
        <v>0</v>
      </c>
      <c r="H60" s="88">
        <v>0</v>
      </c>
      <c r="I60" s="88">
        <v>0</v>
      </c>
      <c r="J60" s="88">
        <v>0</v>
      </c>
      <c r="K60" s="88">
        <v>0</v>
      </c>
      <c r="L60" s="106">
        <f t="shared" ref="L60:L68" si="21">G60+H60+I60+J60+K60</f>
        <v>0</v>
      </c>
      <c r="M60" s="88">
        <v>0</v>
      </c>
      <c r="N60" s="88">
        <v>0</v>
      </c>
      <c r="O60" s="88">
        <v>0</v>
      </c>
      <c r="P60" s="88">
        <v>0</v>
      </c>
      <c r="Q60" s="106">
        <f t="shared" ref="Q60:Q68" si="22">M60+N60+O60+P60</f>
        <v>0</v>
      </c>
      <c r="R60" s="88">
        <v>0</v>
      </c>
      <c r="S60" s="88">
        <v>0</v>
      </c>
      <c r="T60" s="88"/>
      <c r="U60" s="88"/>
      <c r="V60" s="106">
        <f t="shared" ref="V60:V68" si="23">R60+S60+T60+U60</f>
        <v>0</v>
      </c>
    </row>
    <row r="61" spans="1:22" ht="15.75" customHeight="1" x14ac:dyDescent="0.25">
      <c r="A61" s="90" t="s">
        <v>393</v>
      </c>
      <c r="B61" s="88">
        <v>353</v>
      </c>
      <c r="C61" s="88">
        <v>314</v>
      </c>
      <c r="D61" s="88">
        <v>533</v>
      </c>
      <c r="E61" s="88">
        <v>0</v>
      </c>
      <c r="F61" s="106">
        <f t="shared" si="20"/>
        <v>1200</v>
      </c>
      <c r="G61" s="88">
        <v>0</v>
      </c>
      <c r="H61" s="88">
        <v>0</v>
      </c>
      <c r="I61" s="88">
        <v>0</v>
      </c>
      <c r="J61" s="88">
        <v>0</v>
      </c>
      <c r="K61" s="88">
        <v>0</v>
      </c>
      <c r="L61" s="106">
        <f t="shared" si="21"/>
        <v>0</v>
      </c>
      <c r="M61" s="88">
        <v>0</v>
      </c>
      <c r="N61" s="88">
        <v>0</v>
      </c>
      <c r="O61" s="88">
        <v>0</v>
      </c>
      <c r="P61" s="88">
        <v>0</v>
      </c>
      <c r="Q61" s="106">
        <f t="shared" si="22"/>
        <v>0</v>
      </c>
      <c r="R61" s="88">
        <v>0</v>
      </c>
      <c r="S61" s="88">
        <v>0</v>
      </c>
      <c r="T61" s="88"/>
      <c r="U61" s="88"/>
      <c r="V61" s="106">
        <f t="shared" si="23"/>
        <v>0</v>
      </c>
    </row>
    <row r="62" spans="1:22" ht="15.75" customHeight="1" x14ac:dyDescent="0.25">
      <c r="A62" s="90" t="s">
        <v>394</v>
      </c>
      <c r="B62" s="88">
        <v>151</v>
      </c>
      <c r="C62" s="88">
        <v>232</v>
      </c>
      <c r="D62" s="88">
        <v>417</v>
      </c>
      <c r="E62" s="88">
        <v>330</v>
      </c>
      <c r="F62" s="106">
        <f t="shared" si="20"/>
        <v>1130</v>
      </c>
      <c r="G62" s="88">
        <v>0</v>
      </c>
      <c r="H62" s="88">
        <v>0</v>
      </c>
      <c r="I62" s="88">
        <v>0</v>
      </c>
      <c r="J62" s="88">
        <v>0</v>
      </c>
      <c r="K62" s="88">
        <v>0</v>
      </c>
      <c r="L62" s="106">
        <f t="shared" si="21"/>
        <v>0</v>
      </c>
      <c r="M62" s="88">
        <v>0</v>
      </c>
      <c r="N62" s="88">
        <v>0</v>
      </c>
      <c r="O62" s="88">
        <v>0</v>
      </c>
      <c r="P62" s="88">
        <v>0</v>
      </c>
      <c r="Q62" s="106">
        <f t="shared" si="22"/>
        <v>0</v>
      </c>
      <c r="R62" s="88">
        <v>0</v>
      </c>
      <c r="S62" s="88">
        <v>0</v>
      </c>
      <c r="T62" s="88"/>
      <c r="U62" s="88"/>
      <c r="V62" s="106">
        <f t="shared" si="23"/>
        <v>0</v>
      </c>
    </row>
    <row r="63" spans="1:22" ht="15.75" customHeight="1" x14ac:dyDescent="0.25">
      <c r="A63" s="90" t="s">
        <v>395</v>
      </c>
      <c r="B63" s="88">
        <v>20</v>
      </c>
      <c r="C63" s="88">
        <v>29</v>
      </c>
      <c r="D63" s="88">
        <v>75</v>
      </c>
      <c r="E63" s="88">
        <v>106</v>
      </c>
      <c r="F63" s="106">
        <f t="shared" si="20"/>
        <v>230</v>
      </c>
      <c r="G63" s="88">
        <v>0</v>
      </c>
      <c r="H63" s="88">
        <v>18</v>
      </c>
      <c r="I63" s="88">
        <v>8</v>
      </c>
      <c r="J63" s="88">
        <v>8</v>
      </c>
      <c r="K63" s="88">
        <v>15</v>
      </c>
      <c r="L63" s="106">
        <f t="shared" si="21"/>
        <v>49</v>
      </c>
      <c r="M63" s="88">
        <v>2</v>
      </c>
      <c r="N63" s="88">
        <v>0</v>
      </c>
      <c r="O63" s="88">
        <v>6</v>
      </c>
      <c r="P63" s="88">
        <v>13</v>
      </c>
      <c r="Q63" s="106">
        <f t="shared" si="22"/>
        <v>21</v>
      </c>
      <c r="R63" s="88">
        <v>0</v>
      </c>
      <c r="S63" s="88">
        <v>0</v>
      </c>
      <c r="T63" s="88"/>
      <c r="U63" s="88"/>
      <c r="V63" s="106">
        <f t="shared" si="23"/>
        <v>0</v>
      </c>
    </row>
    <row r="64" spans="1:22" ht="15.75" customHeight="1" x14ac:dyDescent="0.25">
      <c r="A64" s="91" t="s">
        <v>396</v>
      </c>
      <c r="B64" s="88">
        <v>2</v>
      </c>
      <c r="C64" s="88">
        <v>7</v>
      </c>
      <c r="D64" s="88">
        <v>169</v>
      </c>
      <c r="E64" s="88">
        <v>22</v>
      </c>
      <c r="F64" s="106">
        <f t="shared" si="20"/>
        <v>200</v>
      </c>
      <c r="G64" s="88">
        <v>0</v>
      </c>
      <c r="H64" s="88">
        <v>0</v>
      </c>
      <c r="I64" s="88">
        <v>0</v>
      </c>
      <c r="J64" s="88">
        <v>0</v>
      </c>
      <c r="K64" s="88">
        <v>0</v>
      </c>
      <c r="L64" s="106">
        <f t="shared" si="21"/>
        <v>0</v>
      </c>
      <c r="M64" s="88">
        <v>0</v>
      </c>
      <c r="N64" s="88">
        <v>0</v>
      </c>
      <c r="O64" s="88">
        <v>0</v>
      </c>
      <c r="P64" s="88">
        <v>0</v>
      </c>
      <c r="Q64" s="106">
        <f t="shared" si="22"/>
        <v>0</v>
      </c>
      <c r="R64" s="88">
        <v>0</v>
      </c>
      <c r="S64" s="88">
        <v>0</v>
      </c>
      <c r="T64" s="88"/>
      <c r="U64" s="88"/>
      <c r="V64" s="106">
        <f t="shared" si="23"/>
        <v>0</v>
      </c>
    </row>
    <row r="65" spans="1:22" ht="15.75" customHeight="1" x14ac:dyDescent="0.25">
      <c r="A65" s="92" t="s">
        <v>397</v>
      </c>
      <c r="B65" s="88">
        <v>6</v>
      </c>
      <c r="C65" s="88">
        <v>27</v>
      </c>
      <c r="D65" s="88">
        <v>68</v>
      </c>
      <c r="E65" s="88">
        <v>68</v>
      </c>
      <c r="F65" s="106">
        <f t="shared" si="20"/>
        <v>169</v>
      </c>
      <c r="G65" s="88">
        <v>0</v>
      </c>
      <c r="H65" s="88">
        <v>0</v>
      </c>
      <c r="I65" s="88">
        <v>0</v>
      </c>
      <c r="J65" s="88">
        <v>0</v>
      </c>
      <c r="K65" s="88">
        <v>0</v>
      </c>
      <c r="L65" s="106">
        <f t="shared" si="21"/>
        <v>0</v>
      </c>
      <c r="M65" s="88">
        <v>0</v>
      </c>
      <c r="N65" s="88">
        <v>0</v>
      </c>
      <c r="O65" s="88">
        <v>0</v>
      </c>
      <c r="P65" s="88">
        <v>0</v>
      </c>
      <c r="Q65" s="106">
        <f t="shared" si="22"/>
        <v>0</v>
      </c>
      <c r="R65" s="88">
        <v>0</v>
      </c>
      <c r="S65" s="88">
        <v>0</v>
      </c>
      <c r="T65" s="88"/>
      <c r="U65" s="88"/>
      <c r="V65" s="106">
        <f t="shared" si="23"/>
        <v>0</v>
      </c>
    </row>
    <row r="66" spans="1:22" ht="15.75" customHeight="1" x14ac:dyDescent="0.25">
      <c r="A66" s="92" t="s">
        <v>398</v>
      </c>
      <c r="B66" s="88">
        <v>2</v>
      </c>
      <c r="C66" s="88">
        <v>5</v>
      </c>
      <c r="D66" s="88">
        <v>7</v>
      </c>
      <c r="E66" s="88">
        <v>1</v>
      </c>
      <c r="F66" s="106">
        <f t="shared" si="20"/>
        <v>15</v>
      </c>
      <c r="G66" s="88">
        <v>0</v>
      </c>
      <c r="H66" s="88">
        <v>0</v>
      </c>
      <c r="I66" s="88">
        <v>0</v>
      </c>
      <c r="J66" s="88">
        <v>0</v>
      </c>
      <c r="K66" s="88">
        <v>0</v>
      </c>
      <c r="L66" s="106">
        <f t="shared" si="21"/>
        <v>0</v>
      </c>
      <c r="M66" s="88">
        <v>0</v>
      </c>
      <c r="N66" s="88">
        <v>0</v>
      </c>
      <c r="O66" s="88">
        <v>0</v>
      </c>
      <c r="P66" s="88">
        <v>0</v>
      </c>
      <c r="Q66" s="106">
        <f t="shared" si="22"/>
        <v>0</v>
      </c>
      <c r="R66" s="88">
        <v>0</v>
      </c>
      <c r="S66" s="88">
        <v>0</v>
      </c>
      <c r="T66" s="88"/>
      <c r="U66" s="88"/>
      <c r="V66" s="106">
        <f t="shared" si="23"/>
        <v>0</v>
      </c>
    </row>
    <row r="67" spans="1:22" ht="18" customHeight="1" x14ac:dyDescent="0.25">
      <c r="A67" s="92" t="s">
        <v>399</v>
      </c>
      <c r="B67" s="88">
        <v>1</v>
      </c>
      <c r="C67" s="88">
        <v>2</v>
      </c>
      <c r="D67" s="88">
        <v>2</v>
      </c>
      <c r="E67" s="88">
        <v>4</v>
      </c>
      <c r="F67" s="106">
        <f t="shared" si="20"/>
        <v>9</v>
      </c>
      <c r="G67" s="88">
        <v>0</v>
      </c>
      <c r="H67" s="88">
        <v>0</v>
      </c>
      <c r="I67" s="88">
        <v>0</v>
      </c>
      <c r="J67" s="88">
        <v>0</v>
      </c>
      <c r="K67" s="88">
        <v>0</v>
      </c>
      <c r="L67" s="106">
        <f t="shared" si="21"/>
        <v>0</v>
      </c>
      <c r="M67" s="88">
        <v>0</v>
      </c>
      <c r="N67" s="88">
        <v>0</v>
      </c>
      <c r="O67" s="88">
        <v>0</v>
      </c>
      <c r="P67" s="88">
        <v>0</v>
      </c>
      <c r="Q67" s="106">
        <f t="shared" si="22"/>
        <v>0</v>
      </c>
      <c r="R67" s="88">
        <v>0</v>
      </c>
      <c r="S67" s="88">
        <v>0</v>
      </c>
      <c r="T67" s="88"/>
      <c r="U67" s="88"/>
      <c r="V67" s="106">
        <f t="shared" si="23"/>
        <v>0</v>
      </c>
    </row>
    <row r="68" spans="1:22" ht="18" customHeight="1" x14ac:dyDescent="0.25">
      <c r="A68" s="92" t="s">
        <v>400</v>
      </c>
      <c r="B68" s="88">
        <v>13</v>
      </c>
      <c r="C68" s="88">
        <v>2</v>
      </c>
      <c r="D68" s="88">
        <v>9</v>
      </c>
      <c r="E68" s="88">
        <v>106</v>
      </c>
      <c r="F68" s="106">
        <f t="shared" si="20"/>
        <v>130</v>
      </c>
      <c r="G68" s="88">
        <v>0</v>
      </c>
      <c r="H68" s="88">
        <v>0</v>
      </c>
      <c r="I68" s="88">
        <v>0</v>
      </c>
      <c r="J68" s="88">
        <v>0</v>
      </c>
      <c r="K68" s="88">
        <v>0</v>
      </c>
      <c r="L68" s="106">
        <f t="shared" si="21"/>
        <v>0</v>
      </c>
      <c r="M68" s="88">
        <v>0</v>
      </c>
      <c r="N68" s="88">
        <v>0</v>
      </c>
      <c r="O68" s="88">
        <v>0</v>
      </c>
      <c r="P68" s="88">
        <v>0</v>
      </c>
      <c r="Q68" s="106">
        <f t="shared" si="22"/>
        <v>0</v>
      </c>
      <c r="R68" s="88">
        <v>0</v>
      </c>
      <c r="S68" s="88">
        <v>0</v>
      </c>
      <c r="T68" s="88"/>
      <c r="U68" s="88"/>
      <c r="V68" s="106">
        <f t="shared" si="23"/>
        <v>0</v>
      </c>
    </row>
    <row r="69" spans="1:22" ht="15.75" customHeight="1" x14ac:dyDescent="0.25">
      <c r="A69" s="107" t="s">
        <v>401</v>
      </c>
      <c r="B69" s="108">
        <f>SUM(B60:B63)</f>
        <v>674</v>
      </c>
      <c r="C69" s="108">
        <f>SUM(C60:C63)</f>
        <v>725</v>
      </c>
      <c r="D69" s="108">
        <f>SUM(D60:D63)</f>
        <v>1325</v>
      </c>
      <c r="E69" s="108">
        <f>SUM(E60:E63)</f>
        <v>786</v>
      </c>
      <c r="F69" s="108">
        <f>SUM(F60:F63)</f>
        <v>3510</v>
      </c>
      <c r="G69" s="108">
        <f t="shared" ref="G69:V69" si="24">SUM(G60:G64)</f>
        <v>0</v>
      </c>
      <c r="H69" s="108">
        <f t="shared" si="24"/>
        <v>18</v>
      </c>
      <c r="I69" s="108">
        <f t="shared" si="24"/>
        <v>8</v>
      </c>
      <c r="J69" s="108">
        <f t="shared" si="24"/>
        <v>8</v>
      </c>
      <c r="K69" s="108">
        <f t="shared" si="24"/>
        <v>15</v>
      </c>
      <c r="L69" s="108">
        <f t="shared" si="24"/>
        <v>49</v>
      </c>
      <c r="M69" s="108">
        <f t="shared" si="24"/>
        <v>2</v>
      </c>
      <c r="N69" s="108">
        <f t="shared" si="24"/>
        <v>0</v>
      </c>
      <c r="O69" s="108">
        <f t="shared" si="24"/>
        <v>6</v>
      </c>
      <c r="P69" s="108">
        <f t="shared" si="24"/>
        <v>13</v>
      </c>
      <c r="Q69" s="108">
        <f t="shared" si="24"/>
        <v>21</v>
      </c>
      <c r="R69" s="108">
        <f t="shared" si="24"/>
        <v>0</v>
      </c>
      <c r="S69" s="108">
        <f t="shared" si="24"/>
        <v>0</v>
      </c>
      <c r="T69" s="108">
        <f t="shared" si="24"/>
        <v>0</v>
      </c>
      <c r="U69" s="108">
        <f t="shared" si="24"/>
        <v>0</v>
      </c>
      <c r="V69" s="108">
        <f t="shared" si="24"/>
        <v>0</v>
      </c>
    </row>
    <row r="70" spans="1:22" ht="15.75" customHeight="1" x14ac:dyDescent="0.25">
      <c r="A70" s="101"/>
      <c r="B70" s="98"/>
      <c r="C70" s="98"/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</row>
    <row r="71" spans="1:22" ht="15.75" customHeight="1" x14ac:dyDescent="0.25">
      <c r="A71" s="488" t="s">
        <v>387</v>
      </c>
      <c r="B71" s="478"/>
      <c r="C71" s="478"/>
      <c r="D71" s="478"/>
      <c r="E71" s="478"/>
      <c r="F71" s="478"/>
      <c r="G71" s="478"/>
      <c r="H71" s="478"/>
      <c r="I71" s="478"/>
      <c r="J71" s="478"/>
      <c r="K71" s="478"/>
      <c r="L71" s="478"/>
      <c r="M71" s="478"/>
      <c r="N71" s="478"/>
      <c r="O71" s="478"/>
      <c r="P71" s="478"/>
      <c r="Q71" s="478"/>
      <c r="R71" s="478"/>
      <c r="S71" s="478"/>
      <c r="T71" s="478"/>
      <c r="U71" s="478"/>
      <c r="V71" s="478"/>
    </row>
    <row r="72" spans="1:22" ht="15.75" customHeight="1" x14ac:dyDescent="0.25">
      <c r="A72" s="484" t="s">
        <v>244</v>
      </c>
      <c r="B72" s="484" t="s">
        <v>388</v>
      </c>
      <c r="C72" s="485"/>
      <c r="D72" s="485"/>
      <c r="E72" s="485"/>
      <c r="F72" s="486"/>
      <c r="G72" s="484" t="s">
        <v>389</v>
      </c>
      <c r="H72" s="485"/>
      <c r="I72" s="485"/>
      <c r="J72" s="485"/>
      <c r="K72" s="485"/>
      <c r="L72" s="486"/>
      <c r="M72" s="484" t="s">
        <v>390</v>
      </c>
      <c r="N72" s="485"/>
      <c r="O72" s="485"/>
      <c r="P72" s="485"/>
      <c r="Q72" s="486"/>
      <c r="R72" s="484" t="s">
        <v>391</v>
      </c>
      <c r="S72" s="485"/>
      <c r="T72" s="485"/>
      <c r="U72" s="485"/>
      <c r="V72" s="486"/>
    </row>
    <row r="73" spans="1:22" ht="15.75" customHeight="1" x14ac:dyDescent="0.25">
      <c r="A73" s="487"/>
      <c r="B73" s="96">
        <v>44900</v>
      </c>
      <c r="C73" s="96">
        <v>44907</v>
      </c>
      <c r="D73" s="96">
        <v>44914</v>
      </c>
      <c r="E73" s="96">
        <v>44921</v>
      </c>
      <c r="F73" s="97" t="s">
        <v>129</v>
      </c>
      <c r="G73" s="96">
        <v>44563</v>
      </c>
      <c r="H73" s="96">
        <v>44570</v>
      </c>
      <c r="I73" s="96">
        <v>44577</v>
      </c>
      <c r="J73" s="96">
        <v>44584</v>
      </c>
      <c r="K73" s="96">
        <v>44591</v>
      </c>
      <c r="L73" s="97" t="s">
        <v>129</v>
      </c>
      <c r="M73" s="96">
        <v>44598</v>
      </c>
      <c r="N73" s="96">
        <v>44605</v>
      </c>
      <c r="O73" s="96">
        <v>44612</v>
      </c>
      <c r="P73" s="96">
        <v>44619</v>
      </c>
      <c r="Q73" s="97" t="s">
        <v>129</v>
      </c>
      <c r="R73" s="96">
        <v>44626</v>
      </c>
      <c r="S73" s="96">
        <v>44633</v>
      </c>
      <c r="T73" s="96">
        <v>44640</v>
      </c>
      <c r="U73" s="96">
        <v>44647</v>
      </c>
      <c r="V73" s="97" t="s">
        <v>129</v>
      </c>
    </row>
    <row r="74" spans="1:22" ht="15.75" customHeight="1" x14ac:dyDescent="0.25">
      <c r="A74" s="87" t="s">
        <v>392</v>
      </c>
      <c r="B74" s="105">
        <v>25</v>
      </c>
      <c r="C74" s="88">
        <v>75</v>
      </c>
      <c r="D74" s="88">
        <v>25</v>
      </c>
      <c r="E74" s="88">
        <v>25</v>
      </c>
      <c r="F74" s="106">
        <f t="shared" ref="F74:F82" si="25">B74+C74+D74+E74</f>
        <v>150</v>
      </c>
      <c r="G74" s="88">
        <v>0</v>
      </c>
      <c r="H74" s="88">
        <v>0</v>
      </c>
      <c r="I74" s="88">
        <v>0</v>
      </c>
      <c r="J74" s="88">
        <v>0</v>
      </c>
      <c r="K74" s="88">
        <v>0</v>
      </c>
      <c r="L74" s="106">
        <f t="shared" ref="L74:L82" si="26">G74+H74+I74+J74+K74</f>
        <v>0</v>
      </c>
      <c r="M74" s="88">
        <v>0</v>
      </c>
      <c r="N74" s="88">
        <v>0</v>
      </c>
      <c r="O74" s="88">
        <v>0</v>
      </c>
      <c r="P74" s="88">
        <v>0</v>
      </c>
      <c r="Q74" s="106">
        <f t="shared" ref="Q74:Q82" si="27">M74+N74+O74+P74</f>
        <v>0</v>
      </c>
      <c r="R74" s="88">
        <v>0</v>
      </c>
      <c r="S74" s="88">
        <v>0</v>
      </c>
      <c r="T74" s="88"/>
      <c r="U74" s="88"/>
      <c r="V74" s="106">
        <f t="shared" ref="V74:V82" si="28">R74+S74+T74+U74</f>
        <v>0</v>
      </c>
    </row>
    <row r="75" spans="1:22" ht="15.75" customHeight="1" x14ac:dyDescent="0.25">
      <c r="A75" s="90" t="s">
        <v>393</v>
      </c>
      <c r="B75" s="88">
        <v>40</v>
      </c>
      <c r="C75" s="88">
        <v>60</v>
      </c>
      <c r="D75" s="88">
        <v>100</v>
      </c>
      <c r="E75" s="88">
        <v>0</v>
      </c>
      <c r="F75" s="106">
        <f t="shared" si="25"/>
        <v>200</v>
      </c>
      <c r="G75" s="88">
        <v>0</v>
      </c>
      <c r="H75" s="88">
        <v>0</v>
      </c>
      <c r="I75" s="88">
        <v>0</v>
      </c>
      <c r="J75" s="88">
        <v>0</v>
      </c>
      <c r="K75" s="88">
        <v>0</v>
      </c>
      <c r="L75" s="106">
        <f t="shared" si="26"/>
        <v>0</v>
      </c>
      <c r="M75" s="88">
        <v>0</v>
      </c>
      <c r="N75" s="88">
        <v>0</v>
      </c>
      <c r="O75" s="88">
        <v>0</v>
      </c>
      <c r="P75" s="88">
        <v>0</v>
      </c>
      <c r="Q75" s="106">
        <f t="shared" si="27"/>
        <v>0</v>
      </c>
      <c r="R75" s="88">
        <v>0</v>
      </c>
      <c r="S75" s="88">
        <v>0</v>
      </c>
      <c r="T75" s="88"/>
      <c r="U75" s="88"/>
      <c r="V75" s="106">
        <f t="shared" si="28"/>
        <v>0</v>
      </c>
    </row>
    <row r="76" spans="1:22" ht="15.75" customHeight="1" x14ac:dyDescent="0.25">
      <c r="A76" s="90" t="s">
        <v>394</v>
      </c>
      <c r="B76" s="88">
        <v>40</v>
      </c>
      <c r="C76" s="88">
        <v>40</v>
      </c>
      <c r="D76" s="88">
        <v>60</v>
      </c>
      <c r="E76" s="88">
        <v>60</v>
      </c>
      <c r="F76" s="106">
        <f t="shared" si="25"/>
        <v>200</v>
      </c>
      <c r="G76" s="88">
        <v>0</v>
      </c>
      <c r="H76" s="88">
        <v>0</v>
      </c>
      <c r="I76" s="88">
        <v>0</v>
      </c>
      <c r="J76" s="88">
        <v>0</v>
      </c>
      <c r="K76" s="88">
        <v>0</v>
      </c>
      <c r="L76" s="106">
        <f t="shared" si="26"/>
        <v>0</v>
      </c>
      <c r="M76" s="88">
        <v>0</v>
      </c>
      <c r="N76" s="88">
        <v>0</v>
      </c>
      <c r="O76" s="88">
        <v>0</v>
      </c>
      <c r="P76" s="88">
        <v>0</v>
      </c>
      <c r="Q76" s="106">
        <f t="shared" si="27"/>
        <v>0</v>
      </c>
      <c r="R76" s="88">
        <v>0</v>
      </c>
      <c r="S76" s="88">
        <v>0</v>
      </c>
      <c r="T76" s="88"/>
      <c r="U76" s="88"/>
      <c r="V76" s="106">
        <f t="shared" si="28"/>
        <v>0</v>
      </c>
    </row>
    <row r="77" spans="1:22" ht="15.75" customHeight="1" x14ac:dyDescent="0.25">
      <c r="A77" s="90" t="s">
        <v>395</v>
      </c>
      <c r="B77" s="88">
        <v>26</v>
      </c>
      <c r="C77" s="88">
        <v>0</v>
      </c>
      <c r="D77" s="88">
        <v>0</v>
      </c>
      <c r="E77" s="88">
        <v>0</v>
      </c>
      <c r="F77" s="106">
        <f t="shared" si="25"/>
        <v>26</v>
      </c>
      <c r="G77" s="88">
        <v>0</v>
      </c>
      <c r="H77" s="88">
        <v>11</v>
      </c>
      <c r="I77" s="88">
        <v>3</v>
      </c>
      <c r="J77" s="88">
        <v>3</v>
      </c>
      <c r="K77" s="88">
        <v>3</v>
      </c>
      <c r="L77" s="106">
        <f t="shared" si="26"/>
        <v>20</v>
      </c>
      <c r="M77" s="88">
        <v>0</v>
      </c>
      <c r="N77" s="88">
        <v>0</v>
      </c>
      <c r="O77" s="88">
        <v>0</v>
      </c>
      <c r="P77" s="88">
        <v>0</v>
      </c>
      <c r="Q77" s="106">
        <f t="shared" si="27"/>
        <v>0</v>
      </c>
      <c r="R77" s="88">
        <v>0</v>
      </c>
      <c r="S77" s="88">
        <v>0</v>
      </c>
      <c r="T77" s="88"/>
      <c r="U77" s="88"/>
      <c r="V77" s="106">
        <f t="shared" si="28"/>
        <v>0</v>
      </c>
    </row>
    <row r="78" spans="1:22" ht="15.75" customHeight="1" x14ac:dyDescent="0.25">
      <c r="A78" s="91" t="s">
        <v>396</v>
      </c>
      <c r="B78" s="88">
        <v>0</v>
      </c>
      <c r="C78" s="88">
        <v>0</v>
      </c>
      <c r="D78" s="88">
        <v>0</v>
      </c>
      <c r="E78" s="88">
        <v>0</v>
      </c>
      <c r="F78" s="106">
        <f t="shared" si="25"/>
        <v>0</v>
      </c>
      <c r="G78" s="88">
        <v>0</v>
      </c>
      <c r="H78" s="88">
        <v>0</v>
      </c>
      <c r="I78" s="88">
        <v>0</v>
      </c>
      <c r="J78" s="88">
        <v>0</v>
      </c>
      <c r="K78" s="88">
        <v>0</v>
      </c>
      <c r="L78" s="106">
        <f t="shared" si="26"/>
        <v>0</v>
      </c>
      <c r="M78" s="88">
        <v>0</v>
      </c>
      <c r="N78" s="88">
        <v>0</v>
      </c>
      <c r="O78" s="88">
        <v>0</v>
      </c>
      <c r="P78" s="88">
        <v>0</v>
      </c>
      <c r="Q78" s="106">
        <f t="shared" si="27"/>
        <v>0</v>
      </c>
      <c r="R78" s="88">
        <v>0</v>
      </c>
      <c r="S78" s="88">
        <v>0</v>
      </c>
      <c r="T78" s="88"/>
      <c r="U78" s="88"/>
      <c r="V78" s="106">
        <f t="shared" si="28"/>
        <v>0</v>
      </c>
    </row>
    <row r="79" spans="1:22" ht="15.75" customHeight="1" x14ac:dyDescent="0.25">
      <c r="A79" s="92" t="s">
        <v>397</v>
      </c>
      <c r="B79" s="88">
        <v>0</v>
      </c>
      <c r="C79" s="88">
        <v>0</v>
      </c>
      <c r="D79" s="88">
        <v>0</v>
      </c>
      <c r="E79" s="88">
        <v>0</v>
      </c>
      <c r="F79" s="106">
        <f t="shared" si="25"/>
        <v>0</v>
      </c>
      <c r="G79" s="88">
        <v>0</v>
      </c>
      <c r="H79" s="88">
        <v>0</v>
      </c>
      <c r="I79" s="88">
        <v>0</v>
      </c>
      <c r="J79" s="88">
        <v>0</v>
      </c>
      <c r="K79" s="88">
        <v>0</v>
      </c>
      <c r="L79" s="106">
        <f t="shared" si="26"/>
        <v>0</v>
      </c>
      <c r="M79" s="88">
        <v>0</v>
      </c>
      <c r="N79" s="88">
        <v>0</v>
      </c>
      <c r="O79" s="88">
        <v>0</v>
      </c>
      <c r="P79" s="88">
        <v>0</v>
      </c>
      <c r="Q79" s="106">
        <f t="shared" si="27"/>
        <v>0</v>
      </c>
      <c r="R79" s="88">
        <v>0</v>
      </c>
      <c r="S79" s="88">
        <v>0</v>
      </c>
      <c r="T79" s="88"/>
      <c r="U79" s="88"/>
      <c r="V79" s="106">
        <f t="shared" si="28"/>
        <v>0</v>
      </c>
    </row>
    <row r="80" spans="1:22" ht="15.75" customHeight="1" x14ac:dyDescent="0.25">
      <c r="A80" s="92" t="s">
        <v>398</v>
      </c>
      <c r="B80" s="88">
        <v>1</v>
      </c>
      <c r="C80" s="88">
        <v>2</v>
      </c>
      <c r="D80" s="88">
        <v>0</v>
      </c>
      <c r="E80" s="88">
        <v>1</v>
      </c>
      <c r="F80" s="106">
        <f t="shared" si="25"/>
        <v>4</v>
      </c>
      <c r="G80" s="88">
        <v>0</v>
      </c>
      <c r="H80" s="88">
        <v>0</v>
      </c>
      <c r="I80" s="88">
        <v>0</v>
      </c>
      <c r="J80" s="88">
        <v>0</v>
      </c>
      <c r="K80" s="88">
        <v>0</v>
      </c>
      <c r="L80" s="106">
        <f t="shared" si="26"/>
        <v>0</v>
      </c>
      <c r="M80" s="88">
        <v>0</v>
      </c>
      <c r="N80" s="88">
        <v>0</v>
      </c>
      <c r="O80" s="88">
        <v>0</v>
      </c>
      <c r="P80" s="88">
        <v>0</v>
      </c>
      <c r="Q80" s="106">
        <f t="shared" si="27"/>
        <v>0</v>
      </c>
      <c r="R80" s="88">
        <v>0</v>
      </c>
      <c r="S80" s="88">
        <v>0</v>
      </c>
      <c r="T80" s="88"/>
      <c r="U80" s="88"/>
      <c r="V80" s="106">
        <f t="shared" si="28"/>
        <v>0</v>
      </c>
    </row>
    <row r="81" spans="1:22" ht="15.75" customHeight="1" x14ac:dyDescent="0.25">
      <c r="A81" s="92" t="s">
        <v>399</v>
      </c>
      <c r="B81" s="88">
        <v>1</v>
      </c>
      <c r="C81" s="88">
        <v>0</v>
      </c>
      <c r="D81" s="88">
        <v>1</v>
      </c>
      <c r="E81" s="88">
        <v>1</v>
      </c>
      <c r="F81" s="106">
        <f t="shared" si="25"/>
        <v>3</v>
      </c>
      <c r="G81" s="88">
        <v>0</v>
      </c>
      <c r="H81" s="88">
        <v>0</v>
      </c>
      <c r="I81" s="88">
        <v>0</v>
      </c>
      <c r="J81" s="88">
        <v>0</v>
      </c>
      <c r="K81" s="88">
        <v>0</v>
      </c>
      <c r="L81" s="106">
        <f t="shared" si="26"/>
        <v>0</v>
      </c>
      <c r="M81" s="88">
        <v>0</v>
      </c>
      <c r="N81" s="88">
        <v>0</v>
      </c>
      <c r="O81" s="88">
        <v>0</v>
      </c>
      <c r="P81" s="88">
        <v>0</v>
      </c>
      <c r="Q81" s="106">
        <f t="shared" si="27"/>
        <v>0</v>
      </c>
      <c r="R81" s="88">
        <v>0</v>
      </c>
      <c r="S81" s="88">
        <v>0</v>
      </c>
      <c r="T81" s="88"/>
      <c r="U81" s="88"/>
      <c r="V81" s="106">
        <f t="shared" si="28"/>
        <v>0</v>
      </c>
    </row>
    <row r="82" spans="1:22" ht="15.75" customHeight="1" x14ac:dyDescent="0.25">
      <c r="A82" s="92" t="s">
        <v>400</v>
      </c>
      <c r="B82" s="88">
        <v>8</v>
      </c>
      <c r="C82" s="88">
        <v>19</v>
      </c>
      <c r="D82" s="88">
        <v>14</v>
      </c>
      <c r="E82" s="88">
        <v>9</v>
      </c>
      <c r="F82" s="106">
        <f t="shared" si="25"/>
        <v>50</v>
      </c>
      <c r="G82" s="88">
        <v>0</v>
      </c>
      <c r="H82" s="88">
        <v>0</v>
      </c>
      <c r="I82" s="88">
        <v>0</v>
      </c>
      <c r="J82" s="88">
        <v>0</v>
      </c>
      <c r="K82" s="88">
        <v>0</v>
      </c>
      <c r="L82" s="106">
        <f t="shared" si="26"/>
        <v>0</v>
      </c>
      <c r="M82" s="88">
        <v>0</v>
      </c>
      <c r="N82" s="88">
        <v>0</v>
      </c>
      <c r="O82" s="88">
        <v>0</v>
      </c>
      <c r="P82" s="88">
        <v>0</v>
      </c>
      <c r="Q82" s="106">
        <f t="shared" si="27"/>
        <v>0</v>
      </c>
      <c r="R82" s="88">
        <v>0</v>
      </c>
      <c r="S82" s="88">
        <v>0</v>
      </c>
      <c r="T82" s="88"/>
      <c r="U82" s="88"/>
      <c r="V82" s="106">
        <f t="shared" si="28"/>
        <v>0</v>
      </c>
    </row>
    <row r="83" spans="1:22" ht="15.75" customHeight="1" x14ac:dyDescent="0.25">
      <c r="A83" s="107" t="s">
        <v>401</v>
      </c>
      <c r="B83" s="108">
        <f>SUM(B74:B77)</f>
        <v>131</v>
      </c>
      <c r="C83" s="108">
        <f>SUM(C74:C77)</f>
        <v>175</v>
      </c>
      <c r="D83" s="108">
        <f>SUM(D74:D77)</f>
        <v>185</v>
      </c>
      <c r="E83" s="108">
        <f>SUM(E74:E77)</f>
        <v>85</v>
      </c>
      <c r="F83" s="108">
        <f>SUM(F74:F77)</f>
        <v>576</v>
      </c>
      <c r="G83" s="108">
        <f t="shared" ref="G83:V83" si="29">SUM(G74:G78)</f>
        <v>0</v>
      </c>
      <c r="H83" s="108">
        <f t="shared" si="29"/>
        <v>11</v>
      </c>
      <c r="I83" s="108">
        <f t="shared" si="29"/>
        <v>3</v>
      </c>
      <c r="J83" s="108">
        <f t="shared" si="29"/>
        <v>3</v>
      </c>
      <c r="K83" s="108">
        <f t="shared" si="29"/>
        <v>3</v>
      </c>
      <c r="L83" s="108">
        <f t="shared" si="29"/>
        <v>20</v>
      </c>
      <c r="M83" s="108">
        <f t="shared" si="29"/>
        <v>0</v>
      </c>
      <c r="N83" s="108">
        <f t="shared" si="29"/>
        <v>0</v>
      </c>
      <c r="O83" s="108">
        <f t="shared" si="29"/>
        <v>0</v>
      </c>
      <c r="P83" s="108">
        <f t="shared" si="29"/>
        <v>0</v>
      </c>
      <c r="Q83" s="108">
        <f t="shared" si="29"/>
        <v>0</v>
      </c>
      <c r="R83" s="108">
        <f t="shared" si="29"/>
        <v>0</v>
      </c>
      <c r="S83" s="108">
        <f t="shared" si="29"/>
        <v>0</v>
      </c>
      <c r="T83" s="108">
        <f t="shared" si="29"/>
        <v>0</v>
      </c>
      <c r="U83" s="108">
        <f t="shared" si="29"/>
        <v>0</v>
      </c>
      <c r="V83" s="108">
        <f t="shared" si="29"/>
        <v>0</v>
      </c>
    </row>
    <row r="84" spans="1:22" ht="18" customHeight="1" x14ac:dyDescent="0.25">
      <c r="A84" s="104"/>
      <c r="B84" s="104"/>
      <c r="C84" s="104"/>
      <c r="D84" s="104"/>
      <c r="E84" s="104"/>
      <c r="F84" s="104"/>
      <c r="G84" s="104"/>
      <c r="H84" s="10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</row>
    <row r="85" spans="1:22" ht="18" customHeight="1" x14ac:dyDescent="0.25">
      <c r="A85" s="488" t="s">
        <v>387</v>
      </c>
      <c r="B85" s="478"/>
      <c r="C85" s="478"/>
      <c r="D85" s="478"/>
      <c r="E85" s="478"/>
      <c r="F85" s="478"/>
      <c r="G85" s="478"/>
      <c r="H85" s="478"/>
      <c r="I85" s="478"/>
      <c r="J85" s="478"/>
      <c r="K85" s="478"/>
      <c r="L85" s="478"/>
      <c r="M85" s="478"/>
      <c r="N85" s="478"/>
      <c r="O85" s="478"/>
      <c r="P85" s="478"/>
      <c r="Q85" s="478"/>
      <c r="R85" s="478"/>
      <c r="S85" s="478"/>
      <c r="T85" s="478"/>
      <c r="U85" s="478"/>
      <c r="V85" s="478"/>
    </row>
    <row r="86" spans="1:22" ht="15.75" customHeight="1" x14ac:dyDescent="0.25">
      <c r="A86" s="484" t="s">
        <v>403</v>
      </c>
      <c r="B86" s="484" t="s">
        <v>388</v>
      </c>
      <c r="C86" s="485"/>
      <c r="D86" s="485"/>
      <c r="E86" s="485"/>
      <c r="F86" s="486"/>
      <c r="G86" s="484" t="s">
        <v>389</v>
      </c>
      <c r="H86" s="485"/>
      <c r="I86" s="485"/>
      <c r="J86" s="485"/>
      <c r="K86" s="485"/>
      <c r="L86" s="486"/>
      <c r="M86" s="484" t="s">
        <v>390</v>
      </c>
      <c r="N86" s="485"/>
      <c r="O86" s="485"/>
      <c r="P86" s="485"/>
      <c r="Q86" s="486"/>
      <c r="R86" s="484" t="s">
        <v>391</v>
      </c>
      <c r="S86" s="485"/>
      <c r="T86" s="485"/>
      <c r="U86" s="485"/>
      <c r="V86" s="486"/>
    </row>
    <row r="87" spans="1:22" ht="15.75" customHeight="1" x14ac:dyDescent="0.25">
      <c r="A87" s="487"/>
      <c r="B87" s="96">
        <v>44900</v>
      </c>
      <c r="C87" s="96">
        <v>44907</v>
      </c>
      <c r="D87" s="96">
        <v>44914</v>
      </c>
      <c r="E87" s="96">
        <v>44921</v>
      </c>
      <c r="F87" s="97" t="s">
        <v>129</v>
      </c>
      <c r="G87" s="96">
        <v>44563</v>
      </c>
      <c r="H87" s="96">
        <v>44570</v>
      </c>
      <c r="I87" s="96">
        <v>44577</v>
      </c>
      <c r="J87" s="96">
        <v>44584</v>
      </c>
      <c r="K87" s="96">
        <v>44591</v>
      </c>
      <c r="L87" s="97" t="s">
        <v>129</v>
      </c>
      <c r="M87" s="96">
        <v>44598</v>
      </c>
      <c r="N87" s="96">
        <v>44605</v>
      </c>
      <c r="O87" s="96">
        <v>44612</v>
      </c>
      <c r="P87" s="96">
        <v>44619</v>
      </c>
      <c r="Q87" s="97" t="s">
        <v>129</v>
      </c>
      <c r="R87" s="96">
        <v>44626</v>
      </c>
      <c r="S87" s="96">
        <v>44633</v>
      </c>
      <c r="T87" s="96">
        <v>44640</v>
      </c>
      <c r="U87" s="96">
        <v>44647</v>
      </c>
      <c r="V87" s="97" t="s">
        <v>129</v>
      </c>
    </row>
    <row r="88" spans="1:22" ht="15.75" customHeight="1" x14ac:dyDescent="0.25">
      <c r="A88" s="87" t="s">
        <v>392</v>
      </c>
      <c r="B88" s="105">
        <v>90</v>
      </c>
      <c r="C88" s="88">
        <v>30</v>
      </c>
      <c r="D88" s="88">
        <v>130</v>
      </c>
      <c r="E88" s="88">
        <v>150</v>
      </c>
      <c r="F88" s="106">
        <f t="shared" ref="F88:F96" si="30">B88+C88+D88+E88</f>
        <v>400</v>
      </c>
      <c r="G88" s="88">
        <v>0</v>
      </c>
      <c r="H88" s="88">
        <v>0</v>
      </c>
      <c r="I88" s="88">
        <v>0</v>
      </c>
      <c r="J88" s="88">
        <v>0</v>
      </c>
      <c r="K88" s="88">
        <v>0</v>
      </c>
      <c r="L88" s="106">
        <f t="shared" ref="L88:L96" si="31">G88+H88+I88+J88+K88</f>
        <v>0</v>
      </c>
      <c r="M88" s="88">
        <v>0</v>
      </c>
      <c r="N88" s="88">
        <v>0</v>
      </c>
      <c r="O88" s="88">
        <v>0</v>
      </c>
      <c r="P88" s="88">
        <v>0</v>
      </c>
      <c r="Q88" s="106">
        <f t="shared" ref="Q88:Q96" si="32">M88+N88+O88+P88</f>
        <v>0</v>
      </c>
      <c r="R88" s="88">
        <v>0</v>
      </c>
      <c r="S88" s="88">
        <v>0</v>
      </c>
      <c r="T88" s="88"/>
      <c r="U88" s="88"/>
      <c r="V88" s="106">
        <f t="shared" ref="V88:V96" si="33">R88+S88+T88+U88</f>
        <v>0</v>
      </c>
    </row>
    <row r="89" spans="1:22" ht="15.75" customHeight="1" x14ac:dyDescent="0.25">
      <c r="A89" s="90" t="s">
        <v>393</v>
      </c>
      <c r="B89" s="88">
        <v>100</v>
      </c>
      <c r="C89" s="88">
        <v>200</v>
      </c>
      <c r="D89" s="88">
        <v>70</v>
      </c>
      <c r="E89" s="88">
        <v>230</v>
      </c>
      <c r="F89" s="106">
        <f t="shared" si="30"/>
        <v>600</v>
      </c>
      <c r="G89" s="88">
        <v>0</v>
      </c>
      <c r="H89" s="88">
        <v>0</v>
      </c>
      <c r="I89" s="88">
        <v>0</v>
      </c>
      <c r="J89" s="88">
        <v>0</v>
      </c>
      <c r="K89" s="88">
        <v>0</v>
      </c>
      <c r="L89" s="106">
        <f t="shared" si="31"/>
        <v>0</v>
      </c>
      <c r="M89" s="88">
        <v>0</v>
      </c>
      <c r="N89" s="88">
        <v>0</v>
      </c>
      <c r="O89" s="88">
        <v>0</v>
      </c>
      <c r="P89" s="88">
        <v>0</v>
      </c>
      <c r="Q89" s="106">
        <f t="shared" si="32"/>
        <v>0</v>
      </c>
      <c r="R89" s="88">
        <v>0</v>
      </c>
      <c r="S89" s="88">
        <v>0</v>
      </c>
      <c r="T89" s="88"/>
      <c r="U89" s="88"/>
      <c r="V89" s="106">
        <f t="shared" si="33"/>
        <v>0</v>
      </c>
    </row>
    <row r="90" spans="1:22" ht="15.75" customHeight="1" x14ac:dyDescent="0.25">
      <c r="A90" s="90" t="s">
        <v>394</v>
      </c>
      <c r="B90" s="88">
        <v>100</v>
      </c>
      <c r="C90" s="88">
        <v>50</v>
      </c>
      <c r="D90" s="88">
        <v>50</v>
      </c>
      <c r="E90" s="88">
        <v>120</v>
      </c>
      <c r="F90" s="106">
        <f t="shared" si="30"/>
        <v>320</v>
      </c>
      <c r="G90" s="88">
        <v>0</v>
      </c>
      <c r="H90" s="88">
        <v>0</v>
      </c>
      <c r="I90" s="88">
        <v>0</v>
      </c>
      <c r="J90" s="88">
        <v>0</v>
      </c>
      <c r="K90" s="88">
        <v>0</v>
      </c>
      <c r="L90" s="106">
        <f t="shared" si="31"/>
        <v>0</v>
      </c>
      <c r="M90" s="88">
        <v>0</v>
      </c>
      <c r="N90" s="88">
        <v>0</v>
      </c>
      <c r="O90" s="88">
        <v>0</v>
      </c>
      <c r="P90" s="88">
        <v>0</v>
      </c>
      <c r="Q90" s="106">
        <f t="shared" si="32"/>
        <v>0</v>
      </c>
      <c r="R90" s="88">
        <v>0</v>
      </c>
      <c r="S90" s="88">
        <v>0</v>
      </c>
      <c r="T90" s="88"/>
      <c r="U90" s="88"/>
      <c r="V90" s="106">
        <f t="shared" si="33"/>
        <v>0</v>
      </c>
    </row>
    <row r="91" spans="1:22" ht="15.75" customHeight="1" x14ac:dyDescent="0.25">
      <c r="A91" s="90" t="s">
        <v>395</v>
      </c>
      <c r="B91" s="88">
        <v>20</v>
      </c>
      <c r="C91" s="88">
        <v>30</v>
      </c>
      <c r="D91" s="88">
        <v>24</v>
      </c>
      <c r="E91" s="88">
        <v>0</v>
      </c>
      <c r="F91" s="106">
        <f t="shared" si="30"/>
        <v>74</v>
      </c>
      <c r="G91" s="88">
        <v>0</v>
      </c>
      <c r="H91" s="88">
        <v>0</v>
      </c>
      <c r="I91" s="88">
        <v>0</v>
      </c>
      <c r="J91" s="88">
        <v>0</v>
      </c>
      <c r="K91" s="88">
        <v>0</v>
      </c>
      <c r="L91" s="106">
        <f t="shared" si="31"/>
        <v>0</v>
      </c>
      <c r="M91" s="88">
        <v>0</v>
      </c>
      <c r="N91" s="88">
        <v>0</v>
      </c>
      <c r="O91" s="88">
        <v>0</v>
      </c>
      <c r="P91" s="88">
        <v>0</v>
      </c>
      <c r="Q91" s="106">
        <f t="shared" si="32"/>
        <v>0</v>
      </c>
      <c r="R91" s="88">
        <v>0</v>
      </c>
      <c r="S91" s="88">
        <v>0</v>
      </c>
      <c r="T91" s="88"/>
      <c r="U91" s="88"/>
      <c r="V91" s="106">
        <f t="shared" si="33"/>
        <v>0</v>
      </c>
    </row>
    <row r="92" spans="1:22" ht="15.75" customHeight="1" x14ac:dyDescent="0.25">
      <c r="A92" s="91" t="s">
        <v>396</v>
      </c>
      <c r="B92" s="88">
        <v>0</v>
      </c>
      <c r="C92" s="88">
        <v>0</v>
      </c>
      <c r="D92" s="88">
        <v>0</v>
      </c>
      <c r="E92" s="88">
        <v>0</v>
      </c>
      <c r="F92" s="106">
        <f t="shared" si="30"/>
        <v>0</v>
      </c>
      <c r="G92" s="88">
        <v>0</v>
      </c>
      <c r="H92" s="88">
        <v>0</v>
      </c>
      <c r="I92" s="88">
        <v>0</v>
      </c>
      <c r="J92" s="88">
        <v>0</v>
      </c>
      <c r="K92" s="88">
        <v>0</v>
      </c>
      <c r="L92" s="106">
        <f t="shared" si="31"/>
        <v>0</v>
      </c>
      <c r="M92" s="88">
        <v>0</v>
      </c>
      <c r="N92" s="88">
        <v>0</v>
      </c>
      <c r="O92" s="88">
        <v>0</v>
      </c>
      <c r="P92" s="88">
        <v>0</v>
      </c>
      <c r="Q92" s="106">
        <f t="shared" si="32"/>
        <v>0</v>
      </c>
      <c r="R92" s="88">
        <v>0</v>
      </c>
      <c r="S92" s="88">
        <v>0</v>
      </c>
      <c r="T92" s="88"/>
      <c r="U92" s="88"/>
      <c r="V92" s="106">
        <f t="shared" si="33"/>
        <v>0</v>
      </c>
    </row>
    <row r="93" spans="1:22" ht="15.75" customHeight="1" x14ac:dyDescent="0.25">
      <c r="A93" s="92" t="s">
        <v>397</v>
      </c>
      <c r="B93" s="88">
        <v>0</v>
      </c>
      <c r="C93" s="88">
        <v>0</v>
      </c>
      <c r="D93" s="88">
        <v>0</v>
      </c>
      <c r="E93" s="88">
        <v>0</v>
      </c>
      <c r="F93" s="106">
        <f t="shared" si="30"/>
        <v>0</v>
      </c>
      <c r="G93" s="88">
        <v>0</v>
      </c>
      <c r="H93" s="88">
        <v>0</v>
      </c>
      <c r="I93" s="88">
        <v>0</v>
      </c>
      <c r="J93" s="88">
        <v>0</v>
      </c>
      <c r="K93" s="88">
        <v>0</v>
      </c>
      <c r="L93" s="106">
        <f t="shared" si="31"/>
        <v>0</v>
      </c>
      <c r="M93" s="88">
        <v>0</v>
      </c>
      <c r="N93" s="88">
        <v>0</v>
      </c>
      <c r="O93" s="88">
        <v>0</v>
      </c>
      <c r="P93" s="88">
        <v>0</v>
      </c>
      <c r="Q93" s="106">
        <f t="shared" si="32"/>
        <v>0</v>
      </c>
      <c r="R93" s="88">
        <v>0</v>
      </c>
      <c r="S93" s="88">
        <v>0</v>
      </c>
      <c r="T93" s="88"/>
      <c r="U93" s="88"/>
      <c r="V93" s="106">
        <f t="shared" si="33"/>
        <v>0</v>
      </c>
    </row>
    <row r="94" spans="1:22" ht="15.75" customHeight="1" x14ac:dyDescent="0.25">
      <c r="A94" s="92" t="s">
        <v>398</v>
      </c>
      <c r="B94" s="88">
        <v>3</v>
      </c>
      <c r="C94" s="88">
        <v>1</v>
      </c>
      <c r="D94" s="88">
        <v>1</v>
      </c>
      <c r="E94" s="88">
        <v>0</v>
      </c>
      <c r="F94" s="106">
        <f t="shared" si="30"/>
        <v>5</v>
      </c>
      <c r="G94" s="88">
        <v>0</v>
      </c>
      <c r="H94" s="88">
        <v>0</v>
      </c>
      <c r="I94" s="88">
        <v>0</v>
      </c>
      <c r="J94" s="88">
        <v>0</v>
      </c>
      <c r="K94" s="88">
        <v>0</v>
      </c>
      <c r="L94" s="106">
        <f t="shared" si="31"/>
        <v>0</v>
      </c>
      <c r="M94" s="88">
        <v>0</v>
      </c>
      <c r="N94" s="88">
        <v>0</v>
      </c>
      <c r="O94" s="88">
        <v>0</v>
      </c>
      <c r="P94" s="88">
        <v>0</v>
      </c>
      <c r="Q94" s="106">
        <f t="shared" si="32"/>
        <v>0</v>
      </c>
      <c r="R94" s="88">
        <v>0</v>
      </c>
      <c r="S94" s="88">
        <v>0</v>
      </c>
      <c r="T94" s="88"/>
      <c r="U94" s="88"/>
      <c r="V94" s="106">
        <f t="shared" si="33"/>
        <v>0</v>
      </c>
    </row>
    <row r="95" spans="1:22" ht="15.75" customHeight="1" x14ac:dyDescent="0.25">
      <c r="A95" s="92" t="s">
        <v>399</v>
      </c>
      <c r="B95" s="88">
        <v>1</v>
      </c>
      <c r="C95" s="88">
        <v>0</v>
      </c>
      <c r="D95" s="88">
        <v>1</v>
      </c>
      <c r="E95" s="88">
        <v>2</v>
      </c>
      <c r="F95" s="106">
        <f t="shared" si="30"/>
        <v>4</v>
      </c>
      <c r="G95" s="88">
        <v>0</v>
      </c>
      <c r="H95" s="88">
        <v>0</v>
      </c>
      <c r="I95" s="88">
        <v>0</v>
      </c>
      <c r="J95" s="88">
        <v>0</v>
      </c>
      <c r="K95" s="88">
        <v>0</v>
      </c>
      <c r="L95" s="106">
        <f t="shared" si="31"/>
        <v>0</v>
      </c>
      <c r="M95" s="88">
        <v>0</v>
      </c>
      <c r="N95" s="88">
        <v>0</v>
      </c>
      <c r="O95" s="88">
        <v>0</v>
      </c>
      <c r="P95" s="88">
        <v>0</v>
      </c>
      <c r="Q95" s="106">
        <f t="shared" si="32"/>
        <v>0</v>
      </c>
      <c r="R95" s="88">
        <v>0</v>
      </c>
      <c r="S95" s="88">
        <v>0</v>
      </c>
      <c r="T95" s="88"/>
      <c r="U95" s="88"/>
      <c r="V95" s="106">
        <f t="shared" si="33"/>
        <v>0</v>
      </c>
    </row>
    <row r="96" spans="1:22" ht="15.75" customHeight="1" x14ac:dyDescent="0.25">
      <c r="A96" s="92" t="s">
        <v>400</v>
      </c>
      <c r="B96" s="88">
        <v>0</v>
      </c>
      <c r="C96" s="88">
        <v>10</v>
      </c>
      <c r="D96" s="88">
        <v>10</v>
      </c>
      <c r="E96" s="88">
        <v>30</v>
      </c>
      <c r="F96" s="106">
        <f t="shared" si="30"/>
        <v>50</v>
      </c>
      <c r="G96" s="88">
        <v>0</v>
      </c>
      <c r="H96" s="88">
        <v>0</v>
      </c>
      <c r="I96" s="88">
        <v>0</v>
      </c>
      <c r="J96" s="88">
        <v>0</v>
      </c>
      <c r="K96" s="88">
        <v>0</v>
      </c>
      <c r="L96" s="106">
        <f t="shared" si="31"/>
        <v>0</v>
      </c>
      <c r="M96" s="88">
        <v>0</v>
      </c>
      <c r="N96" s="88">
        <v>0</v>
      </c>
      <c r="O96" s="88">
        <v>0</v>
      </c>
      <c r="P96" s="88">
        <v>0</v>
      </c>
      <c r="Q96" s="106">
        <f t="shared" si="32"/>
        <v>0</v>
      </c>
      <c r="R96" s="88">
        <v>0</v>
      </c>
      <c r="S96" s="88">
        <v>0</v>
      </c>
      <c r="T96" s="88"/>
      <c r="U96" s="88"/>
      <c r="V96" s="106">
        <f t="shared" si="33"/>
        <v>0</v>
      </c>
    </row>
    <row r="97" spans="1:22" ht="15.75" customHeight="1" x14ac:dyDescent="0.25">
      <c r="A97" s="107" t="s">
        <v>401</v>
      </c>
      <c r="B97" s="108">
        <f>SUM(B88:B91)</f>
        <v>310</v>
      </c>
      <c r="C97" s="108">
        <f>SUM(C88:C91)</f>
        <v>310</v>
      </c>
      <c r="D97" s="108">
        <f>SUM(D88:D91)</f>
        <v>274</v>
      </c>
      <c r="E97" s="108">
        <f>SUM(E88:E91)</f>
        <v>500</v>
      </c>
      <c r="F97" s="108">
        <f>SUM(F88:F91)</f>
        <v>1394</v>
      </c>
      <c r="G97" s="108">
        <f t="shared" ref="G97:V97" si="34">SUM(G88:G92)</f>
        <v>0</v>
      </c>
      <c r="H97" s="108">
        <f t="shared" si="34"/>
        <v>0</v>
      </c>
      <c r="I97" s="108">
        <f t="shared" si="34"/>
        <v>0</v>
      </c>
      <c r="J97" s="108">
        <f t="shared" si="34"/>
        <v>0</v>
      </c>
      <c r="K97" s="108">
        <f t="shared" si="34"/>
        <v>0</v>
      </c>
      <c r="L97" s="108">
        <f t="shared" si="34"/>
        <v>0</v>
      </c>
      <c r="M97" s="108">
        <f t="shared" si="34"/>
        <v>0</v>
      </c>
      <c r="N97" s="108">
        <f t="shared" si="34"/>
        <v>0</v>
      </c>
      <c r="O97" s="108">
        <f t="shared" si="34"/>
        <v>0</v>
      </c>
      <c r="P97" s="108">
        <f t="shared" si="34"/>
        <v>0</v>
      </c>
      <c r="Q97" s="108">
        <f t="shared" si="34"/>
        <v>0</v>
      </c>
      <c r="R97" s="108">
        <f t="shared" si="34"/>
        <v>0</v>
      </c>
      <c r="S97" s="108">
        <f t="shared" si="34"/>
        <v>0</v>
      </c>
      <c r="T97" s="108">
        <f t="shared" si="34"/>
        <v>0</v>
      </c>
      <c r="U97" s="108">
        <f t="shared" si="34"/>
        <v>0</v>
      </c>
      <c r="V97" s="108">
        <f t="shared" si="34"/>
        <v>0</v>
      </c>
    </row>
    <row r="98" spans="1:22" ht="15.75" customHeight="1" x14ac:dyDescent="0.25">
      <c r="A98" s="101"/>
      <c r="B98" s="98"/>
      <c r="C98" s="98"/>
      <c r="D98" s="98"/>
      <c r="E98" s="98"/>
      <c r="F98" s="98"/>
      <c r="G98" s="98"/>
      <c r="H98" s="98"/>
      <c r="I98" s="98"/>
      <c r="J98" s="98"/>
      <c r="K98" s="98"/>
      <c r="L98" s="98"/>
      <c r="M98" s="98"/>
      <c r="N98" s="98"/>
      <c r="O98" s="98"/>
      <c r="P98" s="98"/>
      <c r="Q98" s="98"/>
      <c r="R98" s="98"/>
      <c r="S98" s="98"/>
      <c r="T98" s="98"/>
      <c r="U98" s="98"/>
      <c r="V98" s="98"/>
    </row>
    <row r="99" spans="1:22" ht="15.75" customHeight="1" x14ac:dyDescent="0.25">
      <c r="A99" s="488" t="s">
        <v>387</v>
      </c>
      <c r="B99" s="478"/>
      <c r="C99" s="478"/>
      <c r="D99" s="478"/>
      <c r="E99" s="478"/>
      <c r="F99" s="478"/>
      <c r="G99" s="478"/>
      <c r="H99" s="478"/>
      <c r="I99" s="478"/>
      <c r="J99" s="478"/>
      <c r="K99" s="478"/>
      <c r="L99" s="478"/>
      <c r="M99" s="478"/>
      <c r="N99" s="478"/>
      <c r="O99" s="478"/>
      <c r="P99" s="478"/>
      <c r="Q99" s="478"/>
      <c r="R99" s="478"/>
      <c r="S99" s="478"/>
      <c r="T99" s="478"/>
      <c r="U99" s="478"/>
      <c r="V99" s="478"/>
    </row>
    <row r="100" spans="1:22" ht="15.75" customHeight="1" x14ac:dyDescent="0.25">
      <c r="A100" s="484" t="s">
        <v>323</v>
      </c>
      <c r="B100" s="484" t="s">
        <v>388</v>
      </c>
      <c r="C100" s="485"/>
      <c r="D100" s="485"/>
      <c r="E100" s="485"/>
      <c r="F100" s="486"/>
      <c r="G100" s="484" t="s">
        <v>389</v>
      </c>
      <c r="H100" s="485"/>
      <c r="I100" s="485"/>
      <c r="J100" s="485"/>
      <c r="K100" s="485"/>
      <c r="L100" s="486"/>
      <c r="M100" s="484" t="s">
        <v>390</v>
      </c>
      <c r="N100" s="485"/>
      <c r="O100" s="485"/>
      <c r="P100" s="485"/>
      <c r="Q100" s="486"/>
      <c r="R100" s="484" t="s">
        <v>391</v>
      </c>
      <c r="S100" s="485"/>
      <c r="T100" s="485"/>
      <c r="U100" s="485"/>
      <c r="V100" s="486"/>
    </row>
    <row r="101" spans="1:22" ht="15.75" customHeight="1" x14ac:dyDescent="0.25">
      <c r="A101" s="487"/>
      <c r="B101" s="96">
        <v>44900</v>
      </c>
      <c r="C101" s="96">
        <v>44907</v>
      </c>
      <c r="D101" s="96">
        <v>44914</v>
      </c>
      <c r="E101" s="96">
        <v>44921</v>
      </c>
      <c r="F101" s="97" t="s">
        <v>129</v>
      </c>
      <c r="G101" s="96">
        <v>44563</v>
      </c>
      <c r="H101" s="96">
        <v>44570</v>
      </c>
      <c r="I101" s="96">
        <v>44577</v>
      </c>
      <c r="J101" s="96">
        <v>44584</v>
      </c>
      <c r="K101" s="96">
        <v>44591</v>
      </c>
      <c r="L101" s="97" t="s">
        <v>129</v>
      </c>
      <c r="M101" s="96">
        <v>44598</v>
      </c>
      <c r="N101" s="96">
        <v>44605</v>
      </c>
      <c r="O101" s="96">
        <v>44612</v>
      </c>
      <c r="P101" s="96">
        <v>44619</v>
      </c>
      <c r="Q101" s="97" t="s">
        <v>129</v>
      </c>
      <c r="R101" s="96">
        <v>44626</v>
      </c>
      <c r="S101" s="96">
        <v>44633</v>
      </c>
      <c r="T101" s="96">
        <v>44640</v>
      </c>
      <c r="U101" s="96">
        <v>44647</v>
      </c>
      <c r="V101" s="97" t="s">
        <v>129</v>
      </c>
    </row>
    <row r="102" spans="1:22" ht="18" customHeight="1" x14ac:dyDescent="0.25">
      <c r="A102" s="87" t="s">
        <v>392</v>
      </c>
      <c r="B102" s="105">
        <v>10</v>
      </c>
      <c r="C102" s="88">
        <v>55</v>
      </c>
      <c r="D102" s="88">
        <v>45</v>
      </c>
      <c r="E102" s="88">
        <v>132</v>
      </c>
      <c r="F102" s="106">
        <f t="shared" ref="F102:F110" si="35">B102+C102+D102+E102</f>
        <v>242</v>
      </c>
      <c r="G102" s="88">
        <v>0</v>
      </c>
      <c r="H102" s="88">
        <v>8</v>
      </c>
      <c r="I102" s="88">
        <v>0</v>
      </c>
      <c r="J102" s="88">
        <v>0</v>
      </c>
      <c r="K102" s="88">
        <v>0</v>
      </c>
      <c r="L102" s="106">
        <f t="shared" ref="L102:L110" si="36">G102+H102+I102+J102+K102</f>
        <v>8</v>
      </c>
      <c r="M102" s="88">
        <v>0</v>
      </c>
      <c r="N102" s="88">
        <v>0</v>
      </c>
      <c r="O102" s="88">
        <v>0</v>
      </c>
      <c r="P102" s="88">
        <v>0</v>
      </c>
      <c r="Q102" s="106">
        <f t="shared" ref="Q102:Q110" si="37">M102+N102+O102+P102</f>
        <v>0</v>
      </c>
      <c r="R102" s="88">
        <v>0</v>
      </c>
      <c r="S102" s="88">
        <v>0</v>
      </c>
      <c r="T102" s="88"/>
      <c r="U102" s="88"/>
      <c r="V102" s="106">
        <f t="shared" ref="V102:V110" si="38">R102+S102+T102+U102</f>
        <v>0</v>
      </c>
    </row>
    <row r="103" spans="1:22" ht="18" customHeight="1" x14ac:dyDescent="0.25">
      <c r="A103" s="90" t="s">
        <v>393</v>
      </c>
      <c r="B103" s="88">
        <v>30</v>
      </c>
      <c r="C103" s="88">
        <v>70</v>
      </c>
      <c r="D103" s="88">
        <v>10</v>
      </c>
      <c r="E103" s="88">
        <v>60</v>
      </c>
      <c r="F103" s="106">
        <f t="shared" si="35"/>
        <v>170</v>
      </c>
      <c r="G103" s="88">
        <v>0</v>
      </c>
      <c r="H103" s="88">
        <v>0</v>
      </c>
      <c r="I103" s="88">
        <v>0</v>
      </c>
      <c r="J103" s="88">
        <v>0</v>
      </c>
      <c r="K103" s="88">
        <v>0</v>
      </c>
      <c r="L103" s="106">
        <f t="shared" si="36"/>
        <v>0</v>
      </c>
      <c r="M103" s="88">
        <v>0</v>
      </c>
      <c r="N103" s="88">
        <v>0</v>
      </c>
      <c r="O103" s="88">
        <v>0</v>
      </c>
      <c r="P103" s="88">
        <v>0</v>
      </c>
      <c r="Q103" s="106">
        <f t="shared" si="37"/>
        <v>0</v>
      </c>
      <c r="R103" s="88">
        <v>0</v>
      </c>
      <c r="S103" s="88">
        <v>0</v>
      </c>
      <c r="T103" s="88"/>
      <c r="U103" s="88"/>
      <c r="V103" s="106">
        <f t="shared" si="38"/>
        <v>0</v>
      </c>
    </row>
    <row r="104" spans="1:22" ht="15.75" customHeight="1" x14ac:dyDescent="0.25">
      <c r="A104" s="90" t="s">
        <v>394</v>
      </c>
      <c r="B104" s="88">
        <v>10</v>
      </c>
      <c r="C104" s="88">
        <v>20</v>
      </c>
      <c r="D104" s="88">
        <v>38</v>
      </c>
      <c r="E104" s="88">
        <v>132</v>
      </c>
      <c r="F104" s="106">
        <f t="shared" si="35"/>
        <v>200</v>
      </c>
      <c r="G104" s="88">
        <v>0</v>
      </c>
      <c r="H104" s="88">
        <v>0</v>
      </c>
      <c r="I104" s="88">
        <v>0</v>
      </c>
      <c r="J104" s="88">
        <v>0</v>
      </c>
      <c r="K104" s="88">
        <v>0</v>
      </c>
      <c r="L104" s="106">
        <f t="shared" si="36"/>
        <v>0</v>
      </c>
      <c r="M104" s="88">
        <v>0</v>
      </c>
      <c r="N104" s="88">
        <v>0</v>
      </c>
      <c r="O104" s="88">
        <v>0</v>
      </c>
      <c r="P104" s="88">
        <v>0</v>
      </c>
      <c r="Q104" s="106">
        <f t="shared" si="37"/>
        <v>0</v>
      </c>
      <c r="R104" s="88">
        <v>0</v>
      </c>
      <c r="S104" s="88">
        <v>0</v>
      </c>
      <c r="T104" s="88"/>
      <c r="U104" s="88"/>
      <c r="V104" s="106">
        <f t="shared" si="38"/>
        <v>0</v>
      </c>
    </row>
    <row r="105" spans="1:22" ht="15.75" customHeight="1" x14ac:dyDescent="0.25">
      <c r="A105" s="90" t="s">
        <v>395</v>
      </c>
      <c r="B105" s="88">
        <v>2</v>
      </c>
      <c r="C105" s="88">
        <v>7</v>
      </c>
      <c r="D105" s="88">
        <v>1</v>
      </c>
      <c r="E105" s="88">
        <v>47</v>
      </c>
      <c r="F105" s="106">
        <f t="shared" si="35"/>
        <v>57</v>
      </c>
      <c r="G105" s="88">
        <v>23</v>
      </c>
      <c r="H105" s="88">
        <v>3</v>
      </c>
      <c r="I105" s="88">
        <v>0</v>
      </c>
      <c r="J105" s="88">
        <v>0</v>
      </c>
      <c r="K105" s="88">
        <v>0</v>
      </c>
      <c r="L105" s="106">
        <f t="shared" si="36"/>
        <v>26</v>
      </c>
      <c r="M105" s="88">
        <v>0</v>
      </c>
      <c r="N105" s="88">
        <v>0</v>
      </c>
      <c r="O105" s="88">
        <v>0</v>
      </c>
      <c r="P105" s="88">
        <v>0</v>
      </c>
      <c r="Q105" s="106">
        <f t="shared" si="37"/>
        <v>0</v>
      </c>
      <c r="R105" s="88">
        <v>0</v>
      </c>
      <c r="S105" s="88">
        <v>0</v>
      </c>
      <c r="T105" s="88"/>
      <c r="U105" s="88"/>
      <c r="V105" s="106">
        <f t="shared" si="38"/>
        <v>0</v>
      </c>
    </row>
    <row r="106" spans="1:22" ht="15.75" customHeight="1" x14ac:dyDescent="0.25">
      <c r="A106" s="91" t="s">
        <v>396</v>
      </c>
      <c r="B106" s="88">
        <v>0</v>
      </c>
      <c r="C106" s="88">
        <v>0</v>
      </c>
      <c r="D106" s="88">
        <v>0</v>
      </c>
      <c r="E106" s="88">
        <v>0</v>
      </c>
      <c r="F106" s="106">
        <f t="shared" si="35"/>
        <v>0</v>
      </c>
      <c r="G106" s="88">
        <v>0</v>
      </c>
      <c r="H106" s="88">
        <v>0</v>
      </c>
      <c r="I106" s="88">
        <v>0</v>
      </c>
      <c r="J106" s="88">
        <v>0</v>
      </c>
      <c r="K106" s="88">
        <v>0</v>
      </c>
      <c r="L106" s="106">
        <f t="shared" si="36"/>
        <v>0</v>
      </c>
      <c r="M106" s="88">
        <v>0</v>
      </c>
      <c r="N106" s="88">
        <v>0</v>
      </c>
      <c r="O106" s="88">
        <v>0</v>
      </c>
      <c r="P106" s="88">
        <v>0</v>
      </c>
      <c r="Q106" s="106">
        <f t="shared" si="37"/>
        <v>0</v>
      </c>
      <c r="R106" s="88">
        <v>0</v>
      </c>
      <c r="S106" s="88">
        <v>0</v>
      </c>
      <c r="T106" s="88"/>
      <c r="U106" s="88"/>
      <c r="V106" s="106">
        <f t="shared" si="38"/>
        <v>0</v>
      </c>
    </row>
    <row r="107" spans="1:22" ht="15.75" customHeight="1" x14ac:dyDescent="0.25">
      <c r="A107" s="92" t="s">
        <v>397</v>
      </c>
      <c r="B107" s="88">
        <v>0</v>
      </c>
      <c r="C107" s="88">
        <v>0</v>
      </c>
      <c r="D107" s="88">
        <v>0</v>
      </c>
      <c r="E107" s="88">
        <v>0</v>
      </c>
      <c r="F107" s="106">
        <f t="shared" si="35"/>
        <v>0</v>
      </c>
      <c r="G107" s="88">
        <v>0</v>
      </c>
      <c r="H107" s="88">
        <v>0</v>
      </c>
      <c r="I107" s="88">
        <v>0</v>
      </c>
      <c r="J107" s="88">
        <v>0</v>
      </c>
      <c r="K107" s="88">
        <v>0</v>
      </c>
      <c r="L107" s="106">
        <f t="shared" si="36"/>
        <v>0</v>
      </c>
      <c r="M107" s="88">
        <v>0</v>
      </c>
      <c r="N107" s="88">
        <v>0</v>
      </c>
      <c r="O107" s="88">
        <v>0</v>
      </c>
      <c r="P107" s="88">
        <v>0</v>
      </c>
      <c r="Q107" s="106">
        <f t="shared" si="37"/>
        <v>0</v>
      </c>
      <c r="R107" s="88">
        <v>0</v>
      </c>
      <c r="S107" s="88">
        <v>0</v>
      </c>
      <c r="T107" s="88"/>
      <c r="U107" s="88"/>
      <c r="V107" s="106">
        <f t="shared" si="38"/>
        <v>0</v>
      </c>
    </row>
    <row r="108" spans="1:22" ht="15.75" customHeight="1" x14ac:dyDescent="0.25">
      <c r="A108" s="92" t="s">
        <v>398</v>
      </c>
      <c r="B108" s="88">
        <v>2</v>
      </c>
      <c r="C108" s="88">
        <v>1</v>
      </c>
      <c r="D108" s="88">
        <v>1</v>
      </c>
      <c r="E108" s="88">
        <v>0</v>
      </c>
      <c r="F108" s="106">
        <f t="shared" si="35"/>
        <v>4</v>
      </c>
      <c r="G108" s="88">
        <v>0</v>
      </c>
      <c r="H108" s="88">
        <v>0</v>
      </c>
      <c r="I108" s="88">
        <v>0</v>
      </c>
      <c r="J108" s="88">
        <v>0</v>
      </c>
      <c r="K108" s="88">
        <v>0</v>
      </c>
      <c r="L108" s="106">
        <f t="shared" si="36"/>
        <v>0</v>
      </c>
      <c r="M108" s="88">
        <v>0</v>
      </c>
      <c r="N108" s="88">
        <v>0</v>
      </c>
      <c r="O108" s="88">
        <v>0</v>
      </c>
      <c r="P108" s="88">
        <v>0</v>
      </c>
      <c r="Q108" s="106">
        <f t="shared" si="37"/>
        <v>0</v>
      </c>
      <c r="R108" s="88">
        <v>0</v>
      </c>
      <c r="S108" s="88">
        <v>0</v>
      </c>
      <c r="T108" s="88"/>
      <c r="U108" s="88"/>
      <c r="V108" s="106">
        <f t="shared" si="38"/>
        <v>0</v>
      </c>
    </row>
    <row r="109" spans="1:22" ht="15.75" customHeight="1" x14ac:dyDescent="0.25">
      <c r="A109" s="92" t="s">
        <v>399</v>
      </c>
      <c r="B109" s="88">
        <v>1</v>
      </c>
      <c r="C109" s="88">
        <v>0</v>
      </c>
      <c r="D109" s="88">
        <v>1</v>
      </c>
      <c r="E109" s="88">
        <v>1</v>
      </c>
      <c r="F109" s="106">
        <f t="shared" si="35"/>
        <v>3</v>
      </c>
      <c r="G109" s="88">
        <v>0</v>
      </c>
      <c r="H109" s="88">
        <v>0</v>
      </c>
      <c r="I109" s="88">
        <v>0</v>
      </c>
      <c r="J109" s="88">
        <v>0</v>
      </c>
      <c r="K109" s="88">
        <v>0</v>
      </c>
      <c r="L109" s="106">
        <f t="shared" si="36"/>
        <v>0</v>
      </c>
      <c r="M109" s="88">
        <v>0</v>
      </c>
      <c r="N109" s="88">
        <v>0</v>
      </c>
      <c r="O109" s="88">
        <v>0</v>
      </c>
      <c r="P109" s="88">
        <v>0</v>
      </c>
      <c r="Q109" s="106">
        <f t="shared" si="37"/>
        <v>0</v>
      </c>
      <c r="R109" s="88">
        <v>0</v>
      </c>
      <c r="S109" s="88">
        <v>0</v>
      </c>
      <c r="T109" s="88"/>
      <c r="U109" s="88"/>
      <c r="V109" s="106">
        <f t="shared" si="38"/>
        <v>0</v>
      </c>
    </row>
    <row r="110" spans="1:22" ht="15.75" customHeight="1" x14ac:dyDescent="0.25">
      <c r="A110" s="92" t="s">
        <v>400</v>
      </c>
      <c r="B110" s="88">
        <v>0</v>
      </c>
      <c r="C110" s="88">
        <v>4</v>
      </c>
      <c r="D110" s="88">
        <v>16</v>
      </c>
      <c r="E110" s="88">
        <v>30</v>
      </c>
      <c r="F110" s="106">
        <f t="shared" si="35"/>
        <v>50</v>
      </c>
      <c r="G110" s="88">
        <v>0</v>
      </c>
      <c r="H110" s="88">
        <v>0</v>
      </c>
      <c r="I110" s="88">
        <v>0</v>
      </c>
      <c r="J110" s="88">
        <v>0</v>
      </c>
      <c r="K110" s="88">
        <v>0</v>
      </c>
      <c r="L110" s="106">
        <f t="shared" si="36"/>
        <v>0</v>
      </c>
      <c r="M110" s="88">
        <v>0</v>
      </c>
      <c r="N110" s="88">
        <v>0</v>
      </c>
      <c r="O110" s="88">
        <v>0</v>
      </c>
      <c r="P110" s="88">
        <v>0</v>
      </c>
      <c r="Q110" s="106">
        <f t="shared" si="37"/>
        <v>0</v>
      </c>
      <c r="R110" s="88">
        <v>0</v>
      </c>
      <c r="S110" s="88">
        <v>0</v>
      </c>
      <c r="T110" s="88"/>
      <c r="U110" s="88"/>
      <c r="V110" s="106">
        <f t="shared" si="38"/>
        <v>0</v>
      </c>
    </row>
    <row r="111" spans="1:22" ht="15.75" customHeight="1" x14ac:dyDescent="0.25">
      <c r="A111" s="107" t="s">
        <v>401</v>
      </c>
      <c r="B111" s="108">
        <f>SUM(B102:B105)</f>
        <v>52</v>
      </c>
      <c r="C111" s="108">
        <f>SUM(C102:C105)</f>
        <v>152</v>
      </c>
      <c r="D111" s="108">
        <f>SUM(D102:D105)</f>
        <v>94</v>
      </c>
      <c r="E111" s="108">
        <f>SUM(E102:E105)</f>
        <v>371</v>
      </c>
      <c r="F111" s="108">
        <f>SUM(F102:F105)</f>
        <v>669</v>
      </c>
      <c r="G111" s="108">
        <f t="shared" ref="G111:V111" si="39">SUM(G102:G106)</f>
        <v>23</v>
      </c>
      <c r="H111" s="108">
        <f t="shared" si="39"/>
        <v>11</v>
      </c>
      <c r="I111" s="108">
        <f t="shared" si="39"/>
        <v>0</v>
      </c>
      <c r="J111" s="108">
        <f t="shared" si="39"/>
        <v>0</v>
      </c>
      <c r="K111" s="108">
        <f t="shared" si="39"/>
        <v>0</v>
      </c>
      <c r="L111" s="108">
        <f t="shared" si="39"/>
        <v>34</v>
      </c>
      <c r="M111" s="108">
        <f t="shared" si="39"/>
        <v>0</v>
      </c>
      <c r="N111" s="108">
        <f t="shared" si="39"/>
        <v>0</v>
      </c>
      <c r="O111" s="108">
        <f t="shared" si="39"/>
        <v>0</v>
      </c>
      <c r="P111" s="108">
        <f t="shared" si="39"/>
        <v>0</v>
      </c>
      <c r="Q111" s="108">
        <f t="shared" si="39"/>
        <v>0</v>
      </c>
      <c r="R111" s="108">
        <f t="shared" si="39"/>
        <v>0</v>
      </c>
      <c r="S111" s="108">
        <f t="shared" si="39"/>
        <v>0</v>
      </c>
      <c r="T111" s="108">
        <f t="shared" si="39"/>
        <v>0</v>
      </c>
      <c r="U111" s="108">
        <f t="shared" si="39"/>
        <v>0</v>
      </c>
      <c r="V111" s="108">
        <f t="shared" si="39"/>
        <v>0</v>
      </c>
    </row>
    <row r="112" spans="1:22" ht="15.75" customHeight="1" x14ac:dyDescent="0.25">
      <c r="A112" s="101"/>
      <c r="B112" s="98"/>
      <c r="C112" s="98"/>
      <c r="D112" s="98"/>
      <c r="E112" s="98"/>
      <c r="F112" s="98"/>
      <c r="G112" s="98"/>
      <c r="H112" s="98"/>
      <c r="I112" s="98"/>
      <c r="J112" s="98"/>
      <c r="K112" s="98"/>
      <c r="L112" s="98"/>
      <c r="M112" s="98"/>
      <c r="N112" s="98"/>
      <c r="O112" s="98"/>
      <c r="P112" s="98"/>
      <c r="Q112" s="98"/>
      <c r="R112" s="98"/>
      <c r="S112" s="98"/>
      <c r="T112" s="98"/>
      <c r="U112" s="98"/>
      <c r="V112" s="98"/>
    </row>
    <row r="113" spans="1:22" ht="15.75" customHeight="1" x14ac:dyDescent="0.25">
      <c r="A113" s="488" t="s">
        <v>387</v>
      </c>
      <c r="B113" s="478"/>
      <c r="C113" s="478"/>
      <c r="D113" s="478"/>
      <c r="E113" s="478"/>
      <c r="F113" s="478"/>
      <c r="G113" s="478"/>
      <c r="H113" s="478"/>
      <c r="I113" s="478"/>
      <c r="J113" s="478"/>
      <c r="K113" s="478"/>
      <c r="L113" s="478"/>
      <c r="M113" s="478"/>
      <c r="N113" s="478"/>
      <c r="O113" s="478"/>
      <c r="P113" s="478"/>
      <c r="Q113" s="478"/>
      <c r="R113" s="478"/>
      <c r="S113" s="478"/>
      <c r="T113" s="478"/>
      <c r="U113" s="478"/>
      <c r="V113" s="478"/>
    </row>
    <row r="114" spans="1:22" ht="15.75" customHeight="1" x14ac:dyDescent="0.25">
      <c r="A114" s="484" t="s">
        <v>338</v>
      </c>
      <c r="B114" s="484" t="s">
        <v>388</v>
      </c>
      <c r="C114" s="485"/>
      <c r="D114" s="485"/>
      <c r="E114" s="485"/>
      <c r="F114" s="486"/>
      <c r="G114" s="484" t="s">
        <v>389</v>
      </c>
      <c r="H114" s="485"/>
      <c r="I114" s="485"/>
      <c r="J114" s="485"/>
      <c r="K114" s="485"/>
      <c r="L114" s="486"/>
      <c r="M114" s="484" t="s">
        <v>390</v>
      </c>
      <c r="N114" s="485"/>
      <c r="O114" s="485"/>
      <c r="P114" s="485"/>
      <c r="Q114" s="486"/>
      <c r="R114" s="484" t="s">
        <v>391</v>
      </c>
      <c r="S114" s="485"/>
      <c r="T114" s="485"/>
      <c r="U114" s="485"/>
      <c r="V114" s="486"/>
    </row>
    <row r="115" spans="1:22" ht="15.75" customHeight="1" x14ac:dyDescent="0.25">
      <c r="A115" s="487"/>
      <c r="B115" s="96">
        <v>44900</v>
      </c>
      <c r="C115" s="96">
        <v>44907</v>
      </c>
      <c r="D115" s="96">
        <v>44914</v>
      </c>
      <c r="E115" s="96">
        <v>44921</v>
      </c>
      <c r="F115" s="97" t="s">
        <v>129</v>
      </c>
      <c r="G115" s="96">
        <v>44563</v>
      </c>
      <c r="H115" s="96">
        <v>44570</v>
      </c>
      <c r="I115" s="96">
        <v>44577</v>
      </c>
      <c r="J115" s="96">
        <v>44584</v>
      </c>
      <c r="K115" s="96">
        <v>44591</v>
      </c>
      <c r="L115" s="97" t="s">
        <v>129</v>
      </c>
      <c r="M115" s="96">
        <v>44598</v>
      </c>
      <c r="N115" s="96">
        <v>44605</v>
      </c>
      <c r="O115" s="96">
        <v>44612</v>
      </c>
      <c r="P115" s="96">
        <v>44619</v>
      </c>
      <c r="Q115" s="97" t="s">
        <v>129</v>
      </c>
      <c r="R115" s="96">
        <v>44626</v>
      </c>
      <c r="S115" s="96">
        <v>44633</v>
      </c>
      <c r="T115" s="96">
        <v>44640</v>
      </c>
      <c r="U115" s="96">
        <v>44647</v>
      </c>
      <c r="V115" s="97" t="s">
        <v>129</v>
      </c>
    </row>
    <row r="116" spans="1:22" ht="15.75" customHeight="1" x14ac:dyDescent="0.25">
      <c r="A116" s="87" t="s">
        <v>392</v>
      </c>
      <c r="B116" s="105">
        <v>180</v>
      </c>
      <c r="C116" s="88">
        <v>80</v>
      </c>
      <c r="D116" s="88">
        <v>120</v>
      </c>
      <c r="E116" s="88">
        <v>20</v>
      </c>
      <c r="F116" s="106">
        <f t="shared" ref="F116:F124" si="40">B116+C116+D116+E116</f>
        <v>400</v>
      </c>
      <c r="G116" s="88">
        <v>0</v>
      </c>
      <c r="H116" s="88">
        <v>0</v>
      </c>
      <c r="I116" s="88">
        <v>0</v>
      </c>
      <c r="J116" s="88">
        <v>0</v>
      </c>
      <c r="K116" s="88">
        <v>0</v>
      </c>
      <c r="L116" s="106">
        <f t="shared" ref="L116:L124" si="41">G116+H116+I116+J116+K116</f>
        <v>0</v>
      </c>
      <c r="M116" s="88">
        <v>0</v>
      </c>
      <c r="N116" s="88">
        <v>0</v>
      </c>
      <c r="O116" s="88">
        <v>0</v>
      </c>
      <c r="P116" s="88">
        <v>0</v>
      </c>
      <c r="Q116" s="106">
        <f t="shared" ref="Q116:Q124" si="42">M116+N116+O116+P116</f>
        <v>0</v>
      </c>
      <c r="R116" s="88">
        <v>0</v>
      </c>
      <c r="S116" s="88">
        <v>0</v>
      </c>
      <c r="T116" s="88"/>
      <c r="U116" s="88"/>
      <c r="V116" s="106">
        <f t="shared" ref="V116:V124" si="43">R116+S116+T116+U116</f>
        <v>0</v>
      </c>
    </row>
    <row r="117" spans="1:22" ht="15.75" customHeight="1" x14ac:dyDescent="0.25">
      <c r="A117" s="90" t="s">
        <v>393</v>
      </c>
      <c r="B117" s="88">
        <v>164</v>
      </c>
      <c r="C117" s="88">
        <v>176</v>
      </c>
      <c r="D117" s="88">
        <v>260</v>
      </c>
      <c r="E117" s="88">
        <v>0</v>
      </c>
      <c r="F117" s="106">
        <f t="shared" si="40"/>
        <v>600</v>
      </c>
      <c r="G117" s="88">
        <v>0</v>
      </c>
      <c r="H117" s="88">
        <v>0</v>
      </c>
      <c r="I117" s="88">
        <v>0</v>
      </c>
      <c r="J117" s="88">
        <v>0</v>
      </c>
      <c r="K117" s="88">
        <v>0</v>
      </c>
      <c r="L117" s="106">
        <f t="shared" si="41"/>
        <v>0</v>
      </c>
      <c r="M117" s="88">
        <v>0</v>
      </c>
      <c r="N117" s="88">
        <v>0</v>
      </c>
      <c r="O117" s="88">
        <v>0</v>
      </c>
      <c r="P117" s="88">
        <v>0</v>
      </c>
      <c r="Q117" s="106">
        <f t="shared" si="42"/>
        <v>0</v>
      </c>
      <c r="R117" s="88">
        <v>0</v>
      </c>
      <c r="S117" s="88">
        <v>0</v>
      </c>
      <c r="T117" s="88"/>
      <c r="U117" s="88"/>
      <c r="V117" s="106">
        <f t="shared" si="43"/>
        <v>0</v>
      </c>
    </row>
    <row r="118" spans="1:22" ht="15.75" customHeight="1" x14ac:dyDescent="0.25">
      <c r="A118" s="90" t="s">
        <v>394</v>
      </c>
      <c r="B118" s="88">
        <v>170</v>
      </c>
      <c r="C118" s="88">
        <v>110</v>
      </c>
      <c r="D118" s="88">
        <v>120</v>
      </c>
      <c r="E118" s="88">
        <v>0</v>
      </c>
      <c r="F118" s="106">
        <f t="shared" si="40"/>
        <v>400</v>
      </c>
      <c r="G118" s="88">
        <v>0</v>
      </c>
      <c r="H118" s="88">
        <v>0</v>
      </c>
      <c r="I118" s="88">
        <v>0</v>
      </c>
      <c r="J118" s="88">
        <v>0</v>
      </c>
      <c r="K118" s="88">
        <v>0</v>
      </c>
      <c r="L118" s="106">
        <f t="shared" si="41"/>
        <v>0</v>
      </c>
      <c r="M118" s="88">
        <v>0</v>
      </c>
      <c r="N118" s="88">
        <v>0</v>
      </c>
      <c r="O118" s="88">
        <v>0</v>
      </c>
      <c r="P118" s="88">
        <v>0</v>
      </c>
      <c r="Q118" s="106">
        <f t="shared" si="42"/>
        <v>0</v>
      </c>
      <c r="R118" s="88">
        <v>0</v>
      </c>
      <c r="S118" s="88">
        <v>0</v>
      </c>
      <c r="T118" s="88"/>
      <c r="U118" s="88"/>
      <c r="V118" s="106">
        <f t="shared" si="43"/>
        <v>0</v>
      </c>
    </row>
    <row r="119" spans="1:22" ht="18" customHeight="1" x14ac:dyDescent="0.25">
      <c r="A119" s="90" t="s">
        <v>395</v>
      </c>
      <c r="B119" s="88">
        <v>100</v>
      </c>
      <c r="C119" s="88">
        <v>0</v>
      </c>
      <c r="D119" s="88">
        <v>100</v>
      </c>
      <c r="E119" s="88">
        <v>100</v>
      </c>
      <c r="F119" s="106">
        <f t="shared" si="40"/>
        <v>300</v>
      </c>
      <c r="G119" s="88">
        <v>0</v>
      </c>
      <c r="H119" s="88">
        <v>0</v>
      </c>
      <c r="I119" s="88">
        <v>0</v>
      </c>
      <c r="J119" s="88">
        <v>0</v>
      </c>
      <c r="K119" s="88">
        <v>0</v>
      </c>
      <c r="L119" s="106">
        <f t="shared" si="41"/>
        <v>0</v>
      </c>
      <c r="M119" s="88">
        <v>0</v>
      </c>
      <c r="N119" s="88">
        <v>0</v>
      </c>
      <c r="O119" s="88">
        <v>0</v>
      </c>
      <c r="P119" s="88">
        <v>0</v>
      </c>
      <c r="Q119" s="106">
        <f t="shared" si="42"/>
        <v>0</v>
      </c>
      <c r="R119" s="88">
        <v>0</v>
      </c>
      <c r="S119" s="88">
        <v>0</v>
      </c>
      <c r="T119" s="88"/>
      <c r="U119" s="88"/>
      <c r="V119" s="106">
        <f t="shared" si="43"/>
        <v>0</v>
      </c>
    </row>
    <row r="120" spans="1:22" ht="18" customHeight="1" x14ac:dyDescent="0.25">
      <c r="A120" s="91" t="s">
        <v>396</v>
      </c>
      <c r="B120" s="88">
        <v>0</v>
      </c>
      <c r="C120" s="88">
        <v>0</v>
      </c>
      <c r="D120" s="88">
        <v>0</v>
      </c>
      <c r="E120" s="88">
        <v>0</v>
      </c>
      <c r="F120" s="106">
        <f t="shared" si="40"/>
        <v>0</v>
      </c>
      <c r="G120" s="88">
        <v>0</v>
      </c>
      <c r="H120" s="88">
        <v>0</v>
      </c>
      <c r="I120" s="88">
        <v>0</v>
      </c>
      <c r="J120" s="88">
        <v>0</v>
      </c>
      <c r="K120" s="88">
        <v>0</v>
      </c>
      <c r="L120" s="106">
        <f t="shared" si="41"/>
        <v>0</v>
      </c>
      <c r="M120" s="88">
        <v>0</v>
      </c>
      <c r="N120" s="88">
        <v>0</v>
      </c>
      <c r="O120" s="88">
        <v>0</v>
      </c>
      <c r="P120" s="88">
        <v>0</v>
      </c>
      <c r="Q120" s="106">
        <f t="shared" si="42"/>
        <v>0</v>
      </c>
      <c r="R120" s="88">
        <v>0</v>
      </c>
      <c r="S120" s="88">
        <v>0</v>
      </c>
      <c r="T120" s="88"/>
      <c r="U120" s="88"/>
      <c r="V120" s="106">
        <f t="shared" si="43"/>
        <v>0</v>
      </c>
    </row>
    <row r="121" spans="1:22" ht="15.75" customHeight="1" x14ac:dyDescent="0.25">
      <c r="A121" s="92" t="s">
        <v>397</v>
      </c>
      <c r="B121" s="88">
        <v>0</v>
      </c>
      <c r="C121" s="88">
        <v>0</v>
      </c>
      <c r="D121" s="88">
        <v>0</v>
      </c>
      <c r="E121" s="88">
        <v>0</v>
      </c>
      <c r="F121" s="106">
        <f t="shared" si="40"/>
        <v>0</v>
      </c>
      <c r="G121" s="88">
        <v>0</v>
      </c>
      <c r="H121" s="88">
        <v>0</v>
      </c>
      <c r="I121" s="88">
        <v>0</v>
      </c>
      <c r="J121" s="88">
        <v>0</v>
      </c>
      <c r="K121" s="88">
        <v>0</v>
      </c>
      <c r="L121" s="106">
        <f t="shared" si="41"/>
        <v>0</v>
      </c>
      <c r="M121" s="88">
        <v>0</v>
      </c>
      <c r="N121" s="88">
        <v>0</v>
      </c>
      <c r="O121" s="88">
        <v>0</v>
      </c>
      <c r="P121" s="88">
        <v>0</v>
      </c>
      <c r="Q121" s="106">
        <f t="shared" si="42"/>
        <v>0</v>
      </c>
      <c r="R121" s="88">
        <v>0</v>
      </c>
      <c r="S121" s="88">
        <v>0</v>
      </c>
      <c r="T121" s="88"/>
      <c r="U121" s="88"/>
      <c r="V121" s="106">
        <f t="shared" si="43"/>
        <v>0</v>
      </c>
    </row>
    <row r="122" spans="1:22" ht="15.75" customHeight="1" x14ac:dyDescent="0.25">
      <c r="A122" s="92" t="s">
        <v>398</v>
      </c>
      <c r="B122" s="88">
        <v>1</v>
      </c>
      <c r="C122" s="88">
        <v>2</v>
      </c>
      <c r="D122" s="88">
        <v>2</v>
      </c>
      <c r="E122" s="88">
        <v>0</v>
      </c>
      <c r="F122" s="106">
        <f t="shared" si="40"/>
        <v>5</v>
      </c>
      <c r="G122" s="88">
        <v>0</v>
      </c>
      <c r="H122" s="88">
        <v>0</v>
      </c>
      <c r="I122" s="88">
        <v>0</v>
      </c>
      <c r="J122" s="88">
        <v>0</v>
      </c>
      <c r="K122" s="88">
        <v>0</v>
      </c>
      <c r="L122" s="106">
        <f t="shared" si="41"/>
        <v>0</v>
      </c>
      <c r="M122" s="88">
        <v>0</v>
      </c>
      <c r="N122" s="88">
        <v>0</v>
      </c>
      <c r="O122" s="88">
        <v>0</v>
      </c>
      <c r="P122" s="88">
        <v>0</v>
      </c>
      <c r="Q122" s="106">
        <f t="shared" si="42"/>
        <v>0</v>
      </c>
      <c r="R122" s="88">
        <v>0</v>
      </c>
      <c r="S122" s="88">
        <v>0</v>
      </c>
      <c r="T122" s="88"/>
      <c r="U122" s="88"/>
      <c r="V122" s="106">
        <f t="shared" si="43"/>
        <v>0</v>
      </c>
    </row>
    <row r="123" spans="1:22" ht="15.75" customHeight="1" x14ac:dyDescent="0.25">
      <c r="A123" s="92" t="s">
        <v>399</v>
      </c>
      <c r="B123" s="88">
        <v>1</v>
      </c>
      <c r="C123" s="88">
        <v>1</v>
      </c>
      <c r="D123" s="88">
        <v>2</v>
      </c>
      <c r="E123" s="88">
        <v>2</v>
      </c>
      <c r="F123" s="106">
        <f t="shared" si="40"/>
        <v>6</v>
      </c>
      <c r="G123" s="88">
        <v>0</v>
      </c>
      <c r="H123" s="88">
        <v>0</v>
      </c>
      <c r="I123" s="88">
        <v>0</v>
      </c>
      <c r="J123" s="88">
        <v>0</v>
      </c>
      <c r="K123" s="88">
        <v>0</v>
      </c>
      <c r="L123" s="106">
        <f t="shared" si="41"/>
        <v>0</v>
      </c>
      <c r="M123" s="88">
        <v>0</v>
      </c>
      <c r="N123" s="88">
        <v>0</v>
      </c>
      <c r="O123" s="88">
        <v>0</v>
      </c>
      <c r="P123" s="88">
        <v>0</v>
      </c>
      <c r="Q123" s="106">
        <f t="shared" si="42"/>
        <v>0</v>
      </c>
      <c r="R123" s="88">
        <v>0</v>
      </c>
      <c r="S123" s="88">
        <v>0</v>
      </c>
      <c r="T123" s="88"/>
      <c r="U123" s="88"/>
      <c r="V123" s="106">
        <f t="shared" si="43"/>
        <v>0</v>
      </c>
    </row>
    <row r="124" spans="1:22" ht="15.75" customHeight="1" x14ac:dyDescent="0.25">
      <c r="A124" s="92" t="s">
        <v>400</v>
      </c>
      <c r="B124" s="88">
        <v>0</v>
      </c>
      <c r="C124" s="88">
        <v>0</v>
      </c>
      <c r="D124" s="88">
        <v>50</v>
      </c>
      <c r="E124" s="88">
        <v>0</v>
      </c>
      <c r="F124" s="106">
        <f t="shared" si="40"/>
        <v>50</v>
      </c>
      <c r="G124" s="88">
        <v>0</v>
      </c>
      <c r="H124" s="88">
        <v>0</v>
      </c>
      <c r="I124" s="88">
        <v>0</v>
      </c>
      <c r="J124" s="88">
        <v>0</v>
      </c>
      <c r="K124" s="88">
        <v>0</v>
      </c>
      <c r="L124" s="106">
        <f t="shared" si="41"/>
        <v>0</v>
      </c>
      <c r="M124" s="88">
        <v>0</v>
      </c>
      <c r="N124" s="88">
        <v>0</v>
      </c>
      <c r="O124" s="88">
        <v>0</v>
      </c>
      <c r="P124" s="88">
        <v>0</v>
      </c>
      <c r="Q124" s="106">
        <f t="shared" si="42"/>
        <v>0</v>
      </c>
      <c r="R124" s="88">
        <v>0</v>
      </c>
      <c r="S124" s="88">
        <v>0</v>
      </c>
      <c r="T124" s="88"/>
      <c r="U124" s="88"/>
      <c r="V124" s="106">
        <f t="shared" si="43"/>
        <v>0</v>
      </c>
    </row>
    <row r="125" spans="1:22" ht="15.75" customHeight="1" x14ac:dyDescent="0.25">
      <c r="A125" s="107" t="s">
        <v>401</v>
      </c>
      <c r="B125" s="108">
        <f>SUM(B116:B119)</f>
        <v>614</v>
      </c>
      <c r="C125" s="108">
        <f>SUM(C116:C119)</f>
        <v>366</v>
      </c>
      <c r="D125" s="108">
        <f>SUM(D116:D119)</f>
        <v>600</v>
      </c>
      <c r="E125" s="108">
        <f>SUM(E116:E119)</f>
        <v>120</v>
      </c>
      <c r="F125" s="108">
        <f>SUM(F116:F119)</f>
        <v>1700</v>
      </c>
      <c r="G125" s="108">
        <f t="shared" ref="G125:V125" si="44">SUM(G116:G120)</f>
        <v>0</v>
      </c>
      <c r="H125" s="108">
        <f t="shared" si="44"/>
        <v>0</v>
      </c>
      <c r="I125" s="108">
        <f t="shared" si="44"/>
        <v>0</v>
      </c>
      <c r="J125" s="108">
        <f t="shared" si="44"/>
        <v>0</v>
      </c>
      <c r="K125" s="108">
        <f t="shared" si="44"/>
        <v>0</v>
      </c>
      <c r="L125" s="108">
        <f t="shared" si="44"/>
        <v>0</v>
      </c>
      <c r="M125" s="108">
        <f t="shared" si="44"/>
        <v>0</v>
      </c>
      <c r="N125" s="108">
        <f t="shared" si="44"/>
        <v>0</v>
      </c>
      <c r="O125" s="108">
        <f t="shared" si="44"/>
        <v>0</v>
      </c>
      <c r="P125" s="108">
        <f t="shared" si="44"/>
        <v>0</v>
      </c>
      <c r="Q125" s="108">
        <f t="shared" si="44"/>
        <v>0</v>
      </c>
      <c r="R125" s="108">
        <f t="shared" si="44"/>
        <v>0</v>
      </c>
      <c r="S125" s="108">
        <f t="shared" si="44"/>
        <v>0</v>
      </c>
      <c r="T125" s="108">
        <f t="shared" si="44"/>
        <v>0</v>
      </c>
      <c r="U125" s="108">
        <f t="shared" si="44"/>
        <v>0</v>
      </c>
      <c r="V125" s="108">
        <f t="shared" si="44"/>
        <v>0</v>
      </c>
    </row>
    <row r="126" spans="1:22" ht="15.75" customHeight="1" x14ac:dyDescent="0.25">
      <c r="A126" s="101"/>
      <c r="B126" s="98"/>
      <c r="C126" s="98"/>
      <c r="D126" s="98"/>
      <c r="E126" s="98"/>
      <c r="F126" s="98"/>
      <c r="G126" s="98"/>
      <c r="H126" s="98"/>
      <c r="I126" s="98"/>
      <c r="J126" s="98"/>
      <c r="K126" s="98"/>
      <c r="L126" s="98"/>
      <c r="M126" s="98"/>
      <c r="N126" s="98"/>
      <c r="O126" s="98"/>
      <c r="P126" s="98"/>
      <c r="Q126" s="98"/>
      <c r="R126" s="98"/>
      <c r="S126" s="98"/>
      <c r="T126" s="98"/>
      <c r="U126" s="98"/>
      <c r="V126" s="98"/>
    </row>
    <row r="127" spans="1:22" ht="15.75" customHeight="1" x14ac:dyDescent="0.25">
      <c r="A127" s="488" t="s">
        <v>387</v>
      </c>
      <c r="B127" s="478"/>
      <c r="C127" s="478"/>
      <c r="D127" s="478"/>
      <c r="E127" s="478"/>
      <c r="F127" s="478"/>
      <c r="G127" s="478"/>
      <c r="H127" s="478"/>
      <c r="I127" s="478"/>
      <c r="J127" s="478"/>
      <c r="K127" s="478"/>
      <c r="L127" s="478"/>
      <c r="M127" s="478"/>
      <c r="N127" s="478"/>
      <c r="O127" s="478"/>
      <c r="P127" s="478"/>
      <c r="Q127" s="478"/>
      <c r="R127" s="478"/>
      <c r="S127" s="478"/>
      <c r="T127" s="478"/>
      <c r="U127" s="478"/>
      <c r="V127" s="478"/>
    </row>
    <row r="128" spans="1:22" ht="15.75" customHeight="1" x14ac:dyDescent="0.25">
      <c r="A128" s="484" t="s">
        <v>404</v>
      </c>
      <c r="B128" s="484" t="s">
        <v>388</v>
      </c>
      <c r="C128" s="485"/>
      <c r="D128" s="485"/>
      <c r="E128" s="485"/>
      <c r="F128" s="486"/>
      <c r="G128" s="484" t="s">
        <v>389</v>
      </c>
      <c r="H128" s="485"/>
      <c r="I128" s="485"/>
      <c r="J128" s="485"/>
      <c r="K128" s="485"/>
      <c r="L128" s="486"/>
      <c r="M128" s="484" t="s">
        <v>390</v>
      </c>
      <c r="N128" s="485"/>
      <c r="O128" s="485"/>
      <c r="P128" s="485"/>
      <c r="Q128" s="486"/>
      <c r="R128" s="484" t="s">
        <v>391</v>
      </c>
      <c r="S128" s="485"/>
      <c r="T128" s="485"/>
      <c r="U128" s="485"/>
      <c r="V128" s="486"/>
    </row>
    <row r="129" spans="1:22" ht="15.75" customHeight="1" x14ac:dyDescent="0.25">
      <c r="A129" s="487"/>
      <c r="B129" s="96">
        <v>44900</v>
      </c>
      <c r="C129" s="96">
        <v>44907</v>
      </c>
      <c r="D129" s="96">
        <v>44914</v>
      </c>
      <c r="E129" s="96">
        <v>44921</v>
      </c>
      <c r="F129" s="97" t="s">
        <v>129</v>
      </c>
      <c r="G129" s="96">
        <v>44563</v>
      </c>
      <c r="H129" s="96">
        <v>44570</v>
      </c>
      <c r="I129" s="96">
        <v>44577</v>
      </c>
      <c r="J129" s="96">
        <v>44584</v>
      </c>
      <c r="K129" s="96">
        <v>44591</v>
      </c>
      <c r="L129" s="97" t="s">
        <v>129</v>
      </c>
      <c r="M129" s="96">
        <v>44598</v>
      </c>
      <c r="N129" s="96">
        <v>44605</v>
      </c>
      <c r="O129" s="96">
        <v>44612</v>
      </c>
      <c r="P129" s="96">
        <v>44619</v>
      </c>
      <c r="Q129" s="97" t="s">
        <v>129</v>
      </c>
      <c r="R129" s="96">
        <v>44626</v>
      </c>
      <c r="S129" s="96">
        <v>44633</v>
      </c>
      <c r="T129" s="96">
        <v>44640</v>
      </c>
      <c r="U129" s="96">
        <v>44647</v>
      </c>
      <c r="V129" s="97" t="s">
        <v>129</v>
      </c>
    </row>
    <row r="130" spans="1:22" ht="15.75" customHeight="1" x14ac:dyDescent="0.25">
      <c r="A130" s="87" t="s">
        <v>392</v>
      </c>
      <c r="B130" s="105">
        <v>690</v>
      </c>
      <c r="C130" s="88">
        <v>510</v>
      </c>
      <c r="D130" s="88">
        <v>0</v>
      </c>
      <c r="E130" s="88">
        <v>0</v>
      </c>
      <c r="F130" s="106">
        <f t="shared" ref="F130:F140" si="45">B130+C130+D130+E130</f>
        <v>1200</v>
      </c>
      <c r="G130" s="88">
        <v>0</v>
      </c>
      <c r="H130" s="88">
        <v>0</v>
      </c>
      <c r="I130" s="88">
        <v>0</v>
      </c>
      <c r="J130" s="88">
        <v>0</v>
      </c>
      <c r="K130" s="88">
        <v>0</v>
      </c>
      <c r="L130" s="106">
        <f t="shared" ref="L130:L138" si="46">G130+H130+I130+J130+K130</f>
        <v>0</v>
      </c>
      <c r="M130" s="88">
        <v>0</v>
      </c>
      <c r="N130" s="88">
        <v>0</v>
      </c>
      <c r="O130" s="88">
        <v>0</v>
      </c>
      <c r="P130" s="88">
        <v>0</v>
      </c>
      <c r="Q130" s="106">
        <f t="shared" ref="Q130:Q140" si="47">M130+N130+O130+P130</f>
        <v>0</v>
      </c>
      <c r="R130" s="88">
        <v>0</v>
      </c>
      <c r="S130" s="88">
        <v>0</v>
      </c>
      <c r="T130" s="88"/>
      <c r="U130" s="88"/>
      <c r="V130" s="106">
        <f t="shared" ref="V130:V140" si="48">R130+S130+T130+U130</f>
        <v>0</v>
      </c>
    </row>
    <row r="131" spans="1:22" ht="15.75" customHeight="1" x14ac:dyDescent="0.25">
      <c r="A131" s="90" t="s">
        <v>393</v>
      </c>
      <c r="B131" s="88">
        <v>1211</v>
      </c>
      <c r="C131" s="88">
        <v>389</v>
      </c>
      <c r="D131" s="88">
        <v>0</v>
      </c>
      <c r="E131" s="88">
        <v>0</v>
      </c>
      <c r="F131" s="106">
        <f t="shared" si="45"/>
        <v>1600</v>
      </c>
      <c r="G131" s="88">
        <v>0</v>
      </c>
      <c r="H131" s="88">
        <v>0</v>
      </c>
      <c r="I131" s="88">
        <v>0</v>
      </c>
      <c r="J131" s="88">
        <v>0</v>
      </c>
      <c r="K131" s="88">
        <v>0</v>
      </c>
      <c r="L131" s="106">
        <f t="shared" si="46"/>
        <v>0</v>
      </c>
      <c r="M131" s="88">
        <v>0</v>
      </c>
      <c r="N131" s="88">
        <v>0</v>
      </c>
      <c r="O131" s="88">
        <v>0</v>
      </c>
      <c r="P131" s="88">
        <v>0</v>
      </c>
      <c r="Q131" s="106">
        <f t="shared" si="47"/>
        <v>0</v>
      </c>
      <c r="R131" s="88">
        <v>0</v>
      </c>
      <c r="S131" s="88">
        <v>0</v>
      </c>
      <c r="T131" s="88"/>
      <c r="U131" s="88"/>
      <c r="V131" s="106">
        <f t="shared" si="48"/>
        <v>0</v>
      </c>
    </row>
    <row r="132" spans="1:22" ht="15.75" customHeight="1" x14ac:dyDescent="0.25">
      <c r="A132" s="90" t="s">
        <v>394</v>
      </c>
      <c r="B132" s="88">
        <v>1156</v>
      </c>
      <c r="C132" s="88">
        <v>202</v>
      </c>
      <c r="D132" s="88">
        <v>442</v>
      </c>
      <c r="E132" s="88">
        <v>0</v>
      </c>
      <c r="F132" s="106">
        <f t="shared" si="45"/>
        <v>1800</v>
      </c>
      <c r="G132" s="88">
        <v>0</v>
      </c>
      <c r="H132" s="88">
        <v>0</v>
      </c>
      <c r="I132" s="88">
        <v>0</v>
      </c>
      <c r="J132" s="88">
        <v>0</v>
      </c>
      <c r="K132" s="88">
        <v>0</v>
      </c>
      <c r="L132" s="106">
        <f t="shared" si="46"/>
        <v>0</v>
      </c>
      <c r="M132" s="88">
        <v>0</v>
      </c>
      <c r="N132" s="88">
        <v>0</v>
      </c>
      <c r="O132" s="88">
        <v>0</v>
      </c>
      <c r="P132" s="88">
        <v>0</v>
      </c>
      <c r="Q132" s="106">
        <f t="shared" si="47"/>
        <v>0</v>
      </c>
      <c r="R132" s="88">
        <v>0</v>
      </c>
      <c r="S132" s="88">
        <v>0</v>
      </c>
      <c r="T132" s="88"/>
      <c r="U132" s="88"/>
      <c r="V132" s="106">
        <f t="shared" si="48"/>
        <v>0</v>
      </c>
    </row>
    <row r="133" spans="1:22" ht="15.75" customHeight="1" x14ac:dyDescent="0.25">
      <c r="A133" s="90" t="s">
        <v>395</v>
      </c>
      <c r="B133" s="88">
        <v>653</v>
      </c>
      <c r="C133" s="88">
        <v>157</v>
      </c>
      <c r="D133" s="88">
        <v>73</v>
      </c>
      <c r="E133" s="88">
        <v>260</v>
      </c>
      <c r="F133" s="106">
        <f t="shared" si="45"/>
        <v>1143</v>
      </c>
      <c r="G133" s="88">
        <v>176</v>
      </c>
      <c r="H133" s="88">
        <v>288</v>
      </c>
      <c r="I133" s="88">
        <v>43</v>
      </c>
      <c r="J133" s="88">
        <v>48</v>
      </c>
      <c r="K133" s="88">
        <v>204</v>
      </c>
      <c r="L133" s="106">
        <f t="shared" si="46"/>
        <v>759</v>
      </c>
      <c r="M133" s="88">
        <v>125</v>
      </c>
      <c r="N133" s="88">
        <v>186</v>
      </c>
      <c r="O133" s="88">
        <v>123</v>
      </c>
      <c r="P133" s="88">
        <v>168</v>
      </c>
      <c r="Q133" s="106">
        <f t="shared" si="47"/>
        <v>602</v>
      </c>
      <c r="R133" s="88">
        <v>76</v>
      </c>
      <c r="S133" s="88">
        <v>53</v>
      </c>
      <c r="T133" s="88"/>
      <c r="U133" s="88"/>
      <c r="V133" s="106">
        <f t="shared" si="48"/>
        <v>129</v>
      </c>
    </row>
    <row r="134" spans="1:22" ht="15.75" customHeight="1" x14ac:dyDescent="0.25">
      <c r="A134" s="91" t="s">
        <v>405</v>
      </c>
      <c r="B134" s="88">
        <v>200</v>
      </c>
      <c r="C134" s="88">
        <v>0</v>
      </c>
      <c r="D134" s="88">
        <v>2</v>
      </c>
      <c r="E134" s="88">
        <v>48</v>
      </c>
      <c r="F134" s="106">
        <f t="shared" si="45"/>
        <v>250</v>
      </c>
      <c r="G134" s="88">
        <v>0</v>
      </c>
      <c r="H134" s="88">
        <v>0</v>
      </c>
      <c r="I134" s="88">
        <v>0</v>
      </c>
      <c r="J134" s="88">
        <v>0</v>
      </c>
      <c r="K134" s="88">
        <v>0</v>
      </c>
      <c r="L134" s="106">
        <f t="shared" si="46"/>
        <v>0</v>
      </c>
      <c r="M134" s="88">
        <v>0</v>
      </c>
      <c r="N134" s="88">
        <v>0</v>
      </c>
      <c r="O134" s="88">
        <v>0</v>
      </c>
      <c r="P134" s="88">
        <v>0</v>
      </c>
      <c r="Q134" s="106">
        <f t="shared" si="47"/>
        <v>0</v>
      </c>
      <c r="R134" s="88">
        <v>0</v>
      </c>
      <c r="S134" s="88">
        <v>0</v>
      </c>
      <c r="T134" s="88"/>
      <c r="U134" s="88"/>
      <c r="V134" s="106">
        <f t="shared" si="48"/>
        <v>0</v>
      </c>
    </row>
    <row r="135" spans="1:22" ht="15.75" customHeight="1" x14ac:dyDescent="0.25">
      <c r="A135" s="91" t="s">
        <v>406</v>
      </c>
      <c r="B135" s="88">
        <v>150</v>
      </c>
      <c r="C135" s="88">
        <v>0</v>
      </c>
      <c r="D135" s="88">
        <v>1</v>
      </c>
      <c r="E135" s="88">
        <v>48</v>
      </c>
      <c r="F135" s="106">
        <f t="shared" si="45"/>
        <v>199</v>
      </c>
      <c r="G135" s="88">
        <v>0</v>
      </c>
      <c r="H135" s="88">
        <v>0</v>
      </c>
      <c r="I135" s="88">
        <v>0</v>
      </c>
      <c r="J135" s="88">
        <v>0</v>
      </c>
      <c r="K135" s="88">
        <v>0</v>
      </c>
      <c r="L135" s="106">
        <f t="shared" si="46"/>
        <v>0</v>
      </c>
      <c r="M135" s="88">
        <v>0</v>
      </c>
      <c r="N135" s="88">
        <v>0</v>
      </c>
      <c r="O135" s="88">
        <v>0</v>
      </c>
      <c r="P135" s="88">
        <v>0</v>
      </c>
      <c r="Q135" s="106">
        <f t="shared" si="47"/>
        <v>0</v>
      </c>
      <c r="R135" s="88">
        <v>0</v>
      </c>
      <c r="S135" s="88">
        <v>0</v>
      </c>
      <c r="T135" s="88"/>
      <c r="U135" s="88"/>
      <c r="V135" s="106">
        <f t="shared" si="48"/>
        <v>0</v>
      </c>
    </row>
    <row r="136" spans="1:22" ht="18" customHeight="1" x14ac:dyDescent="0.25">
      <c r="A136" s="92" t="s">
        <v>407</v>
      </c>
      <c r="B136" s="88">
        <v>11</v>
      </c>
      <c r="C136" s="88">
        <v>2</v>
      </c>
      <c r="D136" s="88">
        <v>2</v>
      </c>
      <c r="E136" s="88">
        <v>0</v>
      </c>
      <c r="F136" s="106">
        <f t="shared" si="45"/>
        <v>15</v>
      </c>
      <c r="G136" s="88">
        <v>0</v>
      </c>
      <c r="H136" s="88">
        <v>0</v>
      </c>
      <c r="I136" s="88">
        <v>0</v>
      </c>
      <c r="J136" s="88">
        <v>0</v>
      </c>
      <c r="K136" s="88">
        <v>0</v>
      </c>
      <c r="L136" s="106">
        <f t="shared" si="46"/>
        <v>0</v>
      </c>
      <c r="M136" s="88">
        <v>0</v>
      </c>
      <c r="N136" s="88">
        <v>0</v>
      </c>
      <c r="O136" s="88">
        <v>0</v>
      </c>
      <c r="P136" s="88">
        <v>0</v>
      </c>
      <c r="Q136" s="106">
        <f t="shared" si="47"/>
        <v>0</v>
      </c>
      <c r="R136" s="88">
        <v>0</v>
      </c>
      <c r="S136" s="88">
        <v>0</v>
      </c>
      <c r="T136" s="88"/>
      <c r="U136" s="88"/>
      <c r="V136" s="106">
        <f t="shared" si="48"/>
        <v>0</v>
      </c>
    </row>
    <row r="137" spans="1:22" ht="18" customHeight="1" x14ac:dyDescent="0.25">
      <c r="A137" s="92" t="s">
        <v>408</v>
      </c>
      <c r="B137" s="88">
        <v>0</v>
      </c>
      <c r="C137" s="88">
        <v>0</v>
      </c>
      <c r="D137" s="88">
        <v>0</v>
      </c>
      <c r="E137" s="88">
        <v>0</v>
      </c>
      <c r="F137" s="106">
        <f t="shared" si="45"/>
        <v>0</v>
      </c>
      <c r="G137" s="88">
        <v>0</v>
      </c>
      <c r="H137" s="88">
        <v>0</v>
      </c>
      <c r="I137" s="88">
        <v>0</v>
      </c>
      <c r="J137" s="88">
        <v>0</v>
      </c>
      <c r="K137" s="88">
        <v>0</v>
      </c>
      <c r="L137" s="106">
        <f t="shared" si="46"/>
        <v>0</v>
      </c>
      <c r="M137" s="88">
        <v>0</v>
      </c>
      <c r="N137" s="88">
        <v>0</v>
      </c>
      <c r="O137" s="88">
        <v>0</v>
      </c>
      <c r="P137" s="88">
        <v>0</v>
      </c>
      <c r="Q137" s="106">
        <f t="shared" si="47"/>
        <v>0</v>
      </c>
      <c r="R137" s="88">
        <v>0</v>
      </c>
      <c r="S137" s="88">
        <v>0</v>
      </c>
      <c r="T137" s="88"/>
      <c r="U137" s="88"/>
      <c r="V137" s="106">
        <f t="shared" si="48"/>
        <v>0</v>
      </c>
    </row>
    <row r="138" spans="1:22" ht="15.75" customHeight="1" x14ac:dyDescent="0.25">
      <c r="A138" s="92" t="s">
        <v>409</v>
      </c>
      <c r="B138" s="88">
        <v>40</v>
      </c>
      <c r="C138" s="88">
        <v>0</v>
      </c>
      <c r="D138" s="88">
        <v>0</v>
      </c>
      <c r="E138" s="88">
        <v>0</v>
      </c>
      <c r="F138" s="106">
        <f t="shared" si="45"/>
        <v>40</v>
      </c>
      <c r="G138" s="88">
        <v>0</v>
      </c>
      <c r="H138" s="88">
        <v>0</v>
      </c>
      <c r="I138" s="88">
        <v>0</v>
      </c>
      <c r="J138" s="88">
        <v>0</v>
      </c>
      <c r="K138" s="88">
        <v>0</v>
      </c>
      <c r="L138" s="106">
        <f t="shared" si="46"/>
        <v>0</v>
      </c>
      <c r="M138" s="88">
        <v>0</v>
      </c>
      <c r="N138" s="88">
        <v>0</v>
      </c>
      <c r="O138" s="88">
        <v>0</v>
      </c>
      <c r="P138" s="88">
        <v>0</v>
      </c>
      <c r="Q138" s="106">
        <f t="shared" si="47"/>
        <v>0</v>
      </c>
      <c r="R138" s="88">
        <v>0</v>
      </c>
      <c r="S138" s="88">
        <v>0</v>
      </c>
      <c r="T138" s="88"/>
      <c r="U138" s="88"/>
      <c r="V138" s="106">
        <f t="shared" si="48"/>
        <v>0</v>
      </c>
    </row>
    <row r="139" spans="1:22" ht="15.75" customHeight="1" x14ac:dyDescent="0.25">
      <c r="A139" s="92" t="s">
        <v>410</v>
      </c>
      <c r="B139" s="88">
        <v>14</v>
      </c>
      <c r="C139" s="88">
        <v>5</v>
      </c>
      <c r="D139" s="88">
        <v>4</v>
      </c>
      <c r="E139" s="88">
        <v>13</v>
      </c>
      <c r="F139" s="106">
        <f t="shared" si="45"/>
        <v>36</v>
      </c>
      <c r="G139" s="88">
        <v>0</v>
      </c>
      <c r="H139" s="88">
        <v>0</v>
      </c>
      <c r="I139" s="88">
        <v>0</v>
      </c>
      <c r="J139" s="88">
        <v>0</v>
      </c>
      <c r="K139" s="88">
        <v>0</v>
      </c>
      <c r="L139" s="106"/>
      <c r="M139" s="88">
        <v>0</v>
      </c>
      <c r="N139" s="88">
        <v>0</v>
      </c>
      <c r="O139" s="88">
        <v>0</v>
      </c>
      <c r="P139" s="88">
        <v>0</v>
      </c>
      <c r="Q139" s="106">
        <f t="shared" si="47"/>
        <v>0</v>
      </c>
      <c r="R139" s="88">
        <v>0</v>
      </c>
      <c r="S139" s="88">
        <v>0</v>
      </c>
      <c r="T139" s="88"/>
      <c r="U139" s="88"/>
      <c r="V139" s="106">
        <f t="shared" si="48"/>
        <v>0</v>
      </c>
    </row>
    <row r="140" spans="1:22" ht="15.75" customHeight="1" x14ac:dyDescent="0.25">
      <c r="A140" s="110" t="s">
        <v>411</v>
      </c>
      <c r="B140" s="88">
        <v>3</v>
      </c>
      <c r="C140" s="88">
        <v>0</v>
      </c>
      <c r="D140" s="88">
        <v>0</v>
      </c>
      <c r="E140" s="88">
        <v>0</v>
      </c>
      <c r="F140" s="106">
        <f t="shared" si="45"/>
        <v>3</v>
      </c>
      <c r="G140" s="88">
        <v>0</v>
      </c>
      <c r="H140" s="88">
        <v>0</v>
      </c>
      <c r="I140" s="88">
        <v>0</v>
      </c>
      <c r="J140" s="88">
        <v>0</v>
      </c>
      <c r="K140" s="88">
        <v>0</v>
      </c>
      <c r="L140" s="106"/>
      <c r="M140" s="88">
        <v>0</v>
      </c>
      <c r="N140" s="88">
        <v>0</v>
      </c>
      <c r="O140" s="88">
        <v>0</v>
      </c>
      <c r="P140" s="88">
        <v>0</v>
      </c>
      <c r="Q140" s="106">
        <f t="shared" si="47"/>
        <v>0</v>
      </c>
      <c r="R140" s="88">
        <v>0</v>
      </c>
      <c r="S140" s="88">
        <v>0</v>
      </c>
      <c r="T140" s="88"/>
      <c r="U140" s="88"/>
      <c r="V140" s="106">
        <f t="shared" si="48"/>
        <v>0</v>
      </c>
    </row>
    <row r="141" spans="1:22" ht="15.75" customHeight="1" x14ac:dyDescent="0.25">
      <c r="A141" s="107" t="s">
        <v>401</v>
      </c>
      <c r="B141" s="108">
        <f>SUM(B130:B133)</f>
        <v>3710</v>
      </c>
      <c r="C141" s="108">
        <f>SUM(C130:C133)</f>
        <v>1258</v>
      </c>
      <c r="D141" s="108">
        <f>SUM(D130:D133)</f>
        <v>515</v>
      </c>
      <c r="E141" s="108">
        <f>SUM(E130:E133)</f>
        <v>260</v>
      </c>
      <c r="F141" s="108">
        <f>SUM(F130:F133)</f>
        <v>5743</v>
      </c>
      <c r="G141" s="108">
        <f t="shared" ref="G141:V141" si="49">SUM(G130:G134)</f>
        <v>176</v>
      </c>
      <c r="H141" s="108">
        <f t="shared" si="49"/>
        <v>288</v>
      </c>
      <c r="I141" s="108">
        <f t="shared" si="49"/>
        <v>43</v>
      </c>
      <c r="J141" s="108">
        <f t="shared" si="49"/>
        <v>48</v>
      </c>
      <c r="K141" s="108">
        <f t="shared" si="49"/>
        <v>204</v>
      </c>
      <c r="L141" s="108">
        <f t="shared" si="49"/>
        <v>759</v>
      </c>
      <c r="M141" s="108">
        <f t="shared" si="49"/>
        <v>125</v>
      </c>
      <c r="N141" s="108">
        <f t="shared" si="49"/>
        <v>186</v>
      </c>
      <c r="O141" s="108">
        <f t="shared" si="49"/>
        <v>123</v>
      </c>
      <c r="P141" s="108">
        <f t="shared" si="49"/>
        <v>168</v>
      </c>
      <c r="Q141" s="108">
        <f t="shared" si="49"/>
        <v>602</v>
      </c>
      <c r="R141" s="108">
        <f t="shared" si="49"/>
        <v>76</v>
      </c>
      <c r="S141" s="108">
        <f t="shared" si="49"/>
        <v>53</v>
      </c>
      <c r="T141" s="108">
        <f t="shared" si="49"/>
        <v>0</v>
      </c>
      <c r="U141" s="108">
        <f t="shared" si="49"/>
        <v>0</v>
      </c>
      <c r="V141" s="108">
        <f t="shared" si="49"/>
        <v>129</v>
      </c>
    </row>
    <row r="142" spans="1:22" ht="15.75" customHeight="1" x14ac:dyDescent="0.25">
      <c r="A142" s="101"/>
      <c r="B142" s="98"/>
      <c r="C142" s="98"/>
      <c r="D142" s="98"/>
      <c r="E142" s="98"/>
      <c r="F142" s="98"/>
      <c r="G142" s="98"/>
      <c r="H142" s="98"/>
      <c r="I142" s="98"/>
      <c r="J142" s="98"/>
      <c r="K142" s="98"/>
      <c r="L142" s="98"/>
      <c r="M142" s="98"/>
      <c r="N142" s="98"/>
      <c r="O142" s="98"/>
      <c r="P142" s="98"/>
      <c r="Q142" s="98"/>
      <c r="R142" s="98"/>
      <c r="S142" s="98"/>
      <c r="T142" s="98"/>
      <c r="U142" s="98"/>
      <c r="V142" s="98"/>
    </row>
    <row r="143" spans="1:22" ht="15.75" customHeight="1" x14ac:dyDescent="0.25">
      <c r="A143" s="101"/>
      <c r="B143" s="98"/>
      <c r="C143" s="98"/>
      <c r="D143" s="98"/>
      <c r="E143" s="98"/>
      <c r="F143" s="98"/>
      <c r="G143" s="98"/>
      <c r="H143" s="98"/>
      <c r="I143" s="98"/>
      <c r="J143" s="98"/>
      <c r="K143" s="98"/>
      <c r="L143" s="98"/>
      <c r="M143" s="98"/>
      <c r="N143" s="98"/>
      <c r="O143" s="98"/>
      <c r="P143" s="98"/>
      <c r="Q143" s="98"/>
      <c r="R143" s="98"/>
      <c r="S143" s="98"/>
      <c r="T143" s="98"/>
      <c r="U143" s="98"/>
      <c r="V143" s="98"/>
    </row>
    <row r="144" spans="1:22" ht="15.75" customHeight="1" x14ac:dyDescent="0.25">
      <c r="A144" s="101"/>
      <c r="B144" s="98"/>
      <c r="C144" s="98"/>
      <c r="D144" s="98"/>
      <c r="E144" s="98"/>
      <c r="F144" s="98"/>
      <c r="G144" s="98"/>
      <c r="H144" s="98"/>
      <c r="I144" s="98"/>
      <c r="J144" s="98"/>
      <c r="K144" s="98"/>
      <c r="L144" s="98"/>
      <c r="M144" s="98"/>
      <c r="N144" s="98"/>
      <c r="O144" s="98"/>
      <c r="P144" s="98"/>
      <c r="Q144" s="98"/>
      <c r="R144" s="98"/>
      <c r="S144" s="98"/>
      <c r="T144" s="98"/>
      <c r="U144" s="98"/>
      <c r="V144" s="98"/>
    </row>
    <row r="145" spans="1:22" ht="15.75" customHeight="1" x14ac:dyDescent="0.25">
      <c r="A145" s="101"/>
      <c r="B145" s="98"/>
      <c r="C145" s="98"/>
      <c r="D145" s="98"/>
      <c r="E145" s="98"/>
      <c r="F145" s="98"/>
      <c r="G145" s="98"/>
      <c r="H145" s="98"/>
      <c r="I145" s="98"/>
      <c r="J145" s="98"/>
      <c r="K145" s="98"/>
      <c r="L145" s="98"/>
      <c r="M145" s="98"/>
      <c r="N145" s="98"/>
      <c r="O145" s="98"/>
      <c r="P145" s="98"/>
      <c r="Q145" s="98"/>
      <c r="R145" s="98"/>
      <c r="S145" s="98"/>
      <c r="T145" s="98"/>
      <c r="U145" s="98"/>
      <c r="V145" s="98"/>
    </row>
    <row r="146" spans="1:22" ht="15.75" customHeight="1" x14ac:dyDescent="0.25">
      <c r="A146" s="101"/>
      <c r="B146" s="98"/>
      <c r="C146" s="98"/>
      <c r="D146" s="98"/>
      <c r="E146" s="98"/>
      <c r="F146" s="98"/>
      <c r="G146" s="98"/>
      <c r="H146" s="98"/>
      <c r="I146" s="98"/>
      <c r="J146" s="98"/>
      <c r="K146" s="98"/>
      <c r="L146" s="98"/>
      <c r="M146" s="98"/>
      <c r="N146" s="98"/>
      <c r="O146" s="98"/>
      <c r="P146" s="98"/>
      <c r="Q146" s="98"/>
      <c r="R146" s="98"/>
      <c r="S146" s="98"/>
      <c r="T146" s="98"/>
      <c r="U146" s="98"/>
      <c r="V146" s="98"/>
    </row>
    <row r="147" spans="1:22" ht="15.75" customHeight="1" x14ac:dyDescent="0.25">
      <c r="A147" s="101"/>
      <c r="B147" s="98"/>
      <c r="C147" s="98"/>
      <c r="D147" s="98"/>
      <c r="E147" s="98"/>
      <c r="F147" s="98"/>
      <c r="G147" s="98"/>
      <c r="H147" s="98"/>
      <c r="I147" s="98"/>
      <c r="J147" s="98"/>
      <c r="K147" s="98"/>
      <c r="L147" s="98"/>
      <c r="M147" s="98"/>
      <c r="N147" s="98"/>
      <c r="O147" s="98"/>
      <c r="P147" s="98"/>
      <c r="Q147" s="98"/>
      <c r="R147" s="98"/>
      <c r="S147" s="98"/>
      <c r="T147" s="98"/>
      <c r="U147" s="98"/>
      <c r="V147" s="98"/>
    </row>
    <row r="148" spans="1:22" ht="15.75" customHeight="1" x14ac:dyDescent="0.25">
      <c r="A148" s="101"/>
      <c r="B148" s="98"/>
      <c r="C148" s="98"/>
      <c r="D148" s="98"/>
      <c r="E148" s="98"/>
      <c r="F148" s="98"/>
      <c r="G148" s="98"/>
      <c r="H148" s="98"/>
      <c r="I148" s="98"/>
      <c r="J148" s="98"/>
      <c r="K148" s="98"/>
      <c r="L148" s="98"/>
      <c r="M148" s="98"/>
      <c r="N148" s="98"/>
      <c r="O148" s="98"/>
      <c r="P148" s="98"/>
      <c r="Q148" s="98"/>
      <c r="R148" s="98"/>
      <c r="S148" s="98"/>
      <c r="T148" s="98"/>
      <c r="U148" s="98"/>
      <c r="V148" s="98"/>
    </row>
    <row r="149" spans="1:22" ht="15.75" customHeight="1" x14ac:dyDescent="0.25">
      <c r="A149" s="101"/>
      <c r="B149" s="98"/>
      <c r="C149" s="98"/>
      <c r="D149" s="98"/>
      <c r="E149" s="98"/>
      <c r="F149" s="98"/>
      <c r="G149" s="98"/>
      <c r="H149" s="98"/>
      <c r="I149" s="98"/>
      <c r="J149" s="98"/>
      <c r="K149" s="98"/>
      <c r="L149" s="98"/>
      <c r="M149" s="98"/>
      <c r="N149" s="98"/>
      <c r="O149" s="98"/>
      <c r="P149" s="98"/>
      <c r="Q149" s="98"/>
      <c r="R149" s="98"/>
      <c r="S149" s="98"/>
      <c r="T149" s="98"/>
      <c r="U149" s="98"/>
      <c r="V149" s="98"/>
    </row>
    <row r="150" spans="1:22" ht="15.75" customHeight="1" x14ac:dyDescent="0.25">
      <c r="A150" s="101"/>
      <c r="B150" s="98"/>
      <c r="C150" s="98"/>
      <c r="D150" s="98"/>
      <c r="E150" s="98"/>
      <c r="F150" s="98"/>
      <c r="G150" s="98"/>
      <c r="H150" s="98"/>
      <c r="I150" s="98"/>
      <c r="J150" s="98"/>
      <c r="K150" s="98"/>
      <c r="L150" s="98"/>
      <c r="M150" s="98"/>
      <c r="N150" s="98"/>
      <c r="O150" s="98"/>
      <c r="P150" s="98"/>
      <c r="Q150" s="98"/>
      <c r="R150" s="98"/>
      <c r="S150" s="98"/>
      <c r="T150" s="98"/>
      <c r="U150" s="98"/>
      <c r="V150" s="98"/>
    </row>
    <row r="151" spans="1:22" ht="15.75" customHeight="1" x14ac:dyDescent="0.25">
      <c r="A151" s="101"/>
      <c r="B151" s="98"/>
      <c r="C151" s="98"/>
      <c r="D151" s="98"/>
      <c r="E151" s="98"/>
      <c r="F151" s="98"/>
      <c r="G151" s="98"/>
      <c r="H151" s="98"/>
      <c r="I151" s="98"/>
      <c r="J151" s="98"/>
      <c r="K151" s="98"/>
      <c r="L151" s="98"/>
      <c r="M151" s="98"/>
      <c r="N151" s="98"/>
      <c r="O151" s="98"/>
      <c r="P151" s="98"/>
      <c r="Q151" s="98"/>
      <c r="R151" s="98"/>
      <c r="S151" s="98"/>
      <c r="T151" s="98"/>
      <c r="U151" s="98"/>
      <c r="V151" s="98"/>
    </row>
    <row r="152" spans="1:22" ht="15.75" customHeight="1" x14ac:dyDescent="0.25">
      <c r="A152" s="101"/>
      <c r="B152" s="98"/>
      <c r="C152" s="98"/>
      <c r="D152" s="98"/>
      <c r="E152" s="98"/>
      <c r="F152" s="98"/>
      <c r="G152" s="98"/>
      <c r="H152" s="98"/>
      <c r="I152" s="98"/>
      <c r="J152" s="98"/>
      <c r="K152" s="98"/>
      <c r="L152" s="98"/>
      <c r="M152" s="98"/>
      <c r="N152" s="98"/>
      <c r="O152" s="98"/>
      <c r="P152" s="98"/>
      <c r="Q152" s="98"/>
      <c r="R152" s="98"/>
      <c r="S152" s="98"/>
      <c r="T152" s="98"/>
      <c r="U152" s="98"/>
      <c r="V152" s="98"/>
    </row>
    <row r="153" spans="1:22" ht="15.75" customHeight="1" x14ac:dyDescent="0.25">
      <c r="A153" s="102"/>
      <c r="B153" s="103"/>
      <c r="C153" s="103"/>
      <c r="D153" s="103"/>
      <c r="E153" s="103"/>
      <c r="F153" s="103"/>
      <c r="G153" s="103"/>
      <c r="H153" s="103"/>
      <c r="I153" s="103"/>
      <c r="J153" s="103"/>
      <c r="K153" s="103"/>
      <c r="L153" s="103"/>
      <c r="M153" s="103"/>
      <c r="N153" s="103"/>
      <c r="O153" s="103"/>
      <c r="P153" s="103"/>
      <c r="Q153" s="103"/>
      <c r="R153" s="103"/>
      <c r="S153" s="103"/>
      <c r="T153" s="103"/>
      <c r="U153" s="103"/>
      <c r="V153" s="103"/>
    </row>
    <row r="155" spans="1:22" ht="18" customHeight="1" x14ac:dyDescent="0.25">
      <c r="A155" s="104"/>
      <c r="B155" s="104"/>
      <c r="C155" s="104"/>
      <c r="D155" s="104"/>
      <c r="E155" s="104"/>
      <c r="F155" s="104"/>
      <c r="G155" s="104"/>
      <c r="H155" s="104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</row>
    <row r="156" spans="1:22" ht="18" customHeight="1" x14ac:dyDescent="0.25">
      <c r="A156" s="104"/>
      <c r="B156" s="104"/>
      <c r="C156" s="104"/>
      <c r="D156" s="104"/>
      <c r="E156" s="104"/>
      <c r="F156" s="104"/>
      <c r="G156" s="104"/>
      <c r="H156" s="104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</row>
    <row r="157" spans="1:22" ht="15.75" customHeight="1" x14ac:dyDescent="0.25">
      <c r="A157" s="104"/>
      <c r="B157" s="99"/>
      <c r="C157" s="99"/>
      <c r="D157" s="99"/>
      <c r="E157" s="99"/>
      <c r="F157" s="100"/>
      <c r="G157" s="99"/>
      <c r="H157" s="99"/>
      <c r="I157" s="99"/>
      <c r="J157" s="99"/>
      <c r="K157" s="99"/>
      <c r="L157" s="100"/>
      <c r="M157" s="99"/>
      <c r="N157" s="99"/>
      <c r="O157" s="99"/>
      <c r="P157" s="99"/>
      <c r="Q157" s="100"/>
      <c r="R157" s="99"/>
      <c r="S157" s="99"/>
      <c r="T157" s="99"/>
      <c r="U157" s="99"/>
      <c r="V157" s="100"/>
    </row>
    <row r="158" spans="1:22" ht="15.75" customHeight="1" x14ac:dyDescent="0.25">
      <c r="A158" s="101"/>
      <c r="B158" s="98"/>
      <c r="C158" s="98"/>
      <c r="D158" s="98"/>
      <c r="E158" s="98"/>
      <c r="F158" s="98"/>
      <c r="G158" s="98"/>
      <c r="H158" s="98"/>
      <c r="I158" s="98"/>
      <c r="J158" s="98"/>
      <c r="K158" s="98"/>
      <c r="L158" s="98"/>
      <c r="M158" s="98"/>
      <c r="N158" s="98"/>
      <c r="O158" s="98"/>
      <c r="P158" s="98"/>
      <c r="Q158" s="98"/>
      <c r="R158" s="98"/>
      <c r="S158" s="98"/>
      <c r="T158" s="98"/>
      <c r="U158" s="98"/>
      <c r="V158" s="98"/>
    </row>
    <row r="159" spans="1:22" ht="15.75" customHeight="1" x14ac:dyDescent="0.25">
      <c r="A159" s="101"/>
      <c r="B159" s="98"/>
      <c r="C159" s="98"/>
      <c r="D159" s="98"/>
      <c r="E159" s="98"/>
      <c r="F159" s="98"/>
      <c r="G159" s="98"/>
      <c r="H159" s="98"/>
      <c r="I159" s="98"/>
      <c r="J159" s="98"/>
      <c r="K159" s="98"/>
      <c r="L159" s="98"/>
      <c r="M159" s="98"/>
      <c r="N159" s="98"/>
      <c r="O159" s="98"/>
      <c r="P159" s="98"/>
      <c r="Q159" s="98"/>
      <c r="R159" s="98"/>
      <c r="S159" s="98"/>
      <c r="T159" s="98"/>
      <c r="U159" s="98"/>
      <c r="V159" s="98"/>
    </row>
    <row r="160" spans="1:22" ht="15.75" customHeight="1" x14ac:dyDescent="0.25">
      <c r="A160" s="101"/>
      <c r="B160" s="98"/>
      <c r="C160" s="98"/>
      <c r="D160" s="98"/>
      <c r="E160" s="98"/>
      <c r="F160" s="98"/>
      <c r="G160" s="98"/>
      <c r="H160" s="98"/>
      <c r="I160" s="98"/>
      <c r="J160" s="98"/>
      <c r="K160" s="98"/>
      <c r="L160" s="98"/>
      <c r="M160" s="98"/>
      <c r="N160" s="98"/>
      <c r="O160" s="98"/>
      <c r="P160" s="98"/>
      <c r="Q160" s="98"/>
      <c r="R160" s="98"/>
      <c r="S160" s="98"/>
      <c r="T160" s="98"/>
      <c r="U160" s="98"/>
      <c r="V160" s="98"/>
    </row>
    <row r="161" spans="1:22" ht="15.75" customHeight="1" x14ac:dyDescent="0.25">
      <c r="A161" s="101"/>
      <c r="B161" s="98"/>
      <c r="C161" s="98"/>
      <c r="D161" s="98"/>
      <c r="E161" s="98"/>
      <c r="F161" s="98"/>
      <c r="G161" s="98"/>
      <c r="H161" s="98"/>
      <c r="I161" s="98"/>
      <c r="J161" s="98"/>
      <c r="K161" s="98"/>
      <c r="L161" s="98"/>
      <c r="M161" s="98"/>
      <c r="N161" s="98"/>
      <c r="O161" s="98"/>
      <c r="P161" s="98"/>
      <c r="Q161" s="98"/>
      <c r="R161" s="98"/>
      <c r="S161" s="98"/>
      <c r="T161" s="98"/>
      <c r="U161" s="98"/>
      <c r="V161" s="98"/>
    </row>
    <row r="162" spans="1:22" ht="15.75" customHeight="1" x14ac:dyDescent="0.25">
      <c r="A162" s="101"/>
      <c r="B162" s="98"/>
      <c r="C162" s="98"/>
      <c r="D162" s="98"/>
      <c r="E162" s="98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8"/>
      <c r="S162" s="98"/>
      <c r="T162" s="98"/>
      <c r="U162" s="98"/>
      <c r="V162" s="98"/>
    </row>
    <row r="163" spans="1:22" ht="15.75" customHeight="1" x14ac:dyDescent="0.25">
      <c r="A163" s="101"/>
      <c r="B163" s="98"/>
      <c r="C163" s="98"/>
      <c r="D163" s="98"/>
      <c r="E163" s="98"/>
      <c r="F163" s="98"/>
      <c r="G163" s="98"/>
      <c r="H163" s="98"/>
      <c r="I163" s="98"/>
      <c r="J163" s="98"/>
      <c r="K163" s="98"/>
      <c r="L163" s="98"/>
      <c r="M163" s="98"/>
      <c r="N163" s="98"/>
      <c r="O163" s="98"/>
      <c r="P163" s="98"/>
      <c r="Q163" s="98"/>
      <c r="R163" s="98"/>
      <c r="S163" s="98"/>
      <c r="T163" s="98"/>
      <c r="U163" s="98"/>
      <c r="V163" s="98"/>
    </row>
    <row r="164" spans="1:22" ht="15.75" customHeight="1" x14ac:dyDescent="0.25">
      <c r="A164" s="101"/>
      <c r="B164" s="98"/>
      <c r="C164" s="98"/>
      <c r="D164" s="98"/>
      <c r="E164" s="98"/>
      <c r="F164" s="98"/>
      <c r="G164" s="98"/>
      <c r="H164" s="98"/>
      <c r="I164" s="98"/>
      <c r="J164" s="98"/>
      <c r="K164" s="98"/>
      <c r="L164" s="98"/>
      <c r="M164" s="98"/>
      <c r="N164" s="98"/>
      <c r="O164" s="98"/>
      <c r="P164" s="98"/>
      <c r="Q164" s="98"/>
      <c r="R164" s="98"/>
      <c r="S164" s="98"/>
      <c r="T164" s="98"/>
      <c r="U164" s="98"/>
      <c r="V164" s="98"/>
    </row>
    <row r="165" spans="1:22" ht="15.75" customHeight="1" x14ac:dyDescent="0.25">
      <c r="A165" s="101"/>
      <c r="B165" s="98"/>
      <c r="C165" s="98"/>
      <c r="D165" s="98"/>
      <c r="E165" s="98"/>
      <c r="F165" s="98"/>
      <c r="G165" s="98"/>
      <c r="H165" s="98"/>
      <c r="I165" s="98"/>
      <c r="J165" s="98"/>
      <c r="K165" s="98"/>
      <c r="L165" s="98"/>
      <c r="M165" s="98"/>
      <c r="N165" s="98"/>
      <c r="O165" s="98"/>
      <c r="P165" s="98"/>
      <c r="Q165" s="98"/>
      <c r="R165" s="98"/>
      <c r="S165" s="98"/>
      <c r="T165" s="98"/>
      <c r="U165" s="98"/>
      <c r="V165" s="98"/>
    </row>
    <row r="166" spans="1:22" ht="15.75" customHeight="1" x14ac:dyDescent="0.25">
      <c r="A166" s="101"/>
      <c r="B166" s="98"/>
      <c r="C166" s="98"/>
      <c r="D166" s="98"/>
      <c r="E166" s="98"/>
      <c r="F166" s="98"/>
      <c r="G166" s="98"/>
      <c r="H166" s="98"/>
      <c r="I166" s="98"/>
      <c r="J166" s="98"/>
      <c r="K166" s="98"/>
      <c r="L166" s="98"/>
      <c r="M166" s="98"/>
      <c r="N166" s="98"/>
      <c r="O166" s="98"/>
      <c r="P166" s="98"/>
      <c r="Q166" s="98"/>
      <c r="R166" s="98"/>
      <c r="S166" s="98"/>
      <c r="T166" s="98"/>
      <c r="U166" s="98"/>
      <c r="V166" s="98"/>
    </row>
    <row r="167" spans="1:22" ht="15.75" customHeight="1" x14ac:dyDescent="0.25">
      <c r="A167" s="101"/>
      <c r="B167" s="98"/>
      <c r="C167" s="98"/>
      <c r="D167" s="98"/>
      <c r="E167" s="98"/>
      <c r="F167" s="98"/>
      <c r="G167" s="98"/>
      <c r="H167" s="98"/>
      <c r="I167" s="98"/>
      <c r="J167" s="98"/>
      <c r="K167" s="98"/>
      <c r="L167" s="98"/>
      <c r="M167" s="98"/>
      <c r="N167" s="98"/>
      <c r="O167" s="98"/>
      <c r="P167" s="98"/>
      <c r="Q167" s="98"/>
      <c r="R167" s="98"/>
      <c r="S167" s="98"/>
      <c r="T167" s="98"/>
      <c r="U167" s="98"/>
      <c r="V167" s="98"/>
    </row>
    <row r="168" spans="1:22" ht="15.75" customHeight="1" x14ac:dyDescent="0.25">
      <c r="A168" s="102"/>
      <c r="B168" s="103"/>
      <c r="C168" s="103"/>
      <c r="D168" s="103"/>
      <c r="E168" s="103"/>
      <c r="F168" s="103"/>
      <c r="G168" s="103"/>
      <c r="H168" s="103"/>
      <c r="I168" s="103"/>
      <c r="J168" s="103"/>
      <c r="K168" s="103"/>
      <c r="L168" s="103"/>
      <c r="M168" s="103"/>
      <c r="N168" s="103"/>
      <c r="O168" s="103"/>
      <c r="P168" s="103"/>
      <c r="Q168" s="103"/>
      <c r="R168" s="103"/>
      <c r="S168" s="103"/>
      <c r="T168" s="103"/>
      <c r="U168" s="103"/>
      <c r="V168" s="103"/>
    </row>
  </sheetData>
  <mergeCells count="60">
    <mergeCell ref="A1:V1"/>
    <mergeCell ref="G44:L44"/>
    <mergeCell ref="M86:Q86"/>
    <mergeCell ref="R100:V100"/>
    <mergeCell ref="A72:A73"/>
    <mergeCell ref="G72:L72"/>
    <mergeCell ref="A44:A45"/>
    <mergeCell ref="G86:L86"/>
    <mergeCell ref="B30:F30"/>
    <mergeCell ref="A99:V99"/>
    <mergeCell ref="G2:L2"/>
    <mergeCell ref="M100:Q100"/>
    <mergeCell ref="R72:V72"/>
    <mergeCell ref="M72:Q72"/>
    <mergeCell ref="R2:V2"/>
    <mergeCell ref="A58:A59"/>
    <mergeCell ref="A127:V127"/>
    <mergeCell ref="A2:A3"/>
    <mergeCell ref="M128:Q128"/>
    <mergeCell ref="A113:V113"/>
    <mergeCell ref="A15:V15"/>
    <mergeCell ref="R114:V114"/>
    <mergeCell ref="G100:L100"/>
    <mergeCell ref="B44:F44"/>
    <mergeCell ref="M16:Q16"/>
    <mergeCell ref="G16:L16"/>
    <mergeCell ref="M30:Q30"/>
    <mergeCell ref="R86:V86"/>
    <mergeCell ref="A100:A101"/>
    <mergeCell ref="B128:F128"/>
    <mergeCell ref="B114:F114"/>
    <mergeCell ref="R58:V58"/>
    <mergeCell ref="G58:L58"/>
    <mergeCell ref="R30:V30"/>
    <mergeCell ref="B86:F86"/>
    <mergeCell ref="A86:A87"/>
    <mergeCell ref="G114:L114"/>
    <mergeCell ref="A57:V57"/>
    <mergeCell ref="A114:A115"/>
    <mergeCell ref="A43:V43"/>
    <mergeCell ref="G30:L30"/>
    <mergeCell ref="M2:Q2"/>
    <mergeCell ref="B2:F2"/>
    <mergeCell ref="R16:V16"/>
    <mergeCell ref="M58:Q58"/>
    <mergeCell ref="A128:A129"/>
    <mergeCell ref="A71:V71"/>
    <mergeCell ref="B16:F16"/>
    <mergeCell ref="B100:F100"/>
    <mergeCell ref="A85:V85"/>
    <mergeCell ref="R44:V44"/>
    <mergeCell ref="B72:F72"/>
    <mergeCell ref="M114:Q114"/>
    <mergeCell ref="G128:L128"/>
    <mergeCell ref="M44:Q44"/>
    <mergeCell ref="A16:A17"/>
    <mergeCell ref="A30:A31"/>
    <mergeCell ref="A29:V29"/>
    <mergeCell ref="R128:V128"/>
    <mergeCell ref="B58:F58"/>
  </mergeCells>
  <pageMargins left="0.511811024" right="0.511811024" top="0.78740157499999996" bottom="0.78740157499999996" header="0.31496062000000002" footer="0.31496062000000002"/>
  <pageSetup paperSize="9" orientation="portrait" horizontalDpi="0" verticalDpi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ilha14">
    <tabColor rgb="FFFFCCFF"/>
  </sheetPr>
  <dimension ref="A1:S120"/>
  <sheetViews>
    <sheetView topLeftCell="A88" zoomScaleNormal="100" workbookViewId="0">
      <pane xSplit="1" topLeftCell="B1" activePane="topRight" state="frozen"/>
      <selection pane="topRight" activeCell="N92" sqref="N92:N97"/>
    </sheetView>
  </sheetViews>
  <sheetFormatPr defaultRowHeight="15" x14ac:dyDescent="0.25"/>
  <cols>
    <col min="1" max="1" width="32.85546875" customWidth="1"/>
    <col min="2" max="13" width="13" hidden="1" customWidth="1"/>
    <col min="15" max="15" width="14.5703125" customWidth="1"/>
    <col min="16" max="16" width="12.140625" customWidth="1"/>
    <col min="19" max="19" width="10.85546875" bestFit="1" customWidth="1"/>
  </cols>
  <sheetData>
    <row r="1" spans="1:19" ht="18" customHeight="1" x14ac:dyDescent="0.25">
      <c r="A1" s="491" t="s">
        <v>412</v>
      </c>
      <c r="B1" s="492"/>
      <c r="C1" s="492"/>
      <c r="D1" s="492"/>
      <c r="E1" s="492"/>
      <c r="F1" s="492"/>
      <c r="G1" s="492"/>
      <c r="H1" s="492"/>
      <c r="I1" s="492"/>
      <c r="J1" s="492"/>
      <c r="K1" s="492"/>
      <c r="L1" s="492"/>
      <c r="M1" s="492"/>
      <c r="N1" s="492"/>
      <c r="O1" s="492"/>
      <c r="P1" s="493"/>
    </row>
    <row r="2" spans="1:19" ht="18" customHeight="1" x14ac:dyDescent="0.25">
      <c r="A2" s="491" t="s">
        <v>119</v>
      </c>
      <c r="B2" s="491" t="s">
        <v>391</v>
      </c>
      <c r="C2" s="492"/>
      <c r="D2" s="493"/>
      <c r="E2" s="491" t="s">
        <v>413</v>
      </c>
      <c r="F2" s="492"/>
      <c r="G2" s="492"/>
      <c r="H2" s="492"/>
      <c r="I2" s="493"/>
      <c r="J2" s="491" t="s">
        <v>414</v>
      </c>
      <c r="K2" s="492"/>
      <c r="L2" s="492"/>
      <c r="M2" s="492"/>
      <c r="N2" s="493"/>
      <c r="O2" s="489" t="s">
        <v>415</v>
      </c>
      <c r="P2" s="489" t="s">
        <v>416</v>
      </c>
      <c r="R2" s="494" t="s">
        <v>417</v>
      </c>
      <c r="S2" s="469"/>
    </row>
    <row r="3" spans="1:19" ht="15.75" customHeight="1" x14ac:dyDescent="0.25">
      <c r="A3" s="490"/>
      <c r="B3" s="213">
        <v>45740</v>
      </c>
      <c r="C3" s="213">
        <v>45747</v>
      </c>
      <c r="D3" s="212" t="s">
        <v>129</v>
      </c>
      <c r="E3" s="213">
        <v>45754</v>
      </c>
      <c r="F3" s="213">
        <v>45761</v>
      </c>
      <c r="G3" s="213">
        <v>45768</v>
      </c>
      <c r="H3" s="213">
        <v>45775</v>
      </c>
      <c r="I3" s="212" t="s">
        <v>129</v>
      </c>
      <c r="J3" s="213">
        <v>45782</v>
      </c>
      <c r="K3" s="213">
        <v>45789</v>
      </c>
      <c r="L3" s="213">
        <v>45796</v>
      </c>
      <c r="M3" s="213">
        <v>45803</v>
      </c>
      <c r="N3" s="212" t="s">
        <v>129</v>
      </c>
      <c r="O3" s="490"/>
      <c r="P3" s="490"/>
      <c r="R3" s="208" t="s">
        <v>418</v>
      </c>
      <c r="S3" s="209">
        <v>45761</v>
      </c>
    </row>
    <row r="4" spans="1:19" ht="15.75" customHeight="1" x14ac:dyDescent="0.25">
      <c r="A4" s="160" t="s">
        <v>419</v>
      </c>
      <c r="B4" s="88"/>
      <c r="C4" s="88"/>
      <c r="D4" s="162">
        <f t="shared" ref="D4:D9" si="0">B4+C4</f>
        <v>0</v>
      </c>
      <c r="E4" s="88"/>
      <c r="F4" s="88">
        <v>460</v>
      </c>
      <c r="G4" s="88">
        <v>140</v>
      </c>
      <c r="H4" s="88">
        <v>120</v>
      </c>
      <c r="I4" s="162">
        <f t="shared" ref="I4:I9" si="1">E4+F4+G4+H4</f>
        <v>720</v>
      </c>
      <c r="J4" s="88">
        <v>200</v>
      </c>
      <c r="K4" s="88">
        <v>280</v>
      </c>
      <c r="L4" s="88">
        <v>0</v>
      </c>
      <c r="M4" s="88">
        <v>0</v>
      </c>
      <c r="N4" s="162">
        <f t="shared" ref="N4:N9" si="2">J4+K4+L4+M4</f>
        <v>480</v>
      </c>
      <c r="O4" s="170">
        <f t="shared" ref="O4:O9" si="3">B4+C4+E4+F4+G4+H4+J4+K4</f>
        <v>1200</v>
      </c>
      <c r="P4" s="210">
        <f t="shared" ref="P4:P9" si="4">D4+I4+N4</f>
        <v>1200</v>
      </c>
      <c r="R4" s="208" t="s">
        <v>420</v>
      </c>
      <c r="S4" s="209">
        <v>45740</v>
      </c>
    </row>
    <row r="5" spans="1:19" ht="15.75" customHeight="1" x14ac:dyDescent="0.25">
      <c r="A5" s="160" t="s">
        <v>421</v>
      </c>
      <c r="B5" s="88"/>
      <c r="C5" s="88"/>
      <c r="D5" s="162">
        <f t="shared" si="0"/>
        <v>0</v>
      </c>
      <c r="E5" s="88"/>
      <c r="F5" s="88">
        <v>280</v>
      </c>
      <c r="G5" s="88">
        <v>40</v>
      </c>
      <c r="H5" s="88">
        <v>0</v>
      </c>
      <c r="I5" s="162">
        <f t="shared" si="1"/>
        <v>320</v>
      </c>
      <c r="J5" s="88">
        <v>0</v>
      </c>
      <c r="K5" s="88">
        <v>280</v>
      </c>
      <c r="L5" s="88">
        <v>0</v>
      </c>
      <c r="M5" s="88">
        <v>0</v>
      </c>
      <c r="N5" s="162">
        <f t="shared" si="2"/>
        <v>280</v>
      </c>
      <c r="O5" s="170">
        <f t="shared" si="3"/>
        <v>600</v>
      </c>
      <c r="P5" s="210">
        <f t="shared" si="4"/>
        <v>600</v>
      </c>
    </row>
    <row r="6" spans="1:19" ht="15.75" customHeight="1" x14ac:dyDescent="0.25">
      <c r="A6" s="160" t="s">
        <v>422</v>
      </c>
      <c r="B6" s="88"/>
      <c r="C6" s="88"/>
      <c r="D6" s="162">
        <f t="shared" si="0"/>
        <v>0</v>
      </c>
      <c r="E6" s="88"/>
      <c r="F6" s="88">
        <v>100</v>
      </c>
      <c r="G6" s="88">
        <v>0</v>
      </c>
      <c r="H6" s="88">
        <v>0</v>
      </c>
      <c r="I6" s="162">
        <f t="shared" si="1"/>
        <v>100</v>
      </c>
      <c r="J6" s="88">
        <v>0</v>
      </c>
      <c r="K6" s="88">
        <v>0</v>
      </c>
      <c r="L6" s="88">
        <v>0</v>
      </c>
      <c r="M6" s="88">
        <v>0</v>
      </c>
      <c r="N6" s="162">
        <f t="shared" si="2"/>
        <v>0</v>
      </c>
      <c r="O6" s="170">
        <f t="shared" si="3"/>
        <v>100</v>
      </c>
      <c r="P6" s="210">
        <f t="shared" si="4"/>
        <v>100</v>
      </c>
    </row>
    <row r="7" spans="1:19" ht="15.75" customHeight="1" x14ac:dyDescent="0.25">
      <c r="A7" s="113" t="s">
        <v>224</v>
      </c>
      <c r="B7" s="88"/>
      <c r="C7" s="88"/>
      <c r="D7" s="162">
        <f t="shared" si="0"/>
        <v>0</v>
      </c>
      <c r="E7" s="88"/>
      <c r="F7" s="88">
        <v>2</v>
      </c>
      <c r="G7" s="88">
        <v>1</v>
      </c>
      <c r="H7" s="88">
        <v>1</v>
      </c>
      <c r="I7" s="162">
        <f t="shared" si="1"/>
        <v>4</v>
      </c>
      <c r="J7" s="88">
        <v>0</v>
      </c>
      <c r="K7" s="88">
        <v>2</v>
      </c>
      <c r="L7" s="88">
        <v>0</v>
      </c>
      <c r="M7" s="88">
        <v>0</v>
      </c>
      <c r="N7" s="162">
        <f t="shared" si="2"/>
        <v>2</v>
      </c>
      <c r="O7" s="170">
        <f t="shared" si="3"/>
        <v>6</v>
      </c>
      <c r="P7" s="210">
        <f t="shared" si="4"/>
        <v>6</v>
      </c>
    </row>
    <row r="8" spans="1:19" ht="15.75" customHeight="1" x14ac:dyDescent="0.25">
      <c r="A8" s="113" t="s">
        <v>146</v>
      </c>
      <c r="B8" s="88"/>
      <c r="C8" s="88"/>
      <c r="D8" s="162">
        <f t="shared" si="0"/>
        <v>0</v>
      </c>
      <c r="E8" s="88"/>
      <c r="F8" s="88">
        <v>0</v>
      </c>
      <c r="G8" s="88">
        <v>0</v>
      </c>
      <c r="H8" s="88">
        <v>0</v>
      </c>
      <c r="I8" s="162">
        <f t="shared" si="1"/>
        <v>0</v>
      </c>
      <c r="J8" s="88">
        <v>0</v>
      </c>
      <c r="K8" s="88">
        <v>0</v>
      </c>
      <c r="L8" s="88">
        <v>0</v>
      </c>
      <c r="M8" s="88">
        <v>0</v>
      </c>
      <c r="N8" s="162">
        <f t="shared" si="2"/>
        <v>0</v>
      </c>
      <c r="O8" s="170">
        <f t="shared" si="3"/>
        <v>0</v>
      </c>
      <c r="P8" s="210">
        <f t="shared" si="4"/>
        <v>0</v>
      </c>
    </row>
    <row r="9" spans="1:19" ht="15.75" customHeight="1" x14ac:dyDescent="0.25">
      <c r="A9" s="113" t="s">
        <v>147</v>
      </c>
      <c r="B9" s="88"/>
      <c r="C9" s="88"/>
      <c r="D9" s="162">
        <f t="shared" si="0"/>
        <v>0</v>
      </c>
      <c r="E9" s="88"/>
      <c r="F9" s="88">
        <v>1</v>
      </c>
      <c r="G9" s="88">
        <v>0</v>
      </c>
      <c r="H9" s="88">
        <v>0</v>
      </c>
      <c r="I9" s="162">
        <f t="shared" si="1"/>
        <v>1</v>
      </c>
      <c r="J9" s="88">
        <v>0</v>
      </c>
      <c r="K9" s="88">
        <v>0</v>
      </c>
      <c r="L9" s="88">
        <v>0</v>
      </c>
      <c r="M9" s="88">
        <v>0</v>
      </c>
      <c r="N9" s="162">
        <f t="shared" si="2"/>
        <v>0</v>
      </c>
      <c r="O9" s="170">
        <f t="shared" si="3"/>
        <v>1</v>
      </c>
      <c r="P9" s="210">
        <f t="shared" si="4"/>
        <v>1</v>
      </c>
    </row>
    <row r="10" spans="1:19" ht="15.75" customHeight="1" x14ac:dyDescent="0.25">
      <c r="A10" s="107" t="s">
        <v>401</v>
      </c>
      <c r="B10" s="108">
        <f t="shared" ref="B10:P10" si="5">B4+B5+B6</f>
        <v>0</v>
      </c>
      <c r="C10" s="108">
        <f t="shared" si="5"/>
        <v>0</v>
      </c>
      <c r="D10" s="108">
        <f t="shared" si="5"/>
        <v>0</v>
      </c>
      <c r="E10" s="108">
        <f t="shared" si="5"/>
        <v>0</v>
      </c>
      <c r="F10" s="108">
        <f t="shared" si="5"/>
        <v>840</v>
      </c>
      <c r="G10" s="108">
        <f t="shared" si="5"/>
        <v>180</v>
      </c>
      <c r="H10" s="108">
        <f t="shared" si="5"/>
        <v>120</v>
      </c>
      <c r="I10" s="108">
        <f t="shared" si="5"/>
        <v>1140</v>
      </c>
      <c r="J10" s="108">
        <f t="shared" si="5"/>
        <v>200</v>
      </c>
      <c r="K10" s="108">
        <f t="shared" si="5"/>
        <v>560</v>
      </c>
      <c r="L10" s="108">
        <f t="shared" si="5"/>
        <v>0</v>
      </c>
      <c r="M10" s="108">
        <f t="shared" si="5"/>
        <v>0</v>
      </c>
      <c r="N10" s="108">
        <f t="shared" si="5"/>
        <v>760</v>
      </c>
      <c r="O10" s="211">
        <f t="shared" si="5"/>
        <v>1900</v>
      </c>
      <c r="P10" s="211">
        <f t="shared" si="5"/>
        <v>1900</v>
      </c>
    </row>
    <row r="12" spans="1:19" ht="15.75" customHeight="1" x14ac:dyDescent="0.25">
      <c r="A12" s="491" t="s">
        <v>412</v>
      </c>
      <c r="B12" s="492"/>
      <c r="C12" s="492"/>
      <c r="D12" s="492"/>
      <c r="E12" s="492"/>
      <c r="F12" s="492"/>
      <c r="G12" s="492"/>
      <c r="H12" s="492"/>
      <c r="I12" s="492"/>
      <c r="J12" s="492"/>
      <c r="K12" s="492"/>
      <c r="L12" s="492"/>
      <c r="M12" s="492"/>
      <c r="N12" s="492"/>
      <c r="O12" s="492"/>
      <c r="P12" s="493"/>
    </row>
    <row r="13" spans="1:19" ht="18" customHeight="1" x14ac:dyDescent="0.25">
      <c r="A13" s="491" t="s">
        <v>181</v>
      </c>
      <c r="B13" s="491" t="s">
        <v>391</v>
      </c>
      <c r="C13" s="492"/>
      <c r="D13" s="493"/>
      <c r="E13" s="491" t="s">
        <v>413</v>
      </c>
      <c r="F13" s="492"/>
      <c r="G13" s="492"/>
      <c r="H13" s="492"/>
      <c r="I13" s="493"/>
      <c r="J13" s="491" t="s">
        <v>414</v>
      </c>
      <c r="K13" s="492"/>
      <c r="L13" s="492"/>
      <c r="M13" s="492"/>
      <c r="N13" s="493"/>
      <c r="O13" s="489" t="s">
        <v>415</v>
      </c>
      <c r="P13" s="489" t="s">
        <v>416</v>
      </c>
    </row>
    <row r="14" spans="1:19" ht="18" customHeight="1" x14ac:dyDescent="0.25">
      <c r="A14" s="490"/>
      <c r="B14" s="213">
        <v>45740</v>
      </c>
      <c r="C14" s="213">
        <v>45747</v>
      </c>
      <c r="D14" s="212" t="s">
        <v>129</v>
      </c>
      <c r="E14" s="213">
        <v>45754</v>
      </c>
      <c r="F14" s="213">
        <v>45761</v>
      </c>
      <c r="G14" s="213">
        <v>45768</v>
      </c>
      <c r="H14" s="213">
        <v>45775</v>
      </c>
      <c r="I14" s="212" t="s">
        <v>129</v>
      </c>
      <c r="J14" s="213">
        <v>45782</v>
      </c>
      <c r="K14" s="213">
        <v>45789</v>
      </c>
      <c r="L14" s="213">
        <v>45796</v>
      </c>
      <c r="M14" s="213">
        <v>45803</v>
      </c>
      <c r="N14" s="212" t="s">
        <v>129</v>
      </c>
      <c r="O14" s="490"/>
      <c r="P14" s="490"/>
    </row>
    <row r="15" spans="1:19" ht="15.75" customHeight="1" x14ac:dyDescent="0.25">
      <c r="A15" s="160" t="s">
        <v>419</v>
      </c>
      <c r="B15" s="88"/>
      <c r="C15" s="88"/>
      <c r="D15" s="162">
        <f t="shared" ref="D15:D20" si="6">B15+C15</f>
        <v>0</v>
      </c>
      <c r="E15" s="88"/>
      <c r="F15" s="88">
        <v>200</v>
      </c>
      <c r="G15" s="88">
        <v>140</v>
      </c>
      <c r="H15" s="88">
        <v>100</v>
      </c>
      <c r="I15" s="162">
        <f t="shared" ref="I15:I20" si="7">E15+F15+G15+H15</f>
        <v>440</v>
      </c>
      <c r="J15" s="88">
        <v>140</v>
      </c>
      <c r="K15" s="88">
        <v>380</v>
      </c>
      <c r="L15" s="88">
        <v>40</v>
      </c>
      <c r="M15" s="88">
        <v>0</v>
      </c>
      <c r="N15" s="162">
        <f t="shared" ref="N15:N20" si="8">J15+K15+L15+M15</f>
        <v>560</v>
      </c>
      <c r="O15" s="170">
        <f t="shared" ref="O15:O20" si="9">B15+C15+E15+F15+G15+H15+J15+K15</f>
        <v>960</v>
      </c>
      <c r="P15" s="210">
        <f t="shared" ref="P15:P20" si="10">D15+I15+N15</f>
        <v>1000</v>
      </c>
    </row>
    <row r="16" spans="1:19" ht="15.75" customHeight="1" x14ac:dyDescent="0.25">
      <c r="A16" s="160" t="s">
        <v>421</v>
      </c>
      <c r="B16" s="88"/>
      <c r="C16" s="88"/>
      <c r="D16" s="162">
        <f t="shared" si="6"/>
        <v>0</v>
      </c>
      <c r="E16" s="88"/>
      <c r="F16" s="88">
        <v>140</v>
      </c>
      <c r="G16" s="88">
        <v>60</v>
      </c>
      <c r="H16" s="88">
        <v>80</v>
      </c>
      <c r="I16" s="162">
        <f t="shared" si="7"/>
        <v>280</v>
      </c>
      <c r="J16" s="88">
        <v>100</v>
      </c>
      <c r="K16" s="88">
        <v>220</v>
      </c>
      <c r="L16" s="88">
        <v>0</v>
      </c>
      <c r="M16" s="88">
        <v>0</v>
      </c>
      <c r="N16" s="162">
        <f t="shared" si="8"/>
        <v>320</v>
      </c>
      <c r="O16" s="170">
        <f t="shared" si="9"/>
        <v>600</v>
      </c>
      <c r="P16" s="210">
        <f t="shared" si="10"/>
        <v>600</v>
      </c>
    </row>
    <row r="17" spans="1:16" ht="15.75" customHeight="1" x14ac:dyDescent="0.25">
      <c r="A17" s="160" t="s">
        <v>422</v>
      </c>
      <c r="B17" s="88"/>
      <c r="C17" s="88"/>
      <c r="D17" s="162">
        <f t="shared" si="6"/>
        <v>0</v>
      </c>
      <c r="E17" s="88"/>
      <c r="F17" s="88">
        <v>100</v>
      </c>
      <c r="G17" s="88">
        <v>0</v>
      </c>
      <c r="H17" s="88">
        <v>0</v>
      </c>
      <c r="I17" s="162">
        <f t="shared" si="7"/>
        <v>100</v>
      </c>
      <c r="J17" s="88">
        <v>0</v>
      </c>
      <c r="K17" s="88">
        <v>0</v>
      </c>
      <c r="L17" s="88">
        <v>0</v>
      </c>
      <c r="M17" s="88">
        <v>0</v>
      </c>
      <c r="N17" s="162">
        <f t="shared" si="8"/>
        <v>0</v>
      </c>
      <c r="O17" s="170">
        <f t="shared" si="9"/>
        <v>100</v>
      </c>
      <c r="P17" s="210">
        <f t="shared" si="10"/>
        <v>100</v>
      </c>
    </row>
    <row r="18" spans="1:16" ht="15.75" customHeight="1" x14ac:dyDescent="0.25">
      <c r="A18" s="113" t="s">
        <v>224</v>
      </c>
      <c r="B18" s="88"/>
      <c r="C18" s="88"/>
      <c r="D18" s="162">
        <f t="shared" si="6"/>
        <v>0</v>
      </c>
      <c r="E18" s="88"/>
      <c r="F18" s="88">
        <v>4</v>
      </c>
      <c r="G18" s="88">
        <v>1</v>
      </c>
      <c r="H18" s="88">
        <v>1</v>
      </c>
      <c r="I18" s="162">
        <f t="shared" si="7"/>
        <v>6</v>
      </c>
      <c r="J18" s="88">
        <v>0</v>
      </c>
      <c r="K18" s="88">
        <v>0</v>
      </c>
      <c r="L18" s="88">
        <v>0</v>
      </c>
      <c r="M18" s="88">
        <v>0</v>
      </c>
      <c r="N18" s="162">
        <f t="shared" si="8"/>
        <v>0</v>
      </c>
      <c r="O18" s="170">
        <f t="shared" si="9"/>
        <v>6</v>
      </c>
      <c r="P18" s="210">
        <f t="shared" si="10"/>
        <v>6</v>
      </c>
    </row>
    <row r="19" spans="1:16" ht="15.75" customHeight="1" x14ac:dyDescent="0.25">
      <c r="A19" s="113" t="s">
        <v>146</v>
      </c>
      <c r="B19" s="88"/>
      <c r="C19" s="88"/>
      <c r="D19" s="162">
        <f t="shared" si="6"/>
        <v>0</v>
      </c>
      <c r="E19" s="88"/>
      <c r="F19" s="88">
        <v>0</v>
      </c>
      <c r="G19" s="88">
        <v>0</v>
      </c>
      <c r="H19" s="88">
        <v>0</v>
      </c>
      <c r="I19" s="162">
        <f t="shared" si="7"/>
        <v>0</v>
      </c>
      <c r="J19" s="88">
        <v>0</v>
      </c>
      <c r="K19" s="88">
        <v>0</v>
      </c>
      <c r="L19" s="88">
        <v>0</v>
      </c>
      <c r="M19" s="88">
        <v>0</v>
      </c>
      <c r="N19" s="162">
        <f t="shared" si="8"/>
        <v>0</v>
      </c>
      <c r="O19" s="170">
        <f t="shared" si="9"/>
        <v>0</v>
      </c>
      <c r="P19" s="210">
        <f t="shared" si="10"/>
        <v>0</v>
      </c>
    </row>
    <row r="20" spans="1:16" ht="15.75" customHeight="1" x14ac:dyDescent="0.25">
      <c r="A20" s="113" t="s">
        <v>147</v>
      </c>
      <c r="B20" s="88"/>
      <c r="C20" s="88"/>
      <c r="D20" s="162">
        <f t="shared" si="6"/>
        <v>0</v>
      </c>
      <c r="E20" s="88"/>
      <c r="F20" s="88">
        <v>1</v>
      </c>
      <c r="G20" s="88">
        <v>0</v>
      </c>
      <c r="H20" s="88">
        <v>0</v>
      </c>
      <c r="I20" s="162">
        <f t="shared" si="7"/>
        <v>1</v>
      </c>
      <c r="J20" s="88">
        <v>1</v>
      </c>
      <c r="K20" s="88">
        <v>0</v>
      </c>
      <c r="L20" s="88">
        <v>0</v>
      </c>
      <c r="M20" s="88">
        <v>0</v>
      </c>
      <c r="N20" s="162">
        <f t="shared" si="8"/>
        <v>1</v>
      </c>
      <c r="O20" s="170">
        <f t="shared" si="9"/>
        <v>2</v>
      </c>
      <c r="P20" s="210">
        <f t="shared" si="10"/>
        <v>2</v>
      </c>
    </row>
    <row r="21" spans="1:16" ht="15.75" customHeight="1" x14ac:dyDescent="0.25">
      <c r="A21" s="107" t="s">
        <v>401</v>
      </c>
      <c r="B21" s="108">
        <f t="shared" ref="B21:P21" si="11">B15+B16+B17</f>
        <v>0</v>
      </c>
      <c r="C21" s="108">
        <f t="shared" si="11"/>
        <v>0</v>
      </c>
      <c r="D21" s="108">
        <f t="shared" si="11"/>
        <v>0</v>
      </c>
      <c r="E21" s="108">
        <f t="shared" si="11"/>
        <v>0</v>
      </c>
      <c r="F21" s="108">
        <f t="shared" si="11"/>
        <v>440</v>
      </c>
      <c r="G21" s="108">
        <f t="shared" si="11"/>
        <v>200</v>
      </c>
      <c r="H21" s="108">
        <f t="shared" si="11"/>
        <v>180</v>
      </c>
      <c r="I21" s="108">
        <f t="shared" si="11"/>
        <v>820</v>
      </c>
      <c r="J21" s="108">
        <f t="shared" si="11"/>
        <v>240</v>
      </c>
      <c r="K21" s="108">
        <f t="shared" si="11"/>
        <v>600</v>
      </c>
      <c r="L21" s="108">
        <f t="shared" si="11"/>
        <v>40</v>
      </c>
      <c r="M21" s="108">
        <f t="shared" si="11"/>
        <v>0</v>
      </c>
      <c r="N21" s="108">
        <f t="shared" si="11"/>
        <v>880</v>
      </c>
      <c r="O21" s="211">
        <f t="shared" si="11"/>
        <v>1660</v>
      </c>
      <c r="P21" s="211">
        <f t="shared" si="11"/>
        <v>1700</v>
      </c>
    </row>
    <row r="23" spans="1:16" ht="15.75" customHeight="1" x14ac:dyDescent="0.25">
      <c r="A23" s="491" t="s">
        <v>412</v>
      </c>
      <c r="B23" s="492"/>
      <c r="C23" s="492"/>
      <c r="D23" s="492"/>
      <c r="E23" s="492"/>
      <c r="F23" s="492"/>
      <c r="G23" s="492"/>
      <c r="H23" s="492"/>
      <c r="I23" s="492"/>
      <c r="J23" s="492"/>
      <c r="K23" s="492"/>
      <c r="L23" s="492"/>
      <c r="M23" s="492"/>
      <c r="N23" s="492"/>
      <c r="O23" s="492"/>
      <c r="P23" s="493"/>
    </row>
    <row r="24" spans="1:16" ht="15.75" customHeight="1" x14ac:dyDescent="0.25">
      <c r="A24" s="491" t="s">
        <v>209</v>
      </c>
      <c r="B24" s="491" t="s">
        <v>391</v>
      </c>
      <c r="C24" s="492"/>
      <c r="D24" s="493"/>
      <c r="E24" s="491" t="s">
        <v>413</v>
      </c>
      <c r="F24" s="492"/>
      <c r="G24" s="492"/>
      <c r="H24" s="492"/>
      <c r="I24" s="493"/>
      <c r="J24" s="491" t="s">
        <v>414</v>
      </c>
      <c r="K24" s="492"/>
      <c r="L24" s="492"/>
      <c r="M24" s="492"/>
      <c r="N24" s="493"/>
      <c r="O24" s="489" t="s">
        <v>415</v>
      </c>
      <c r="P24" s="489" t="s">
        <v>416</v>
      </c>
    </row>
    <row r="25" spans="1:16" ht="15.75" customHeight="1" x14ac:dyDescent="0.25">
      <c r="A25" s="490"/>
      <c r="B25" s="213">
        <v>45740</v>
      </c>
      <c r="C25" s="213">
        <v>45747</v>
      </c>
      <c r="D25" s="212" t="s">
        <v>129</v>
      </c>
      <c r="E25" s="213">
        <v>45754</v>
      </c>
      <c r="F25" s="213">
        <v>45761</v>
      </c>
      <c r="G25" s="213">
        <v>45768</v>
      </c>
      <c r="H25" s="213">
        <v>45775</v>
      </c>
      <c r="I25" s="212" t="s">
        <v>129</v>
      </c>
      <c r="J25" s="213">
        <v>45782</v>
      </c>
      <c r="K25" s="213">
        <v>45789</v>
      </c>
      <c r="L25" s="213">
        <v>45796</v>
      </c>
      <c r="M25" s="213">
        <v>45803</v>
      </c>
      <c r="N25" s="212" t="s">
        <v>129</v>
      </c>
      <c r="O25" s="490"/>
      <c r="P25" s="490"/>
    </row>
    <row r="26" spans="1:16" ht="15.75" customHeight="1" x14ac:dyDescent="0.25">
      <c r="A26" s="160" t="s">
        <v>419</v>
      </c>
      <c r="B26" s="88"/>
      <c r="C26" s="88"/>
      <c r="D26" s="162">
        <f t="shared" ref="D26:D31" si="12">B26+C26</f>
        <v>0</v>
      </c>
      <c r="E26" s="88"/>
      <c r="F26" s="88">
        <v>60</v>
      </c>
      <c r="G26" s="88">
        <v>0</v>
      </c>
      <c r="H26" s="88">
        <v>540</v>
      </c>
      <c r="I26" s="162">
        <f t="shared" ref="I26:I31" si="13">E26+F26+G26+H26</f>
        <v>600</v>
      </c>
      <c r="J26" s="88">
        <v>60</v>
      </c>
      <c r="K26" s="88">
        <v>540</v>
      </c>
      <c r="L26" s="88">
        <v>0</v>
      </c>
      <c r="M26" s="88">
        <v>0</v>
      </c>
      <c r="N26" s="162">
        <f t="shared" ref="N26:N31" si="14">J26+K26+L26+M26</f>
        <v>600</v>
      </c>
      <c r="O26" s="170">
        <f t="shared" ref="O26:O31" si="15">B26+C26+E26+F26+G26+H26+J26+K26</f>
        <v>1200</v>
      </c>
      <c r="P26" s="210">
        <f t="shared" ref="P26:P31" si="16">D26+I26+N26</f>
        <v>1200</v>
      </c>
    </row>
    <row r="27" spans="1:16" ht="15.75" customHeight="1" x14ac:dyDescent="0.25">
      <c r="A27" s="160" t="s">
        <v>421</v>
      </c>
      <c r="B27" s="88"/>
      <c r="C27" s="88"/>
      <c r="D27" s="162">
        <f t="shared" si="12"/>
        <v>0</v>
      </c>
      <c r="E27" s="88"/>
      <c r="F27" s="88">
        <v>0</v>
      </c>
      <c r="G27" s="88">
        <v>0</v>
      </c>
      <c r="H27" s="88">
        <v>0</v>
      </c>
      <c r="I27" s="162">
        <f t="shared" si="13"/>
        <v>0</v>
      </c>
      <c r="J27" s="88">
        <v>360</v>
      </c>
      <c r="K27" s="88">
        <v>440</v>
      </c>
      <c r="L27" s="88">
        <v>0</v>
      </c>
      <c r="M27" s="88">
        <v>0</v>
      </c>
      <c r="N27" s="162">
        <f t="shared" si="14"/>
        <v>800</v>
      </c>
      <c r="O27" s="170">
        <f t="shared" si="15"/>
        <v>800</v>
      </c>
      <c r="P27" s="210">
        <f t="shared" si="16"/>
        <v>800</v>
      </c>
    </row>
    <row r="28" spans="1:16" ht="15.75" customHeight="1" x14ac:dyDescent="0.25">
      <c r="A28" s="160" t="s">
        <v>422</v>
      </c>
      <c r="B28" s="88"/>
      <c r="C28" s="88"/>
      <c r="D28" s="162">
        <f t="shared" si="12"/>
        <v>0</v>
      </c>
      <c r="E28" s="88"/>
      <c r="F28" s="88">
        <v>40</v>
      </c>
      <c r="G28" s="88">
        <v>20</v>
      </c>
      <c r="H28" s="88">
        <v>0</v>
      </c>
      <c r="I28" s="162">
        <f t="shared" si="13"/>
        <v>60</v>
      </c>
      <c r="J28" s="88">
        <v>40</v>
      </c>
      <c r="K28" s="88">
        <v>0</v>
      </c>
      <c r="L28" s="88">
        <v>0</v>
      </c>
      <c r="M28" s="88">
        <v>0</v>
      </c>
      <c r="N28" s="162">
        <f t="shared" si="14"/>
        <v>40</v>
      </c>
      <c r="O28" s="170">
        <f t="shared" si="15"/>
        <v>100</v>
      </c>
      <c r="P28" s="210">
        <f t="shared" si="16"/>
        <v>100</v>
      </c>
    </row>
    <row r="29" spans="1:16" ht="15.75" customHeight="1" x14ac:dyDescent="0.25">
      <c r="A29" s="113" t="s">
        <v>224</v>
      </c>
      <c r="B29" s="88"/>
      <c r="C29" s="88"/>
      <c r="D29" s="162">
        <f t="shared" si="12"/>
        <v>0</v>
      </c>
      <c r="E29" s="88"/>
      <c r="F29" s="88">
        <v>2</v>
      </c>
      <c r="G29" s="88">
        <v>0</v>
      </c>
      <c r="H29" s="88">
        <v>2</v>
      </c>
      <c r="I29" s="162">
        <f t="shared" si="13"/>
        <v>4</v>
      </c>
      <c r="J29" s="88">
        <v>1</v>
      </c>
      <c r="K29" s="88">
        <v>1</v>
      </c>
      <c r="L29" s="88">
        <v>0</v>
      </c>
      <c r="M29" s="88">
        <v>0</v>
      </c>
      <c r="N29" s="162">
        <f t="shared" si="14"/>
        <v>2</v>
      </c>
      <c r="O29" s="170">
        <f t="shared" si="15"/>
        <v>6</v>
      </c>
      <c r="P29" s="210">
        <f t="shared" si="16"/>
        <v>6</v>
      </c>
    </row>
    <row r="30" spans="1:16" ht="15.75" customHeight="1" x14ac:dyDescent="0.25">
      <c r="A30" s="113" t="s">
        <v>146</v>
      </c>
      <c r="B30" s="88"/>
      <c r="C30" s="88"/>
      <c r="D30" s="162">
        <f t="shared" si="12"/>
        <v>0</v>
      </c>
      <c r="E30" s="88"/>
      <c r="F30" s="88">
        <v>1</v>
      </c>
      <c r="G30" s="88">
        <v>0</v>
      </c>
      <c r="H30" s="88">
        <v>0</v>
      </c>
      <c r="I30" s="162">
        <f t="shared" si="13"/>
        <v>1</v>
      </c>
      <c r="J30" s="88">
        <v>0</v>
      </c>
      <c r="K30" s="88">
        <v>0</v>
      </c>
      <c r="L30" s="88">
        <v>0</v>
      </c>
      <c r="M30" s="88">
        <v>0</v>
      </c>
      <c r="N30" s="162">
        <f t="shared" si="14"/>
        <v>0</v>
      </c>
      <c r="O30" s="170">
        <f t="shared" si="15"/>
        <v>1</v>
      </c>
      <c r="P30" s="210">
        <f t="shared" si="16"/>
        <v>1</v>
      </c>
    </row>
    <row r="31" spans="1:16" ht="15.75" customHeight="1" x14ac:dyDescent="0.25">
      <c r="A31" s="113" t="s">
        <v>147</v>
      </c>
      <c r="B31" s="88"/>
      <c r="C31" s="88"/>
      <c r="D31" s="162">
        <f t="shared" si="12"/>
        <v>0</v>
      </c>
      <c r="E31" s="88"/>
      <c r="F31" s="88">
        <v>1</v>
      </c>
      <c r="G31" s="88">
        <v>0</v>
      </c>
      <c r="H31" s="88">
        <v>0</v>
      </c>
      <c r="I31" s="162">
        <f t="shared" si="13"/>
        <v>1</v>
      </c>
      <c r="J31" s="88">
        <v>2</v>
      </c>
      <c r="K31" s="88">
        <v>0</v>
      </c>
      <c r="L31" s="88">
        <v>0</v>
      </c>
      <c r="M31" s="88">
        <v>0</v>
      </c>
      <c r="N31" s="162">
        <f t="shared" si="14"/>
        <v>2</v>
      </c>
      <c r="O31" s="170">
        <f t="shared" si="15"/>
        <v>3</v>
      </c>
      <c r="P31" s="210">
        <f t="shared" si="16"/>
        <v>3</v>
      </c>
    </row>
    <row r="32" spans="1:16" ht="15.75" customHeight="1" x14ac:dyDescent="0.25">
      <c r="A32" s="107" t="s">
        <v>401</v>
      </c>
      <c r="B32" s="108">
        <f t="shared" ref="B32:P32" si="17">B26+B27+B28</f>
        <v>0</v>
      </c>
      <c r="C32" s="108">
        <f t="shared" si="17"/>
        <v>0</v>
      </c>
      <c r="D32" s="108">
        <f t="shared" si="17"/>
        <v>0</v>
      </c>
      <c r="E32" s="108">
        <f t="shared" si="17"/>
        <v>0</v>
      </c>
      <c r="F32" s="108">
        <f t="shared" si="17"/>
        <v>100</v>
      </c>
      <c r="G32" s="108">
        <f t="shared" si="17"/>
        <v>20</v>
      </c>
      <c r="H32" s="108">
        <f t="shared" si="17"/>
        <v>540</v>
      </c>
      <c r="I32" s="108">
        <f t="shared" si="17"/>
        <v>660</v>
      </c>
      <c r="J32" s="108">
        <f t="shared" si="17"/>
        <v>460</v>
      </c>
      <c r="K32" s="108">
        <f t="shared" si="17"/>
        <v>980</v>
      </c>
      <c r="L32" s="108">
        <f t="shared" si="17"/>
        <v>0</v>
      </c>
      <c r="M32" s="108">
        <f t="shared" si="17"/>
        <v>0</v>
      </c>
      <c r="N32" s="108">
        <f t="shared" si="17"/>
        <v>1440</v>
      </c>
      <c r="O32" s="211">
        <f t="shared" si="17"/>
        <v>2100</v>
      </c>
      <c r="P32" s="211">
        <f t="shared" si="17"/>
        <v>2100</v>
      </c>
    </row>
    <row r="34" spans="1:16" ht="15.75" customHeight="1" x14ac:dyDescent="0.25">
      <c r="A34" s="491" t="s">
        <v>412</v>
      </c>
      <c r="B34" s="492"/>
      <c r="C34" s="492"/>
      <c r="D34" s="492"/>
      <c r="E34" s="492"/>
      <c r="F34" s="492"/>
      <c r="G34" s="492"/>
      <c r="H34" s="492"/>
      <c r="I34" s="492"/>
      <c r="J34" s="492"/>
      <c r="K34" s="492"/>
      <c r="L34" s="492"/>
      <c r="M34" s="492"/>
      <c r="N34" s="492"/>
      <c r="O34" s="492"/>
      <c r="P34" s="493"/>
    </row>
    <row r="35" spans="1:16" ht="15.75" customHeight="1" x14ac:dyDescent="0.25">
      <c r="A35" s="491" t="s">
        <v>222</v>
      </c>
      <c r="B35" s="491" t="s">
        <v>391</v>
      </c>
      <c r="C35" s="492"/>
      <c r="D35" s="493"/>
      <c r="E35" s="491" t="s">
        <v>413</v>
      </c>
      <c r="F35" s="492"/>
      <c r="G35" s="492"/>
      <c r="H35" s="492"/>
      <c r="I35" s="493"/>
      <c r="J35" s="491" t="s">
        <v>414</v>
      </c>
      <c r="K35" s="492"/>
      <c r="L35" s="492"/>
      <c r="M35" s="492"/>
      <c r="N35" s="493"/>
      <c r="O35" s="489" t="s">
        <v>415</v>
      </c>
      <c r="P35" s="489" t="s">
        <v>416</v>
      </c>
    </row>
    <row r="36" spans="1:16" ht="15.75" customHeight="1" x14ac:dyDescent="0.25">
      <c r="A36" s="490"/>
      <c r="B36" s="213">
        <v>45740</v>
      </c>
      <c r="C36" s="213">
        <v>45747</v>
      </c>
      <c r="D36" s="212" t="s">
        <v>129</v>
      </c>
      <c r="E36" s="213">
        <v>45754</v>
      </c>
      <c r="F36" s="213">
        <v>45761</v>
      </c>
      <c r="G36" s="213">
        <v>45768</v>
      </c>
      <c r="H36" s="213">
        <v>45775</v>
      </c>
      <c r="I36" s="212" t="s">
        <v>129</v>
      </c>
      <c r="J36" s="213">
        <v>45782</v>
      </c>
      <c r="K36" s="213">
        <v>45789</v>
      </c>
      <c r="L36" s="213">
        <v>45796</v>
      </c>
      <c r="M36" s="213">
        <v>45803</v>
      </c>
      <c r="N36" s="212" t="s">
        <v>129</v>
      </c>
      <c r="O36" s="490"/>
      <c r="P36" s="490"/>
    </row>
    <row r="37" spans="1:16" ht="15.75" customHeight="1" x14ac:dyDescent="0.25">
      <c r="A37" s="160" t="s">
        <v>419</v>
      </c>
      <c r="B37" s="88"/>
      <c r="C37" s="88"/>
      <c r="D37" s="162">
        <f t="shared" ref="D37:D42" si="18">B37+C37</f>
        <v>0</v>
      </c>
      <c r="E37" s="88"/>
      <c r="F37" s="88">
        <v>265</v>
      </c>
      <c r="G37" s="88">
        <v>90</v>
      </c>
      <c r="H37" s="88">
        <v>110</v>
      </c>
      <c r="I37" s="162">
        <f t="shared" ref="I37:I42" si="19">E37+F37+G37+H37</f>
        <v>465</v>
      </c>
      <c r="J37" s="88">
        <v>135</v>
      </c>
      <c r="K37" s="88">
        <v>0</v>
      </c>
      <c r="L37" s="88">
        <v>0</v>
      </c>
      <c r="M37" s="88">
        <v>0</v>
      </c>
      <c r="N37" s="162">
        <f t="shared" ref="N37:N42" si="20">J37+K37+L37+M37</f>
        <v>135</v>
      </c>
      <c r="O37" s="170">
        <f t="shared" ref="O37:O42" si="21">B37+C37+E37+F37+G37+H37+J37+K37</f>
        <v>600</v>
      </c>
      <c r="P37" s="210">
        <f t="shared" ref="P37:P42" si="22">D37+I37+N37</f>
        <v>600</v>
      </c>
    </row>
    <row r="38" spans="1:16" ht="15.75" customHeight="1" x14ac:dyDescent="0.25">
      <c r="A38" s="160" t="s">
        <v>421</v>
      </c>
      <c r="B38" s="88"/>
      <c r="C38" s="88"/>
      <c r="D38" s="162">
        <f t="shared" si="18"/>
        <v>0</v>
      </c>
      <c r="E38" s="88"/>
      <c r="F38" s="88">
        <v>140</v>
      </c>
      <c r="G38" s="88">
        <v>45</v>
      </c>
      <c r="H38" s="88">
        <v>35</v>
      </c>
      <c r="I38" s="162">
        <f t="shared" si="19"/>
        <v>220</v>
      </c>
      <c r="J38" s="88">
        <v>60</v>
      </c>
      <c r="K38" s="88">
        <v>320</v>
      </c>
      <c r="L38" s="88">
        <v>0</v>
      </c>
      <c r="M38" s="88">
        <v>0</v>
      </c>
      <c r="N38" s="162">
        <f t="shared" si="20"/>
        <v>380</v>
      </c>
      <c r="O38" s="170">
        <f t="shared" si="21"/>
        <v>600</v>
      </c>
      <c r="P38" s="210">
        <f t="shared" si="22"/>
        <v>600</v>
      </c>
    </row>
    <row r="39" spans="1:16" ht="15.75" customHeight="1" x14ac:dyDescent="0.25">
      <c r="A39" s="160" t="s">
        <v>422</v>
      </c>
      <c r="B39" s="88"/>
      <c r="C39" s="88"/>
      <c r="D39" s="162">
        <f t="shared" si="18"/>
        <v>0</v>
      </c>
      <c r="E39" s="88"/>
      <c r="F39" s="88">
        <v>100</v>
      </c>
      <c r="G39" s="88">
        <v>0</v>
      </c>
      <c r="H39" s="88">
        <v>0</v>
      </c>
      <c r="I39" s="162">
        <f t="shared" si="19"/>
        <v>100</v>
      </c>
      <c r="J39" s="88">
        <v>0</v>
      </c>
      <c r="K39" s="88">
        <v>0</v>
      </c>
      <c r="L39" s="88">
        <v>0</v>
      </c>
      <c r="M39" s="88">
        <v>0</v>
      </c>
      <c r="N39" s="162">
        <f t="shared" si="20"/>
        <v>0</v>
      </c>
      <c r="O39" s="170">
        <f t="shared" si="21"/>
        <v>100</v>
      </c>
      <c r="P39" s="210">
        <f t="shared" si="22"/>
        <v>100</v>
      </c>
    </row>
    <row r="40" spans="1:16" ht="15.75" customHeight="1" x14ac:dyDescent="0.25">
      <c r="A40" s="113" t="s">
        <v>224</v>
      </c>
      <c r="B40" s="88"/>
      <c r="C40" s="88"/>
      <c r="D40" s="162">
        <f t="shared" si="18"/>
        <v>0</v>
      </c>
      <c r="E40" s="88"/>
      <c r="F40" s="88">
        <v>2</v>
      </c>
      <c r="G40" s="88">
        <v>1</v>
      </c>
      <c r="H40" s="88">
        <v>0</v>
      </c>
      <c r="I40" s="162">
        <f t="shared" si="19"/>
        <v>3</v>
      </c>
      <c r="J40" s="88">
        <v>1</v>
      </c>
      <c r="K40" s="88">
        <v>2</v>
      </c>
      <c r="L40" s="88">
        <v>0</v>
      </c>
      <c r="M40" s="88">
        <v>0</v>
      </c>
      <c r="N40" s="162">
        <f t="shared" si="20"/>
        <v>3</v>
      </c>
      <c r="O40" s="170">
        <f t="shared" si="21"/>
        <v>6</v>
      </c>
      <c r="P40" s="210">
        <f t="shared" si="22"/>
        <v>6</v>
      </c>
    </row>
    <row r="41" spans="1:16" ht="15.75" customHeight="1" x14ac:dyDescent="0.25">
      <c r="A41" s="113" t="s">
        <v>146</v>
      </c>
      <c r="B41" s="88"/>
      <c r="C41" s="88"/>
      <c r="D41" s="162">
        <f t="shared" si="18"/>
        <v>0</v>
      </c>
      <c r="E41" s="88"/>
      <c r="F41" s="88">
        <v>0</v>
      </c>
      <c r="G41" s="88">
        <v>0</v>
      </c>
      <c r="H41" s="88">
        <v>0</v>
      </c>
      <c r="I41" s="162">
        <f t="shared" si="19"/>
        <v>0</v>
      </c>
      <c r="J41" s="88">
        <v>0</v>
      </c>
      <c r="K41" s="88">
        <v>0</v>
      </c>
      <c r="L41" s="88">
        <v>0</v>
      </c>
      <c r="M41" s="88">
        <v>0</v>
      </c>
      <c r="N41" s="162">
        <f t="shared" si="20"/>
        <v>0</v>
      </c>
      <c r="O41" s="170">
        <f t="shared" si="21"/>
        <v>0</v>
      </c>
      <c r="P41" s="210">
        <f t="shared" si="22"/>
        <v>0</v>
      </c>
    </row>
    <row r="42" spans="1:16" ht="15.75" customHeight="1" x14ac:dyDescent="0.25">
      <c r="A42" s="113" t="s">
        <v>147</v>
      </c>
      <c r="B42" s="88"/>
      <c r="C42" s="88"/>
      <c r="D42" s="162">
        <f t="shared" si="18"/>
        <v>0</v>
      </c>
      <c r="E42" s="88"/>
      <c r="F42" s="88">
        <v>1</v>
      </c>
      <c r="G42" s="88">
        <v>0</v>
      </c>
      <c r="H42" s="88">
        <v>0</v>
      </c>
      <c r="I42" s="162">
        <f t="shared" si="19"/>
        <v>1</v>
      </c>
      <c r="J42" s="88">
        <v>0</v>
      </c>
      <c r="K42" s="88">
        <v>1</v>
      </c>
      <c r="L42" s="88">
        <v>0</v>
      </c>
      <c r="M42" s="88">
        <v>0</v>
      </c>
      <c r="N42" s="162">
        <f t="shared" si="20"/>
        <v>1</v>
      </c>
      <c r="O42" s="170">
        <f t="shared" si="21"/>
        <v>2</v>
      </c>
      <c r="P42" s="210">
        <f t="shared" si="22"/>
        <v>2</v>
      </c>
    </row>
    <row r="43" spans="1:16" ht="15.75" customHeight="1" x14ac:dyDescent="0.25">
      <c r="A43" s="107" t="s">
        <v>401</v>
      </c>
      <c r="B43" s="108">
        <f t="shared" ref="B43:P43" si="23">B37+B38+B39</f>
        <v>0</v>
      </c>
      <c r="C43" s="108">
        <f t="shared" si="23"/>
        <v>0</v>
      </c>
      <c r="D43" s="108">
        <f t="shared" si="23"/>
        <v>0</v>
      </c>
      <c r="E43" s="108">
        <f t="shared" si="23"/>
        <v>0</v>
      </c>
      <c r="F43" s="108">
        <f t="shared" si="23"/>
        <v>505</v>
      </c>
      <c r="G43" s="108">
        <f t="shared" si="23"/>
        <v>135</v>
      </c>
      <c r="H43" s="108">
        <f t="shared" si="23"/>
        <v>145</v>
      </c>
      <c r="I43" s="108">
        <f t="shared" si="23"/>
        <v>785</v>
      </c>
      <c r="J43" s="108">
        <f t="shared" si="23"/>
        <v>195</v>
      </c>
      <c r="K43" s="108">
        <f t="shared" si="23"/>
        <v>320</v>
      </c>
      <c r="L43" s="108">
        <f t="shared" si="23"/>
        <v>0</v>
      </c>
      <c r="M43" s="108">
        <f t="shared" si="23"/>
        <v>0</v>
      </c>
      <c r="N43" s="108">
        <f t="shared" si="23"/>
        <v>515</v>
      </c>
      <c r="O43" s="211">
        <f t="shared" si="23"/>
        <v>1300</v>
      </c>
      <c r="P43" s="211">
        <f t="shared" si="23"/>
        <v>1300</v>
      </c>
    </row>
    <row r="45" spans="1:16" ht="15.75" customHeight="1" x14ac:dyDescent="0.25">
      <c r="A45" s="491" t="s">
        <v>412</v>
      </c>
      <c r="B45" s="492"/>
      <c r="C45" s="492"/>
      <c r="D45" s="492"/>
      <c r="E45" s="492"/>
      <c r="F45" s="492"/>
      <c r="G45" s="492"/>
      <c r="H45" s="492"/>
      <c r="I45" s="492"/>
      <c r="J45" s="492"/>
      <c r="K45" s="492"/>
      <c r="L45" s="492"/>
      <c r="M45" s="492"/>
      <c r="N45" s="492"/>
      <c r="O45" s="492"/>
      <c r="P45" s="493"/>
    </row>
    <row r="46" spans="1:16" ht="15.75" customHeight="1" x14ac:dyDescent="0.25">
      <c r="A46" s="491" t="s">
        <v>402</v>
      </c>
      <c r="B46" s="491" t="s">
        <v>391</v>
      </c>
      <c r="C46" s="492"/>
      <c r="D46" s="493"/>
      <c r="E46" s="491" t="s">
        <v>413</v>
      </c>
      <c r="F46" s="492"/>
      <c r="G46" s="492"/>
      <c r="H46" s="492"/>
      <c r="I46" s="493"/>
      <c r="J46" s="491" t="s">
        <v>414</v>
      </c>
      <c r="K46" s="492"/>
      <c r="L46" s="492"/>
      <c r="M46" s="492"/>
      <c r="N46" s="493"/>
      <c r="O46" s="489" t="s">
        <v>415</v>
      </c>
      <c r="P46" s="489" t="s">
        <v>416</v>
      </c>
    </row>
    <row r="47" spans="1:16" ht="15.75" customHeight="1" x14ac:dyDescent="0.25">
      <c r="A47" s="490"/>
      <c r="B47" s="213">
        <v>45740</v>
      </c>
      <c r="C47" s="213">
        <v>45747</v>
      </c>
      <c r="D47" s="212" t="s">
        <v>129</v>
      </c>
      <c r="E47" s="213">
        <v>45754</v>
      </c>
      <c r="F47" s="213">
        <v>45761</v>
      </c>
      <c r="G47" s="213">
        <v>45768</v>
      </c>
      <c r="H47" s="213">
        <v>45775</v>
      </c>
      <c r="I47" s="212" t="s">
        <v>129</v>
      </c>
      <c r="J47" s="213">
        <v>45782</v>
      </c>
      <c r="K47" s="213">
        <v>45789</v>
      </c>
      <c r="L47" s="213">
        <v>45796</v>
      </c>
      <c r="M47" s="213">
        <v>45803</v>
      </c>
      <c r="N47" s="212" t="s">
        <v>129</v>
      </c>
      <c r="O47" s="490"/>
      <c r="P47" s="490"/>
    </row>
    <row r="48" spans="1:16" ht="15.75" customHeight="1" x14ac:dyDescent="0.25">
      <c r="A48" s="160" t="s">
        <v>419</v>
      </c>
      <c r="B48" s="88"/>
      <c r="C48" s="88"/>
      <c r="D48" s="162">
        <f t="shared" ref="D48:D53" si="24">B48+C48</f>
        <v>0</v>
      </c>
      <c r="E48" s="88"/>
      <c r="F48" s="88">
        <v>10</v>
      </c>
      <c r="G48" s="88">
        <v>420</v>
      </c>
      <c r="H48" s="88">
        <v>329</v>
      </c>
      <c r="I48" s="162">
        <f t="shared" ref="I48:I53" si="25">E48+F48+G48+H48</f>
        <v>759</v>
      </c>
      <c r="J48" s="88">
        <v>344</v>
      </c>
      <c r="K48" s="88">
        <v>897</v>
      </c>
      <c r="L48" s="88">
        <v>0</v>
      </c>
      <c r="M48" s="88">
        <v>0</v>
      </c>
      <c r="N48" s="162">
        <f t="shared" ref="N48:N53" si="26">J48+K48+L48+M48</f>
        <v>1241</v>
      </c>
      <c r="O48" s="170">
        <f t="shared" ref="O48:O53" si="27">B48+C48+E48+F48+G48+H48+J48+K48</f>
        <v>2000</v>
      </c>
      <c r="P48" s="210">
        <f t="shared" ref="P48:P53" si="28">D48+I48+N48</f>
        <v>2000</v>
      </c>
    </row>
    <row r="49" spans="1:16" ht="15.75" customHeight="1" x14ac:dyDescent="0.25">
      <c r="A49" s="160" t="s">
        <v>421</v>
      </c>
      <c r="B49" s="88"/>
      <c r="C49" s="88"/>
      <c r="D49" s="162">
        <f t="shared" si="24"/>
        <v>0</v>
      </c>
      <c r="E49" s="88"/>
      <c r="F49" s="88">
        <v>5</v>
      </c>
      <c r="G49" s="88">
        <v>245</v>
      </c>
      <c r="H49" s="88">
        <v>309</v>
      </c>
      <c r="I49" s="162">
        <f t="shared" si="25"/>
        <v>559</v>
      </c>
      <c r="J49" s="88">
        <v>131</v>
      </c>
      <c r="K49" s="88">
        <v>710</v>
      </c>
      <c r="L49" s="88">
        <v>0</v>
      </c>
      <c r="M49" s="88">
        <v>0</v>
      </c>
      <c r="N49" s="162">
        <f t="shared" si="26"/>
        <v>841</v>
      </c>
      <c r="O49" s="170">
        <f t="shared" si="27"/>
        <v>1400</v>
      </c>
      <c r="P49" s="210">
        <f t="shared" si="28"/>
        <v>1400</v>
      </c>
    </row>
    <row r="50" spans="1:16" ht="15.75" customHeight="1" x14ac:dyDescent="0.25">
      <c r="A50" s="160" t="s">
        <v>422</v>
      </c>
      <c r="B50" s="88"/>
      <c r="C50" s="88"/>
      <c r="D50" s="162">
        <f t="shared" si="24"/>
        <v>0</v>
      </c>
      <c r="E50" s="88"/>
      <c r="F50" s="88">
        <v>0</v>
      </c>
      <c r="G50" s="88">
        <v>0</v>
      </c>
      <c r="H50" s="88">
        <v>0</v>
      </c>
      <c r="I50" s="162">
        <f t="shared" si="25"/>
        <v>0</v>
      </c>
      <c r="J50" s="88">
        <v>162</v>
      </c>
      <c r="K50" s="88">
        <v>38</v>
      </c>
      <c r="L50" s="88">
        <v>0</v>
      </c>
      <c r="M50" s="88">
        <v>0</v>
      </c>
      <c r="N50" s="162">
        <f t="shared" si="26"/>
        <v>200</v>
      </c>
      <c r="O50" s="170">
        <f t="shared" si="27"/>
        <v>200</v>
      </c>
      <c r="P50" s="210">
        <f t="shared" si="28"/>
        <v>200</v>
      </c>
    </row>
    <row r="51" spans="1:16" ht="15.75" customHeight="1" x14ac:dyDescent="0.25">
      <c r="A51" s="113" t="s">
        <v>224</v>
      </c>
      <c r="B51" s="88"/>
      <c r="C51" s="88"/>
      <c r="D51" s="162">
        <f t="shared" si="24"/>
        <v>0</v>
      </c>
      <c r="E51" s="88"/>
      <c r="F51" s="88">
        <v>3</v>
      </c>
      <c r="G51" s="88">
        <v>3</v>
      </c>
      <c r="H51" s="88">
        <v>2</v>
      </c>
      <c r="I51" s="162">
        <f t="shared" si="25"/>
        <v>8</v>
      </c>
      <c r="J51" s="88">
        <v>3</v>
      </c>
      <c r="K51" s="88">
        <v>3</v>
      </c>
      <c r="L51" s="88">
        <v>0</v>
      </c>
      <c r="M51" s="88">
        <v>0</v>
      </c>
      <c r="N51" s="162">
        <f t="shared" si="26"/>
        <v>6</v>
      </c>
      <c r="O51" s="170">
        <f t="shared" si="27"/>
        <v>14</v>
      </c>
      <c r="P51" s="210">
        <f t="shared" si="28"/>
        <v>14</v>
      </c>
    </row>
    <row r="52" spans="1:16" ht="15.75" customHeight="1" x14ac:dyDescent="0.25">
      <c r="A52" s="113" t="s">
        <v>146</v>
      </c>
      <c r="B52" s="88"/>
      <c r="C52" s="88"/>
      <c r="D52" s="162">
        <f t="shared" si="24"/>
        <v>0</v>
      </c>
      <c r="E52" s="88"/>
      <c r="F52" s="88">
        <v>0</v>
      </c>
      <c r="G52" s="88">
        <v>0</v>
      </c>
      <c r="H52" s="88">
        <v>0</v>
      </c>
      <c r="I52" s="162">
        <f t="shared" si="25"/>
        <v>0</v>
      </c>
      <c r="J52" s="88">
        <v>0</v>
      </c>
      <c r="K52" s="88">
        <v>0</v>
      </c>
      <c r="L52" s="88">
        <v>0</v>
      </c>
      <c r="M52" s="88">
        <v>0</v>
      </c>
      <c r="N52" s="162">
        <f t="shared" si="26"/>
        <v>0</v>
      </c>
      <c r="O52" s="170">
        <f t="shared" si="27"/>
        <v>0</v>
      </c>
      <c r="P52" s="210">
        <f t="shared" si="28"/>
        <v>0</v>
      </c>
    </row>
    <row r="53" spans="1:16" ht="15.75" customHeight="1" x14ac:dyDescent="0.25">
      <c r="A53" s="113" t="s">
        <v>147</v>
      </c>
      <c r="B53" s="88"/>
      <c r="C53" s="88"/>
      <c r="D53" s="162">
        <f t="shared" si="24"/>
        <v>0</v>
      </c>
      <c r="E53" s="88"/>
      <c r="F53" s="88">
        <v>1</v>
      </c>
      <c r="G53" s="88">
        <v>0</v>
      </c>
      <c r="H53" s="88">
        <v>0</v>
      </c>
      <c r="I53" s="162">
        <f t="shared" si="25"/>
        <v>1</v>
      </c>
      <c r="J53" s="88">
        <v>0</v>
      </c>
      <c r="K53" s="88">
        <v>3</v>
      </c>
      <c r="L53" s="88">
        <v>0</v>
      </c>
      <c r="M53" s="88">
        <v>0</v>
      </c>
      <c r="N53" s="162">
        <f t="shared" si="26"/>
        <v>3</v>
      </c>
      <c r="O53" s="170">
        <f t="shared" si="27"/>
        <v>4</v>
      </c>
      <c r="P53" s="210">
        <f t="shared" si="28"/>
        <v>4</v>
      </c>
    </row>
    <row r="54" spans="1:16" ht="15.75" customHeight="1" x14ac:dyDescent="0.25">
      <c r="A54" s="107" t="s">
        <v>401</v>
      </c>
      <c r="B54" s="108">
        <f t="shared" ref="B54:P54" si="29">B48+B49+B50</f>
        <v>0</v>
      </c>
      <c r="C54" s="108">
        <f t="shared" si="29"/>
        <v>0</v>
      </c>
      <c r="D54" s="108">
        <f t="shared" si="29"/>
        <v>0</v>
      </c>
      <c r="E54" s="108">
        <f t="shared" si="29"/>
        <v>0</v>
      </c>
      <c r="F54" s="108">
        <f t="shared" si="29"/>
        <v>15</v>
      </c>
      <c r="G54" s="108">
        <f t="shared" si="29"/>
        <v>665</v>
      </c>
      <c r="H54" s="108">
        <f t="shared" si="29"/>
        <v>638</v>
      </c>
      <c r="I54" s="108">
        <f t="shared" si="29"/>
        <v>1318</v>
      </c>
      <c r="J54" s="108">
        <f t="shared" si="29"/>
        <v>637</v>
      </c>
      <c r="K54" s="108">
        <f t="shared" si="29"/>
        <v>1645</v>
      </c>
      <c r="L54" s="108">
        <f t="shared" si="29"/>
        <v>0</v>
      </c>
      <c r="M54" s="108">
        <f t="shared" si="29"/>
        <v>0</v>
      </c>
      <c r="N54" s="108">
        <f t="shared" si="29"/>
        <v>2282</v>
      </c>
      <c r="O54" s="211">
        <f t="shared" si="29"/>
        <v>3600</v>
      </c>
      <c r="P54" s="211">
        <f t="shared" si="29"/>
        <v>3600</v>
      </c>
    </row>
    <row r="56" spans="1:16" ht="15.75" customHeight="1" x14ac:dyDescent="0.25">
      <c r="A56" s="491" t="s">
        <v>412</v>
      </c>
      <c r="B56" s="492"/>
      <c r="C56" s="492"/>
      <c r="D56" s="492"/>
      <c r="E56" s="492"/>
      <c r="F56" s="492"/>
      <c r="G56" s="492"/>
      <c r="H56" s="492"/>
      <c r="I56" s="492"/>
      <c r="J56" s="492"/>
      <c r="K56" s="492"/>
      <c r="L56" s="492"/>
      <c r="M56" s="492"/>
      <c r="N56" s="492"/>
      <c r="O56" s="492"/>
      <c r="P56" s="493"/>
    </row>
    <row r="57" spans="1:16" ht="15.75" customHeight="1" x14ac:dyDescent="0.25">
      <c r="A57" s="491" t="s">
        <v>244</v>
      </c>
      <c r="B57" s="491" t="s">
        <v>391</v>
      </c>
      <c r="C57" s="492"/>
      <c r="D57" s="493"/>
      <c r="E57" s="491" t="s">
        <v>413</v>
      </c>
      <c r="F57" s="492"/>
      <c r="G57" s="492"/>
      <c r="H57" s="492"/>
      <c r="I57" s="493"/>
      <c r="J57" s="491" t="s">
        <v>414</v>
      </c>
      <c r="K57" s="492"/>
      <c r="L57" s="492"/>
      <c r="M57" s="492"/>
      <c r="N57" s="493"/>
      <c r="O57" s="489" t="s">
        <v>415</v>
      </c>
      <c r="P57" s="489" t="s">
        <v>416</v>
      </c>
    </row>
    <row r="58" spans="1:16" ht="15.75" customHeight="1" x14ac:dyDescent="0.25">
      <c r="A58" s="490"/>
      <c r="B58" s="213">
        <v>45740</v>
      </c>
      <c r="C58" s="213">
        <v>45747</v>
      </c>
      <c r="D58" s="212" t="s">
        <v>129</v>
      </c>
      <c r="E58" s="213">
        <v>45754</v>
      </c>
      <c r="F58" s="213">
        <v>45761</v>
      </c>
      <c r="G58" s="213">
        <v>45768</v>
      </c>
      <c r="H58" s="213">
        <v>45775</v>
      </c>
      <c r="I58" s="212" t="s">
        <v>129</v>
      </c>
      <c r="J58" s="213">
        <v>45782</v>
      </c>
      <c r="K58" s="213">
        <v>45789</v>
      </c>
      <c r="L58" s="213">
        <v>45796</v>
      </c>
      <c r="M58" s="213">
        <v>45803</v>
      </c>
      <c r="N58" s="212" t="s">
        <v>129</v>
      </c>
      <c r="O58" s="490"/>
      <c r="P58" s="490"/>
    </row>
    <row r="59" spans="1:16" ht="15.75" customHeight="1" x14ac:dyDescent="0.25">
      <c r="A59" s="160" t="s">
        <v>419</v>
      </c>
      <c r="B59" s="88"/>
      <c r="C59" s="88"/>
      <c r="D59" s="162">
        <f t="shared" ref="D59:D64" si="30">B59+C59</f>
        <v>0</v>
      </c>
      <c r="E59" s="88"/>
      <c r="F59" s="88">
        <v>80</v>
      </c>
      <c r="G59" s="88">
        <v>60</v>
      </c>
      <c r="H59" s="88">
        <v>80</v>
      </c>
      <c r="I59" s="162">
        <f t="shared" ref="I59:I64" si="31">E59+F59+G59+H59</f>
        <v>220</v>
      </c>
      <c r="J59" s="88">
        <v>0</v>
      </c>
      <c r="K59" s="88">
        <v>100</v>
      </c>
      <c r="L59" s="88">
        <v>280</v>
      </c>
      <c r="M59" s="88">
        <v>0</v>
      </c>
      <c r="N59" s="162">
        <f t="shared" ref="N59:N64" si="32">J59+K59+L59+M59</f>
        <v>380</v>
      </c>
      <c r="O59" s="170">
        <f t="shared" ref="O59:O64" si="33">B59+C59+E59+F59+G59+H59+J59+K59</f>
        <v>320</v>
      </c>
      <c r="P59" s="210">
        <f t="shared" ref="P59:P64" si="34">D59+I59+N59</f>
        <v>600</v>
      </c>
    </row>
    <row r="60" spans="1:16" ht="15.75" customHeight="1" x14ac:dyDescent="0.25">
      <c r="A60" s="160" t="s">
        <v>421</v>
      </c>
      <c r="B60" s="88"/>
      <c r="C60" s="88"/>
      <c r="D60" s="162">
        <f t="shared" si="30"/>
        <v>0</v>
      </c>
      <c r="E60" s="88"/>
      <c r="F60" s="88">
        <v>80</v>
      </c>
      <c r="G60" s="88">
        <v>10</v>
      </c>
      <c r="H60" s="88">
        <v>40</v>
      </c>
      <c r="I60" s="162">
        <f t="shared" si="31"/>
        <v>130</v>
      </c>
      <c r="J60" s="88">
        <v>40</v>
      </c>
      <c r="K60" s="88">
        <v>30</v>
      </c>
      <c r="L60" s="88">
        <v>0</v>
      </c>
      <c r="M60" s="88">
        <v>0</v>
      </c>
      <c r="N60" s="162">
        <f t="shared" si="32"/>
        <v>70</v>
      </c>
      <c r="O60" s="170">
        <f t="shared" si="33"/>
        <v>200</v>
      </c>
      <c r="P60" s="210">
        <f t="shared" si="34"/>
        <v>200</v>
      </c>
    </row>
    <row r="61" spans="1:16" ht="15.75" customHeight="1" x14ac:dyDescent="0.25">
      <c r="A61" s="160" t="s">
        <v>422</v>
      </c>
      <c r="B61" s="88"/>
      <c r="C61" s="88"/>
      <c r="D61" s="162">
        <f t="shared" si="30"/>
        <v>0</v>
      </c>
      <c r="E61" s="88"/>
      <c r="F61" s="88">
        <v>0</v>
      </c>
      <c r="G61" s="88">
        <v>0</v>
      </c>
      <c r="H61" s="88">
        <v>0</v>
      </c>
      <c r="I61" s="162">
        <f t="shared" si="31"/>
        <v>0</v>
      </c>
      <c r="J61" s="88">
        <v>0</v>
      </c>
      <c r="K61" s="88">
        <v>20</v>
      </c>
      <c r="L61" s="88">
        <v>80</v>
      </c>
      <c r="M61" s="88">
        <v>0</v>
      </c>
      <c r="N61" s="162">
        <f t="shared" si="32"/>
        <v>100</v>
      </c>
      <c r="O61" s="170">
        <f t="shared" si="33"/>
        <v>20</v>
      </c>
      <c r="P61" s="210">
        <f t="shared" si="34"/>
        <v>100</v>
      </c>
    </row>
    <row r="62" spans="1:16" ht="15.75" customHeight="1" x14ac:dyDescent="0.25">
      <c r="A62" s="113" t="s">
        <v>224</v>
      </c>
      <c r="B62" s="88"/>
      <c r="C62" s="88"/>
      <c r="D62" s="162">
        <f t="shared" si="30"/>
        <v>0</v>
      </c>
      <c r="E62" s="88"/>
      <c r="F62" s="88">
        <v>2</v>
      </c>
      <c r="G62" s="88">
        <v>1</v>
      </c>
      <c r="H62" s="88">
        <v>0</v>
      </c>
      <c r="I62" s="162">
        <f t="shared" si="31"/>
        <v>3</v>
      </c>
      <c r="J62" s="88">
        <v>0</v>
      </c>
      <c r="K62" s="88">
        <v>0</v>
      </c>
      <c r="L62" s="88">
        <v>0</v>
      </c>
      <c r="M62" s="88">
        <v>1</v>
      </c>
      <c r="N62" s="162">
        <f t="shared" si="32"/>
        <v>1</v>
      </c>
      <c r="O62" s="170">
        <f t="shared" si="33"/>
        <v>3</v>
      </c>
      <c r="P62" s="210">
        <f t="shared" si="34"/>
        <v>4</v>
      </c>
    </row>
    <row r="63" spans="1:16" ht="15.75" customHeight="1" x14ac:dyDescent="0.25">
      <c r="A63" s="113" t="s">
        <v>146</v>
      </c>
      <c r="B63" s="88"/>
      <c r="C63" s="88"/>
      <c r="D63" s="162">
        <f t="shared" si="30"/>
        <v>0</v>
      </c>
      <c r="E63" s="88"/>
      <c r="F63" s="88">
        <v>0</v>
      </c>
      <c r="G63" s="88">
        <v>0</v>
      </c>
      <c r="H63" s="88">
        <v>0</v>
      </c>
      <c r="I63" s="162">
        <f t="shared" si="31"/>
        <v>0</v>
      </c>
      <c r="J63" s="88">
        <v>0</v>
      </c>
      <c r="K63" s="88">
        <v>0</v>
      </c>
      <c r="L63" s="88">
        <v>0</v>
      </c>
      <c r="M63" s="88">
        <v>0</v>
      </c>
      <c r="N63" s="162">
        <f t="shared" si="32"/>
        <v>0</v>
      </c>
      <c r="O63" s="170">
        <f t="shared" si="33"/>
        <v>0</v>
      </c>
      <c r="P63" s="210">
        <f t="shared" si="34"/>
        <v>0</v>
      </c>
    </row>
    <row r="64" spans="1:16" ht="15.75" customHeight="1" x14ac:dyDescent="0.25">
      <c r="A64" s="113" t="s">
        <v>147</v>
      </c>
      <c r="B64" s="88"/>
      <c r="C64" s="88"/>
      <c r="D64" s="162">
        <f t="shared" si="30"/>
        <v>0</v>
      </c>
      <c r="E64" s="88"/>
      <c r="F64" s="88">
        <v>1</v>
      </c>
      <c r="G64" s="88">
        <v>0</v>
      </c>
      <c r="H64" s="88">
        <v>0</v>
      </c>
      <c r="I64" s="162">
        <f t="shared" si="31"/>
        <v>1</v>
      </c>
      <c r="J64" s="88">
        <v>0</v>
      </c>
      <c r="K64" s="88">
        <v>0</v>
      </c>
      <c r="L64" s="88">
        <v>0</v>
      </c>
      <c r="M64" s="88">
        <v>0</v>
      </c>
      <c r="N64" s="162">
        <f t="shared" si="32"/>
        <v>0</v>
      </c>
      <c r="O64" s="170">
        <f t="shared" si="33"/>
        <v>1</v>
      </c>
      <c r="P64" s="210">
        <f t="shared" si="34"/>
        <v>1</v>
      </c>
    </row>
    <row r="65" spans="1:16" ht="15.75" customHeight="1" x14ac:dyDescent="0.25">
      <c r="A65" s="107" t="s">
        <v>401</v>
      </c>
      <c r="B65" s="108">
        <f t="shared" ref="B65:P65" si="35">B59+B60+B61</f>
        <v>0</v>
      </c>
      <c r="C65" s="108">
        <f t="shared" si="35"/>
        <v>0</v>
      </c>
      <c r="D65" s="108">
        <f t="shared" si="35"/>
        <v>0</v>
      </c>
      <c r="E65" s="108">
        <f t="shared" si="35"/>
        <v>0</v>
      </c>
      <c r="F65" s="108">
        <f t="shared" si="35"/>
        <v>160</v>
      </c>
      <c r="G65" s="108">
        <f t="shared" si="35"/>
        <v>70</v>
      </c>
      <c r="H65" s="108">
        <f t="shared" si="35"/>
        <v>120</v>
      </c>
      <c r="I65" s="108">
        <f t="shared" si="35"/>
        <v>350</v>
      </c>
      <c r="J65" s="108">
        <f t="shared" si="35"/>
        <v>40</v>
      </c>
      <c r="K65" s="108">
        <f t="shared" si="35"/>
        <v>150</v>
      </c>
      <c r="L65" s="108">
        <f t="shared" si="35"/>
        <v>360</v>
      </c>
      <c r="M65" s="108">
        <f t="shared" si="35"/>
        <v>0</v>
      </c>
      <c r="N65" s="108">
        <f t="shared" si="35"/>
        <v>550</v>
      </c>
      <c r="O65" s="211">
        <f t="shared" si="35"/>
        <v>540</v>
      </c>
      <c r="P65" s="211">
        <f t="shared" si="35"/>
        <v>900</v>
      </c>
    </row>
    <row r="67" spans="1:16" ht="15.75" customHeight="1" x14ac:dyDescent="0.25">
      <c r="A67" s="491" t="s">
        <v>412</v>
      </c>
      <c r="B67" s="492"/>
      <c r="C67" s="492"/>
      <c r="D67" s="492"/>
      <c r="E67" s="492"/>
      <c r="F67" s="492"/>
      <c r="G67" s="492"/>
      <c r="H67" s="492"/>
      <c r="I67" s="492"/>
      <c r="J67" s="492"/>
      <c r="K67" s="492"/>
      <c r="L67" s="492"/>
      <c r="M67" s="492"/>
      <c r="N67" s="492"/>
      <c r="O67" s="492"/>
      <c r="P67" s="493"/>
    </row>
    <row r="68" spans="1:16" ht="15.75" customHeight="1" x14ac:dyDescent="0.25">
      <c r="A68" s="491" t="s">
        <v>248</v>
      </c>
      <c r="B68" s="491" t="s">
        <v>391</v>
      </c>
      <c r="C68" s="492"/>
      <c r="D68" s="493"/>
      <c r="E68" s="491" t="s">
        <v>413</v>
      </c>
      <c r="F68" s="492"/>
      <c r="G68" s="492"/>
      <c r="H68" s="492"/>
      <c r="I68" s="493"/>
      <c r="J68" s="491" t="s">
        <v>414</v>
      </c>
      <c r="K68" s="492"/>
      <c r="L68" s="492"/>
      <c r="M68" s="492"/>
      <c r="N68" s="493"/>
      <c r="O68" s="489" t="s">
        <v>415</v>
      </c>
      <c r="P68" s="489" t="s">
        <v>416</v>
      </c>
    </row>
    <row r="69" spans="1:16" ht="15.75" customHeight="1" x14ac:dyDescent="0.25">
      <c r="A69" s="490"/>
      <c r="B69" s="213">
        <v>45740</v>
      </c>
      <c r="C69" s="213">
        <v>45747</v>
      </c>
      <c r="D69" s="212" t="s">
        <v>129</v>
      </c>
      <c r="E69" s="213">
        <v>45754</v>
      </c>
      <c r="F69" s="213">
        <v>45761</v>
      </c>
      <c r="G69" s="213">
        <v>45768</v>
      </c>
      <c r="H69" s="213">
        <v>45775</v>
      </c>
      <c r="I69" s="212" t="s">
        <v>129</v>
      </c>
      <c r="J69" s="213">
        <v>45782</v>
      </c>
      <c r="K69" s="213">
        <v>45789</v>
      </c>
      <c r="L69" s="213">
        <v>45796</v>
      </c>
      <c r="M69" s="213">
        <v>45803</v>
      </c>
      <c r="N69" s="212" t="s">
        <v>129</v>
      </c>
      <c r="O69" s="490"/>
      <c r="P69" s="490"/>
    </row>
    <row r="70" spans="1:16" ht="15.75" customHeight="1" x14ac:dyDescent="0.25">
      <c r="A70" s="160" t="s">
        <v>419</v>
      </c>
      <c r="B70" s="88"/>
      <c r="C70" s="88"/>
      <c r="D70" s="162">
        <f t="shared" ref="D70:D75" si="36">B70+C70</f>
        <v>0</v>
      </c>
      <c r="E70" s="88"/>
      <c r="F70" s="88">
        <v>50</v>
      </c>
      <c r="G70" s="88">
        <v>40</v>
      </c>
      <c r="H70" s="88">
        <v>40</v>
      </c>
      <c r="I70" s="162">
        <f t="shared" ref="I70:I75" si="37">E70+F70+G70+H70</f>
        <v>130</v>
      </c>
      <c r="J70" s="88">
        <v>70</v>
      </c>
      <c r="K70" s="88">
        <v>200</v>
      </c>
      <c r="L70" s="88">
        <v>0</v>
      </c>
      <c r="M70" s="88">
        <v>0</v>
      </c>
      <c r="N70" s="162">
        <f t="shared" ref="N70:N75" si="38">J70+K70+L70+M70</f>
        <v>270</v>
      </c>
      <c r="O70" s="170">
        <f t="shared" ref="O70:O75" si="39">B70+C70+E70+F70+G70+H70+J70+K70</f>
        <v>400</v>
      </c>
      <c r="P70" s="210">
        <f t="shared" ref="P70:P75" si="40">D70+I70+N70</f>
        <v>400</v>
      </c>
    </row>
    <row r="71" spans="1:16" ht="15.75" customHeight="1" x14ac:dyDescent="0.25">
      <c r="A71" s="160" t="s">
        <v>421</v>
      </c>
      <c r="B71" s="88"/>
      <c r="C71" s="88"/>
      <c r="D71" s="162">
        <f t="shared" si="36"/>
        <v>0</v>
      </c>
      <c r="E71" s="88"/>
      <c r="F71" s="88">
        <v>50</v>
      </c>
      <c r="G71" s="88">
        <v>0</v>
      </c>
      <c r="H71" s="88">
        <v>20</v>
      </c>
      <c r="I71" s="162">
        <f t="shared" si="37"/>
        <v>70</v>
      </c>
      <c r="J71" s="88">
        <v>0</v>
      </c>
      <c r="K71" s="88">
        <v>280</v>
      </c>
      <c r="L71" s="88">
        <v>30</v>
      </c>
      <c r="M71" s="88">
        <v>20</v>
      </c>
      <c r="N71" s="162">
        <f t="shared" si="38"/>
        <v>330</v>
      </c>
      <c r="O71" s="170">
        <f t="shared" si="39"/>
        <v>350</v>
      </c>
      <c r="P71" s="210">
        <f t="shared" si="40"/>
        <v>400</v>
      </c>
    </row>
    <row r="72" spans="1:16" ht="15.75" customHeight="1" x14ac:dyDescent="0.25">
      <c r="A72" s="160" t="s">
        <v>422</v>
      </c>
      <c r="B72" s="88"/>
      <c r="C72" s="88"/>
      <c r="D72" s="162">
        <f t="shared" si="36"/>
        <v>0</v>
      </c>
      <c r="E72" s="88"/>
      <c r="F72" s="88">
        <v>50</v>
      </c>
      <c r="G72" s="88">
        <v>0</v>
      </c>
      <c r="H72" s="88">
        <v>0</v>
      </c>
      <c r="I72" s="162">
        <f t="shared" si="37"/>
        <v>50</v>
      </c>
      <c r="J72" s="88">
        <v>0</v>
      </c>
      <c r="K72" s="88">
        <v>0</v>
      </c>
      <c r="L72" s="88">
        <v>0</v>
      </c>
      <c r="M72" s="88">
        <v>0</v>
      </c>
      <c r="N72" s="162">
        <f t="shared" si="38"/>
        <v>0</v>
      </c>
      <c r="O72" s="170">
        <f t="shared" si="39"/>
        <v>50</v>
      </c>
      <c r="P72" s="210">
        <f t="shared" si="40"/>
        <v>50</v>
      </c>
    </row>
    <row r="73" spans="1:16" ht="15.75" customHeight="1" x14ac:dyDescent="0.25">
      <c r="A73" s="113" t="s">
        <v>224</v>
      </c>
      <c r="B73" s="88"/>
      <c r="C73" s="88"/>
      <c r="D73" s="162">
        <f t="shared" si="36"/>
        <v>0</v>
      </c>
      <c r="E73" s="88"/>
      <c r="F73" s="88">
        <v>1</v>
      </c>
      <c r="G73" s="88">
        <v>0</v>
      </c>
      <c r="H73" s="88">
        <v>0</v>
      </c>
      <c r="I73" s="162">
        <f t="shared" si="37"/>
        <v>1</v>
      </c>
      <c r="J73" s="88">
        <v>1</v>
      </c>
      <c r="K73" s="88">
        <v>2</v>
      </c>
      <c r="L73" s="88">
        <v>0</v>
      </c>
      <c r="M73" s="88">
        <v>0</v>
      </c>
      <c r="N73" s="162">
        <f t="shared" si="38"/>
        <v>3</v>
      </c>
      <c r="O73" s="170">
        <f t="shared" si="39"/>
        <v>4</v>
      </c>
      <c r="P73" s="210">
        <f t="shared" si="40"/>
        <v>4</v>
      </c>
    </row>
    <row r="74" spans="1:16" ht="15.75" customHeight="1" x14ac:dyDescent="0.25">
      <c r="A74" s="113" t="s">
        <v>146</v>
      </c>
      <c r="B74" s="88"/>
      <c r="C74" s="88"/>
      <c r="D74" s="162">
        <f t="shared" si="36"/>
        <v>0</v>
      </c>
      <c r="E74" s="88"/>
      <c r="F74" s="88">
        <v>0</v>
      </c>
      <c r="G74" s="88">
        <v>0</v>
      </c>
      <c r="H74" s="88">
        <v>0</v>
      </c>
      <c r="I74" s="162">
        <f t="shared" si="37"/>
        <v>0</v>
      </c>
      <c r="J74" s="88">
        <v>0</v>
      </c>
      <c r="K74" s="88">
        <v>0</v>
      </c>
      <c r="L74" s="88">
        <v>0</v>
      </c>
      <c r="M74" s="88">
        <v>0</v>
      </c>
      <c r="N74" s="162">
        <f t="shared" si="38"/>
        <v>0</v>
      </c>
      <c r="O74" s="170">
        <f t="shared" si="39"/>
        <v>0</v>
      </c>
      <c r="P74" s="210">
        <f t="shared" si="40"/>
        <v>0</v>
      </c>
    </row>
    <row r="75" spans="1:16" ht="15.75" customHeight="1" x14ac:dyDescent="0.25">
      <c r="A75" s="113" t="s">
        <v>147</v>
      </c>
      <c r="B75" s="88"/>
      <c r="C75" s="88"/>
      <c r="D75" s="162">
        <f t="shared" si="36"/>
        <v>0</v>
      </c>
      <c r="E75" s="88"/>
      <c r="F75" s="88">
        <v>0</v>
      </c>
      <c r="G75" s="88">
        <v>0</v>
      </c>
      <c r="H75" s="88">
        <v>0</v>
      </c>
      <c r="I75" s="162">
        <f t="shared" si="37"/>
        <v>0</v>
      </c>
      <c r="J75" s="88">
        <v>0</v>
      </c>
      <c r="K75" s="88">
        <v>1</v>
      </c>
      <c r="L75" s="88">
        <v>0</v>
      </c>
      <c r="M75" s="88">
        <v>0</v>
      </c>
      <c r="N75" s="162">
        <f t="shared" si="38"/>
        <v>1</v>
      </c>
      <c r="O75" s="170">
        <f t="shared" si="39"/>
        <v>1</v>
      </c>
      <c r="P75" s="210">
        <f t="shared" si="40"/>
        <v>1</v>
      </c>
    </row>
    <row r="76" spans="1:16" ht="15.75" customHeight="1" x14ac:dyDescent="0.25">
      <c r="A76" s="107" t="s">
        <v>401</v>
      </c>
      <c r="B76" s="108">
        <f t="shared" ref="B76:P76" si="41">B70+B71+B72</f>
        <v>0</v>
      </c>
      <c r="C76" s="108">
        <f t="shared" si="41"/>
        <v>0</v>
      </c>
      <c r="D76" s="108">
        <f t="shared" si="41"/>
        <v>0</v>
      </c>
      <c r="E76" s="108">
        <f t="shared" si="41"/>
        <v>0</v>
      </c>
      <c r="F76" s="108">
        <f t="shared" si="41"/>
        <v>150</v>
      </c>
      <c r="G76" s="108">
        <f t="shared" si="41"/>
        <v>40</v>
      </c>
      <c r="H76" s="108">
        <f t="shared" si="41"/>
        <v>60</v>
      </c>
      <c r="I76" s="108">
        <f t="shared" si="41"/>
        <v>250</v>
      </c>
      <c r="J76" s="108">
        <f t="shared" si="41"/>
        <v>70</v>
      </c>
      <c r="K76" s="108">
        <f t="shared" si="41"/>
        <v>480</v>
      </c>
      <c r="L76" s="108">
        <f t="shared" si="41"/>
        <v>30</v>
      </c>
      <c r="M76" s="108">
        <f t="shared" si="41"/>
        <v>20</v>
      </c>
      <c r="N76" s="108">
        <f t="shared" si="41"/>
        <v>600</v>
      </c>
      <c r="O76" s="211">
        <f t="shared" si="41"/>
        <v>800</v>
      </c>
      <c r="P76" s="211">
        <f t="shared" si="41"/>
        <v>850</v>
      </c>
    </row>
    <row r="78" spans="1:16" ht="15.75" customHeight="1" x14ac:dyDescent="0.25">
      <c r="A78" s="491" t="s">
        <v>412</v>
      </c>
      <c r="B78" s="492"/>
      <c r="C78" s="492"/>
      <c r="D78" s="492"/>
      <c r="E78" s="492"/>
      <c r="F78" s="492"/>
      <c r="G78" s="492"/>
      <c r="H78" s="492"/>
      <c r="I78" s="492"/>
      <c r="J78" s="492"/>
      <c r="K78" s="492"/>
      <c r="L78" s="492"/>
      <c r="M78" s="492"/>
      <c r="N78" s="492"/>
      <c r="O78" s="492"/>
      <c r="P78" s="493"/>
    </row>
    <row r="79" spans="1:16" ht="15.75" customHeight="1" x14ac:dyDescent="0.25">
      <c r="A79" s="491" t="s">
        <v>323</v>
      </c>
      <c r="B79" s="491" t="s">
        <v>391</v>
      </c>
      <c r="C79" s="492"/>
      <c r="D79" s="493"/>
      <c r="E79" s="491" t="s">
        <v>413</v>
      </c>
      <c r="F79" s="492"/>
      <c r="G79" s="492"/>
      <c r="H79" s="492"/>
      <c r="I79" s="493"/>
      <c r="J79" s="491" t="s">
        <v>414</v>
      </c>
      <c r="K79" s="492"/>
      <c r="L79" s="492"/>
      <c r="M79" s="492"/>
      <c r="N79" s="493"/>
      <c r="O79" s="489" t="s">
        <v>415</v>
      </c>
      <c r="P79" s="489" t="s">
        <v>416</v>
      </c>
    </row>
    <row r="80" spans="1:16" ht="15.75" customHeight="1" x14ac:dyDescent="0.25">
      <c r="A80" s="490"/>
      <c r="B80" s="213">
        <v>45740</v>
      </c>
      <c r="C80" s="213">
        <v>45747</v>
      </c>
      <c r="D80" s="212" t="s">
        <v>129</v>
      </c>
      <c r="E80" s="213">
        <v>45754</v>
      </c>
      <c r="F80" s="213">
        <v>45761</v>
      </c>
      <c r="G80" s="213">
        <v>45768</v>
      </c>
      <c r="H80" s="213">
        <v>45775</v>
      </c>
      <c r="I80" s="212" t="s">
        <v>129</v>
      </c>
      <c r="J80" s="213">
        <v>45782</v>
      </c>
      <c r="K80" s="213">
        <v>45789</v>
      </c>
      <c r="L80" s="213">
        <v>45796</v>
      </c>
      <c r="M80" s="213">
        <v>45803</v>
      </c>
      <c r="N80" s="212" t="s">
        <v>129</v>
      </c>
      <c r="O80" s="490"/>
      <c r="P80" s="490"/>
    </row>
    <row r="81" spans="1:16" ht="15.75" customHeight="1" x14ac:dyDescent="0.25">
      <c r="A81" s="160" t="s">
        <v>419</v>
      </c>
      <c r="B81" s="88"/>
      <c r="C81" s="88"/>
      <c r="D81" s="162">
        <f t="shared" ref="D81:D86" si="42">B81+C81</f>
        <v>0</v>
      </c>
      <c r="E81" s="88"/>
      <c r="F81" s="88">
        <v>0</v>
      </c>
      <c r="G81" s="88">
        <v>100</v>
      </c>
      <c r="H81" s="88">
        <v>15</v>
      </c>
      <c r="I81" s="162">
        <f t="shared" ref="I81:I86" si="43">E81+F81+G81+H81</f>
        <v>115</v>
      </c>
      <c r="J81" s="88">
        <v>41</v>
      </c>
      <c r="K81" s="88">
        <v>44</v>
      </c>
      <c r="L81" s="88">
        <v>0</v>
      </c>
      <c r="M81" s="88">
        <v>0</v>
      </c>
      <c r="N81" s="162">
        <f t="shared" ref="N81:N86" si="44">J81+K81+L81+M81</f>
        <v>85</v>
      </c>
      <c r="O81" s="170">
        <f t="shared" ref="O81:O86" si="45">B81+C81+E81+F81+G81+H81+J81+K81</f>
        <v>200</v>
      </c>
      <c r="P81" s="210">
        <f t="shared" ref="P81:P86" si="46">D81+I81+N81</f>
        <v>200</v>
      </c>
    </row>
    <row r="82" spans="1:16" ht="15.75" customHeight="1" x14ac:dyDescent="0.25">
      <c r="A82" s="160" t="s">
        <v>421</v>
      </c>
      <c r="B82" s="88"/>
      <c r="C82" s="88"/>
      <c r="D82" s="162">
        <f t="shared" si="42"/>
        <v>0</v>
      </c>
      <c r="E82" s="88"/>
      <c r="F82" s="88">
        <v>0</v>
      </c>
      <c r="G82" s="88">
        <v>60</v>
      </c>
      <c r="H82" s="88">
        <v>10</v>
      </c>
      <c r="I82" s="162">
        <f t="shared" si="43"/>
        <v>70</v>
      </c>
      <c r="J82" s="88">
        <v>54</v>
      </c>
      <c r="K82" s="88">
        <v>76</v>
      </c>
      <c r="L82" s="88">
        <v>0</v>
      </c>
      <c r="M82" s="88">
        <v>0</v>
      </c>
      <c r="N82" s="162">
        <f t="shared" si="44"/>
        <v>130</v>
      </c>
      <c r="O82" s="170">
        <f t="shared" si="45"/>
        <v>200</v>
      </c>
      <c r="P82" s="210">
        <f t="shared" si="46"/>
        <v>200</v>
      </c>
    </row>
    <row r="83" spans="1:16" ht="15.75" customHeight="1" x14ac:dyDescent="0.25">
      <c r="A83" s="160" t="s">
        <v>422</v>
      </c>
      <c r="B83" s="88"/>
      <c r="C83" s="88"/>
      <c r="D83" s="162">
        <f t="shared" si="42"/>
        <v>0</v>
      </c>
      <c r="E83" s="88"/>
      <c r="F83" s="88">
        <v>0</v>
      </c>
      <c r="G83" s="88">
        <v>25</v>
      </c>
      <c r="H83" s="88">
        <v>0</v>
      </c>
      <c r="I83" s="162">
        <f t="shared" si="43"/>
        <v>25</v>
      </c>
      <c r="J83" s="88">
        <v>0</v>
      </c>
      <c r="K83" s="88">
        <v>19</v>
      </c>
      <c r="L83" s="88">
        <v>0</v>
      </c>
      <c r="M83" s="88">
        <v>0</v>
      </c>
      <c r="N83" s="162">
        <f t="shared" si="44"/>
        <v>19</v>
      </c>
      <c r="O83" s="170">
        <f t="shared" si="45"/>
        <v>44</v>
      </c>
      <c r="P83" s="210">
        <f t="shared" si="46"/>
        <v>44</v>
      </c>
    </row>
    <row r="84" spans="1:16" ht="15.75" customHeight="1" x14ac:dyDescent="0.25">
      <c r="A84" s="113" t="s">
        <v>224</v>
      </c>
      <c r="B84" s="88"/>
      <c r="C84" s="88"/>
      <c r="D84" s="162">
        <f t="shared" si="42"/>
        <v>0</v>
      </c>
      <c r="E84" s="88"/>
      <c r="F84" s="88">
        <v>0</v>
      </c>
      <c r="G84" s="88">
        <v>1</v>
      </c>
      <c r="H84" s="88">
        <v>0</v>
      </c>
      <c r="I84" s="162">
        <f t="shared" si="43"/>
        <v>1</v>
      </c>
      <c r="J84" s="88">
        <v>0</v>
      </c>
      <c r="K84" s="88">
        <v>2</v>
      </c>
      <c r="L84" s="88">
        <v>0</v>
      </c>
      <c r="M84" s="88">
        <v>0</v>
      </c>
      <c r="N84" s="162">
        <f t="shared" si="44"/>
        <v>2</v>
      </c>
      <c r="O84" s="170">
        <f t="shared" si="45"/>
        <v>3</v>
      </c>
      <c r="P84" s="210">
        <f t="shared" si="46"/>
        <v>3</v>
      </c>
    </row>
    <row r="85" spans="1:16" ht="15.75" customHeight="1" x14ac:dyDescent="0.25">
      <c r="A85" s="113" t="s">
        <v>146</v>
      </c>
      <c r="B85" s="88"/>
      <c r="C85" s="88"/>
      <c r="D85" s="162">
        <f t="shared" si="42"/>
        <v>0</v>
      </c>
      <c r="E85" s="88"/>
      <c r="F85" s="88">
        <v>0</v>
      </c>
      <c r="G85" s="88">
        <v>0</v>
      </c>
      <c r="H85" s="88">
        <v>0</v>
      </c>
      <c r="I85" s="162">
        <f t="shared" si="43"/>
        <v>0</v>
      </c>
      <c r="J85" s="88">
        <v>0</v>
      </c>
      <c r="K85" s="88">
        <v>0</v>
      </c>
      <c r="L85" s="88">
        <v>0</v>
      </c>
      <c r="M85" s="88">
        <v>0</v>
      </c>
      <c r="N85" s="162">
        <f t="shared" si="44"/>
        <v>0</v>
      </c>
      <c r="O85" s="170">
        <f t="shared" si="45"/>
        <v>0</v>
      </c>
      <c r="P85" s="210">
        <f t="shared" si="46"/>
        <v>0</v>
      </c>
    </row>
    <row r="86" spans="1:16" ht="15.75" customHeight="1" x14ac:dyDescent="0.25">
      <c r="A86" s="113" t="s">
        <v>147</v>
      </c>
      <c r="B86" s="88"/>
      <c r="C86" s="88"/>
      <c r="D86" s="162">
        <f t="shared" si="42"/>
        <v>0</v>
      </c>
      <c r="E86" s="88"/>
      <c r="F86" s="88">
        <v>0</v>
      </c>
      <c r="G86" s="88">
        <v>0</v>
      </c>
      <c r="H86" s="88">
        <v>0</v>
      </c>
      <c r="I86" s="162">
        <f t="shared" si="43"/>
        <v>0</v>
      </c>
      <c r="J86" s="88">
        <v>0</v>
      </c>
      <c r="K86" s="88">
        <v>0</v>
      </c>
      <c r="L86" s="88">
        <v>0</v>
      </c>
      <c r="M86" s="88">
        <v>0</v>
      </c>
      <c r="N86" s="162">
        <f t="shared" si="44"/>
        <v>0</v>
      </c>
      <c r="O86" s="170">
        <f t="shared" si="45"/>
        <v>0</v>
      </c>
      <c r="P86" s="210">
        <f t="shared" si="46"/>
        <v>0</v>
      </c>
    </row>
    <row r="87" spans="1:16" ht="15.75" customHeight="1" x14ac:dyDescent="0.25">
      <c r="A87" s="107" t="s">
        <v>401</v>
      </c>
      <c r="B87" s="108">
        <f t="shared" ref="B87:P87" si="47">B81+B82+B83</f>
        <v>0</v>
      </c>
      <c r="C87" s="108">
        <f t="shared" si="47"/>
        <v>0</v>
      </c>
      <c r="D87" s="108">
        <f t="shared" si="47"/>
        <v>0</v>
      </c>
      <c r="E87" s="108">
        <f t="shared" si="47"/>
        <v>0</v>
      </c>
      <c r="F87" s="108">
        <f t="shared" si="47"/>
        <v>0</v>
      </c>
      <c r="G87" s="108">
        <f t="shared" si="47"/>
        <v>185</v>
      </c>
      <c r="H87" s="108">
        <f t="shared" si="47"/>
        <v>25</v>
      </c>
      <c r="I87" s="108">
        <f t="shared" si="47"/>
        <v>210</v>
      </c>
      <c r="J87" s="108">
        <f t="shared" si="47"/>
        <v>95</v>
      </c>
      <c r="K87" s="108">
        <f t="shared" si="47"/>
        <v>139</v>
      </c>
      <c r="L87" s="108">
        <f t="shared" si="47"/>
        <v>0</v>
      </c>
      <c r="M87" s="108">
        <f t="shared" si="47"/>
        <v>0</v>
      </c>
      <c r="N87" s="108">
        <f t="shared" si="47"/>
        <v>234</v>
      </c>
      <c r="O87" s="211">
        <f t="shared" si="47"/>
        <v>444</v>
      </c>
      <c r="P87" s="211">
        <f t="shared" si="47"/>
        <v>444</v>
      </c>
    </row>
    <row r="89" spans="1:16" ht="15.75" customHeight="1" x14ac:dyDescent="0.25">
      <c r="A89" s="491" t="s">
        <v>412</v>
      </c>
      <c r="B89" s="492"/>
      <c r="C89" s="492"/>
      <c r="D89" s="492"/>
      <c r="E89" s="492"/>
      <c r="F89" s="492"/>
      <c r="G89" s="492"/>
      <c r="H89" s="492"/>
      <c r="I89" s="492"/>
      <c r="J89" s="492"/>
      <c r="K89" s="492"/>
      <c r="L89" s="492"/>
      <c r="M89" s="492"/>
      <c r="N89" s="492"/>
      <c r="O89" s="492"/>
      <c r="P89" s="493"/>
    </row>
    <row r="90" spans="1:16" ht="15.75" customHeight="1" x14ac:dyDescent="0.25">
      <c r="A90" s="491" t="s">
        <v>338</v>
      </c>
      <c r="B90" s="491" t="s">
        <v>391</v>
      </c>
      <c r="C90" s="492"/>
      <c r="D90" s="493"/>
      <c r="E90" s="491" t="s">
        <v>413</v>
      </c>
      <c r="F90" s="492"/>
      <c r="G90" s="492"/>
      <c r="H90" s="492"/>
      <c r="I90" s="493"/>
      <c r="J90" s="491" t="s">
        <v>414</v>
      </c>
      <c r="K90" s="492"/>
      <c r="L90" s="492"/>
      <c r="M90" s="492"/>
      <c r="N90" s="493"/>
      <c r="O90" s="489" t="s">
        <v>415</v>
      </c>
      <c r="P90" s="489" t="s">
        <v>416</v>
      </c>
    </row>
    <row r="91" spans="1:16" ht="15.75" customHeight="1" x14ac:dyDescent="0.25">
      <c r="A91" s="490"/>
      <c r="B91" s="213">
        <v>45740</v>
      </c>
      <c r="C91" s="213">
        <v>45747</v>
      </c>
      <c r="D91" s="212" t="s">
        <v>129</v>
      </c>
      <c r="E91" s="213">
        <v>45754</v>
      </c>
      <c r="F91" s="213">
        <v>45761</v>
      </c>
      <c r="G91" s="213">
        <v>45768</v>
      </c>
      <c r="H91" s="213">
        <v>45775</v>
      </c>
      <c r="I91" s="212" t="s">
        <v>129</v>
      </c>
      <c r="J91" s="213">
        <v>45782</v>
      </c>
      <c r="K91" s="213">
        <v>45789</v>
      </c>
      <c r="L91" s="213">
        <v>45796</v>
      </c>
      <c r="M91" s="213">
        <v>45803</v>
      </c>
      <c r="N91" s="212" t="s">
        <v>129</v>
      </c>
      <c r="O91" s="490"/>
      <c r="P91" s="490"/>
    </row>
    <row r="92" spans="1:16" ht="15.75" customHeight="1" x14ac:dyDescent="0.25">
      <c r="A92" s="160" t="s">
        <v>419</v>
      </c>
      <c r="B92" s="88"/>
      <c r="C92" s="88"/>
      <c r="D92" s="162">
        <f t="shared" ref="D92:D97" si="48">B92+C92</f>
        <v>0</v>
      </c>
      <c r="E92" s="88"/>
      <c r="F92" s="88">
        <v>140</v>
      </c>
      <c r="G92" s="88">
        <v>120</v>
      </c>
      <c r="H92" s="88">
        <v>120</v>
      </c>
      <c r="I92" s="162">
        <f t="shared" ref="I92:I97" si="49">E92+F92+G92+H92</f>
        <v>380</v>
      </c>
      <c r="J92" s="88">
        <v>40</v>
      </c>
      <c r="K92" s="88">
        <v>180</v>
      </c>
      <c r="L92" s="88">
        <v>0</v>
      </c>
      <c r="M92" s="88">
        <v>0</v>
      </c>
      <c r="N92" s="162">
        <f t="shared" ref="N92:N97" si="50">J92+K92+L92+M92</f>
        <v>220</v>
      </c>
      <c r="O92" s="170">
        <f t="shared" ref="O92:O97" si="51">B92+C92+E92+F92+G92+H92+J92+K92</f>
        <v>600</v>
      </c>
      <c r="P92" s="210">
        <f t="shared" ref="P92:P97" si="52">D92+I92+N92</f>
        <v>600</v>
      </c>
    </row>
    <row r="93" spans="1:16" ht="15.75" customHeight="1" x14ac:dyDescent="0.25">
      <c r="A93" s="160" t="s">
        <v>421</v>
      </c>
      <c r="B93" s="88"/>
      <c r="C93" s="88"/>
      <c r="D93" s="162">
        <f t="shared" si="48"/>
        <v>0</v>
      </c>
      <c r="E93" s="88"/>
      <c r="F93" s="88">
        <v>80</v>
      </c>
      <c r="G93" s="88">
        <v>60</v>
      </c>
      <c r="H93" s="88">
        <v>60</v>
      </c>
      <c r="I93" s="162">
        <f t="shared" si="49"/>
        <v>200</v>
      </c>
      <c r="J93" s="88">
        <v>40</v>
      </c>
      <c r="K93" s="88">
        <v>160</v>
      </c>
      <c r="L93" s="88">
        <v>0</v>
      </c>
      <c r="M93" s="88">
        <v>0</v>
      </c>
      <c r="N93" s="162">
        <f t="shared" si="50"/>
        <v>200</v>
      </c>
      <c r="O93" s="170">
        <f t="shared" si="51"/>
        <v>400</v>
      </c>
      <c r="P93" s="210">
        <f t="shared" si="52"/>
        <v>400</v>
      </c>
    </row>
    <row r="94" spans="1:16" ht="15.75" customHeight="1" x14ac:dyDescent="0.25">
      <c r="A94" s="160" t="s">
        <v>422</v>
      </c>
      <c r="B94" s="88"/>
      <c r="C94" s="88"/>
      <c r="D94" s="162">
        <f t="shared" si="48"/>
        <v>0</v>
      </c>
      <c r="E94" s="88"/>
      <c r="F94" s="88">
        <v>40</v>
      </c>
      <c r="G94" s="88">
        <v>0</v>
      </c>
      <c r="H94" s="88">
        <v>0</v>
      </c>
      <c r="I94" s="162">
        <f t="shared" si="49"/>
        <v>40</v>
      </c>
      <c r="J94" s="88">
        <v>60</v>
      </c>
      <c r="K94" s="88">
        <v>0</v>
      </c>
      <c r="L94" s="88">
        <v>0</v>
      </c>
      <c r="M94" s="88">
        <v>0</v>
      </c>
      <c r="N94" s="162">
        <f t="shared" si="50"/>
        <v>60</v>
      </c>
      <c r="O94" s="170">
        <f t="shared" si="51"/>
        <v>100</v>
      </c>
      <c r="P94" s="210">
        <f t="shared" si="52"/>
        <v>100</v>
      </c>
    </row>
    <row r="95" spans="1:16" ht="15.75" customHeight="1" x14ac:dyDescent="0.25">
      <c r="A95" s="113" t="s">
        <v>224</v>
      </c>
      <c r="B95" s="88"/>
      <c r="C95" s="88"/>
      <c r="D95" s="162">
        <f t="shared" si="48"/>
        <v>0</v>
      </c>
      <c r="E95" s="88"/>
      <c r="F95" s="88">
        <v>0</v>
      </c>
      <c r="G95" s="88">
        <v>1</v>
      </c>
      <c r="H95" s="88">
        <v>1</v>
      </c>
      <c r="I95" s="162">
        <f t="shared" si="49"/>
        <v>2</v>
      </c>
      <c r="J95" s="88">
        <v>1</v>
      </c>
      <c r="K95" s="88">
        <v>2</v>
      </c>
      <c r="L95" s="88">
        <v>0</v>
      </c>
      <c r="M95" s="88">
        <v>0</v>
      </c>
      <c r="N95" s="162">
        <f t="shared" si="50"/>
        <v>3</v>
      </c>
      <c r="O95" s="170">
        <f t="shared" si="51"/>
        <v>5</v>
      </c>
      <c r="P95" s="210">
        <f t="shared" si="52"/>
        <v>5</v>
      </c>
    </row>
    <row r="96" spans="1:16" ht="15.75" customHeight="1" x14ac:dyDescent="0.25">
      <c r="A96" s="113" t="s">
        <v>146</v>
      </c>
      <c r="B96" s="88"/>
      <c r="C96" s="88"/>
      <c r="D96" s="162">
        <f t="shared" si="48"/>
        <v>0</v>
      </c>
      <c r="E96" s="88"/>
      <c r="F96" s="88">
        <v>0</v>
      </c>
      <c r="G96" s="88">
        <v>0</v>
      </c>
      <c r="H96" s="88">
        <v>0</v>
      </c>
      <c r="I96" s="162">
        <f t="shared" si="49"/>
        <v>0</v>
      </c>
      <c r="J96" s="88">
        <v>0</v>
      </c>
      <c r="K96" s="88">
        <v>0</v>
      </c>
      <c r="L96" s="88">
        <v>0</v>
      </c>
      <c r="M96" s="88">
        <v>0</v>
      </c>
      <c r="N96" s="162">
        <f t="shared" si="50"/>
        <v>0</v>
      </c>
      <c r="O96" s="170">
        <f t="shared" si="51"/>
        <v>0</v>
      </c>
      <c r="P96" s="210">
        <f t="shared" si="52"/>
        <v>0</v>
      </c>
    </row>
    <row r="97" spans="1:16" ht="15.75" customHeight="1" x14ac:dyDescent="0.25">
      <c r="A97" s="113" t="s">
        <v>147</v>
      </c>
      <c r="B97" s="88"/>
      <c r="C97" s="88"/>
      <c r="D97" s="162">
        <f t="shared" si="48"/>
        <v>0</v>
      </c>
      <c r="E97" s="88"/>
      <c r="F97" s="88">
        <v>0</v>
      </c>
      <c r="G97" s="88">
        <v>1</v>
      </c>
      <c r="H97" s="88">
        <v>0</v>
      </c>
      <c r="I97" s="162">
        <f t="shared" si="49"/>
        <v>1</v>
      </c>
      <c r="J97" s="88">
        <v>0</v>
      </c>
      <c r="K97" s="88">
        <v>0</v>
      </c>
      <c r="L97" s="88">
        <v>0</v>
      </c>
      <c r="M97" s="88">
        <v>0</v>
      </c>
      <c r="N97" s="162">
        <f t="shared" si="50"/>
        <v>0</v>
      </c>
      <c r="O97" s="170">
        <f t="shared" si="51"/>
        <v>1</v>
      </c>
      <c r="P97" s="210">
        <f t="shared" si="52"/>
        <v>1</v>
      </c>
    </row>
    <row r="98" spans="1:16" ht="15.75" customHeight="1" x14ac:dyDescent="0.25">
      <c r="A98" s="107" t="s">
        <v>401</v>
      </c>
      <c r="B98" s="108">
        <f t="shared" ref="B98:P98" si="53">B92+B93+B94</f>
        <v>0</v>
      </c>
      <c r="C98" s="108">
        <f t="shared" si="53"/>
        <v>0</v>
      </c>
      <c r="D98" s="108">
        <f t="shared" si="53"/>
        <v>0</v>
      </c>
      <c r="E98" s="108">
        <f t="shared" si="53"/>
        <v>0</v>
      </c>
      <c r="F98" s="108">
        <f t="shared" si="53"/>
        <v>260</v>
      </c>
      <c r="G98" s="108">
        <f t="shared" si="53"/>
        <v>180</v>
      </c>
      <c r="H98" s="108">
        <f t="shared" si="53"/>
        <v>180</v>
      </c>
      <c r="I98" s="108">
        <f t="shared" si="53"/>
        <v>620</v>
      </c>
      <c r="J98" s="108">
        <f t="shared" si="53"/>
        <v>140</v>
      </c>
      <c r="K98" s="108">
        <f t="shared" si="53"/>
        <v>340</v>
      </c>
      <c r="L98" s="108">
        <f t="shared" si="53"/>
        <v>0</v>
      </c>
      <c r="M98" s="108">
        <f t="shared" si="53"/>
        <v>0</v>
      </c>
      <c r="N98" s="108">
        <f t="shared" si="53"/>
        <v>480</v>
      </c>
      <c r="O98" s="211">
        <f t="shared" si="53"/>
        <v>1100</v>
      </c>
      <c r="P98" s="211">
        <f t="shared" si="53"/>
        <v>1100</v>
      </c>
    </row>
    <row r="100" spans="1:16" ht="15.75" customHeight="1" x14ac:dyDescent="0.25">
      <c r="A100" s="491" t="s">
        <v>412</v>
      </c>
      <c r="B100" s="492"/>
      <c r="C100" s="492"/>
      <c r="D100" s="492"/>
      <c r="E100" s="492"/>
      <c r="F100" s="492"/>
      <c r="G100" s="492"/>
      <c r="H100" s="492"/>
      <c r="I100" s="492"/>
      <c r="J100" s="492"/>
      <c r="K100" s="492"/>
      <c r="L100" s="492"/>
      <c r="M100" s="492"/>
      <c r="N100" s="492"/>
      <c r="O100" s="492"/>
      <c r="P100" s="493"/>
    </row>
    <row r="101" spans="1:16" ht="15.75" customHeight="1" x14ac:dyDescent="0.25">
      <c r="A101" s="491" t="s">
        <v>423</v>
      </c>
      <c r="B101" s="491" t="s">
        <v>391</v>
      </c>
      <c r="C101" s="492"/>
      <c r="D101" s="493"/>
      <c r="E101" s="491" t="s">
        <v>413</v>
      </c>
      <c r="F101" s="492"/>
      <c r="G101" s="492"/>
      <c r="H101" s="492"/>
      <c r="I101" s="493"/>
      <c r="J101" s="491" t="s">
        <v>414</v>
      </c>
      <c r="K101" s="492"/>
      <c r="L101" s="492"/>
      <c r="M101" s="492"/>
      <c r="N101" s="493"/>
      <c r="O101" s="489" t="s">
        <v>415</v>
      </c>
      <c r="P101" s="489" t="s">
        <v>416</v>
      </c>
    </row>
    <row r="102" spans="1:16" ht="15.75" customHeight="1" x14ac:dyDescent="0.25">
      <c r="A102" s="490"/>
      <c r="B102" s="213">
        <v>45740</v>
      </c>
      <c r="C102" s="213">
        <v>45747</v>
      </c>
      <c r="D102" s="212" t="s">
        <v>129</v>
      </c>
      <c r="E102" s="213">
        <v>45754</v>
      </c>
      <c r="F102" s="213">
        <v>45761</v>
      </c>
      <c r="G102" s="213">
        <v>45768</v>
      </c>
      <c r="H102" s="213">
        <v>45775</v>
      </c>
      <c r="I102" s="212" t="s">
        <v>129</v>
      </c>
      <c r="J102" s="213">
        <v>45782</v>
      </c>
      <c r="K102" s="213">
        <v>45789</v>
      </c>
      <c r="L102" s="213">
        <v>45796</v>
      </c>
      <c r="M102" s="213">
        <v>45803</v>
      </c>
      <c r="N102" s="212" t="s">
        <v>129</v>
      </c>
      <c r="O102" s="490"/>
      <c r="P102" s="490"/>
    </row>
    <row r="103" spans="1:16" ht="15.75" customHeight="1" x14ac:dyDescent="0.25">
      <c r="A103" s="160" t="s">
        <v>419</v>
      </c>
      <c r="B103" s="88"/>
      <c r="C103" s="88"/>
      <c r="D103" s="162">
        <f t="shared" ref="D103:D108" si="54">B103+C103</f>
        <v>0</v>
      </c>
      <c r="E103" s="88"/>
      <c r="F103" s="88">
        <v>0</v>
      </c>
      <c r="G103" s="88">
        <v>0</v>
      </c>
      <c r="H103" s="88">
        <v>0</v>
      </c>
      <c r="I103" s="162">
        <f t="shared" ref="I103:I108" si="55">E103+F103+G103+H103</f>
        <v>0</v>
      </c>
      <c r="J103" s="88">
        <v>0</v>
      </c>
      <c r="K103" s="88">
        <v>0</v>
      </c>
      <c r="L103" s="88">
        <v>0</v>
      </c>
      <c r="M103" s="88">
        <v>0</v>
      </c>
      <c r="N103" s="162">
        <f t="shared" ref="N103:N108" si="56">J103+K103+L103+M103</f>
        <v>0</v>
      </c>
      <c r="O103" s="170">
        <f t="shared" ref="O103:O108" si="57">B103+C103+E103+F103+G103+H103+J103+K103</f>
        <v>0</v>
      </c>
      <c r="P103" s="210">
        <f t="shared" ref="P103:P108" si="58">D103+I103+N103</f>
        <v>0</v>
      </c>
    </row>
    <row r="104" spans="1:16" ht="15.75" customHeight="1" x14ac:dyDescent="0.25">
      <c r="A104" s="160" t="s">
        <v>421</v>
      </c>
      <c r="B104" s="88"/>
      <c r="C104" s="88"/>
      <c r="D104" s="162">
        <f t="shared" si="54"/>
        <v>0</v>
      </c>
      <c r="E104" s="88"/>
      <c r="F104" s="88">
        <v>125</v>
      </c>
      <c r="G104" s="88">
        <v>141</v>
      </c>
      <c r="H104" s="88">
        <v>184</v>
      </c>
      <c r="I104" s="162">
        <f t="shared" si="55"/>
        <v>450</v>
      </c>
      <c r="J104" s="88">
        <v>31</v>
      </c>
      <c r="K104" s="88">
        <v>827</v>
      </c>
      <c r="L104" s="88">
        <v>0</v>
      </c>
      <c r="M104" s="88">
        <v>0</v>
      </c>
      <c r="N104" s="162">
        <f t="shared" si="56"/>
        <v>858</v>
      </c>
      <c r="O104" s="170">
        <f t="shared" si="57"/>
        <v>1308</v>
      </c>
      <c r="P104" s="210">
        <f t="shared" si="58"/>
        <v>1308</v>
      </c>
    </row>
    <row r="105" spans="1:16" ht="15.75" customHeight="1" x14ac:dyDescent="0.25">
      <c r="A105" s="160" t="s">
        <v>422</v>
      </c>
      <c r="B105" s="88"/>
      <c r="C105" s="88"/>
      <c r="D105" s="162">
        <f t="shared" si="54"/>
        <v>0</v>
      </c>
      <c r="E105" s="88"/>
      <c r="F105" s="88">
        <v>0</v>
      </c>
      <c r="G105" s="88">
        <v>0</v>
      </c>
      <c r="H105" s="88">
        <v>0</v>
      </c>
      <c r="I105" s="162">
        <f t="shared" si="55"/>
        <v>0</v>
      </c>
      <c r="J105" s="88">
        <v>0</v>
      </c>
      <c r="K105" s="88">
        <v>0</v>
      </c>
      <c r="L105" s="88">
        <v>0</v>
      </c>
      <c r="M105" s="88">
        <v>0</v>
      </c>
      <c r="N105" s="162">
        <f t="shared" si="56"/>
        <v>0</v>
      </c>
      <c r="O105" s="170">
        <f t="shared" si="57"/>
        <v>0</v>
      </c>
      <c r="P105" s="210">
        <f t="shared" si="58"/>
        <v>0</v>
      </c>
    </row>
    <row r="106" spans="1:16" ht="15.75" customHeight="1" x14ac:dyDescent="0.25">
      <c r="A106" s="113" t="s">
        <v>224</v>
      </c>
      <c r="B106" s="88"/>
      <c r="C106" s="88"/>
      <c r="D106" s="162">
        <f t="shared" si="54"/>
        <v>0</v>
      </c>
      <c r="E106" s="88"/>
      <c r="F106" s="88">
        <v>0</v>
      </c>
      <c r="G106" s="88">
        <v>0</v>
      </c>
      <c r="H106" s="88">
        <v>0</v>
      </c>
      <c r="I106" s="162">
        <f t="shared" si="55"/>
        <v>0</v>
      </c>
      <c r="J106" s="88">
        <v>0</v>
      </c>
      <c r="K106" s="88">
        <v>0</v>
      </c>
      <c r="L106" s="88">
        <v>0</v>
      </c>
      <c r="M106" s="88">
        <v>0</v>
      </c>
      <c r="N106" s="162">
        <f t="shared" si="56"/>
        <v>0</v>
      </c>
      <c r="O106" s="170">
        <f t="shared" si="57"/>
        <v>0</v>
      </c>
      <c r="P106" s="210">
        <f t="shared" si="58"/>
        <v>0</v>
      </c>
    </row>
    <row r="107" spans="1:16" ht="15.75" customHeight="1" x14ac:dyDescent="0.25">
      <c r="A107" s="113" t="s">
        <v>146</v>
      </c>
      <c r="B107" s="88"/>
      <c r="C107" s="88"/>
      <c r="D107" s="162">
        <f t="shared" si="54"/>
        <v>0</v>
      </c>
      <c r="E107" s="88"/>
      <c r="F107" s="88">
        <v>0</v>
      </c>
      <c r="G107" s="88">
        <v>0</v>
      </c>
      <c r="H107" s="88">
        <v>0</v>
      </c>
      <c r="I107" s="162">
        <f t="shared" si="55"/>
        <v>0</v>
      </c>
      <c r="J107" s="88">
        <v>0</v>
      </c>
      <c r="K107" s="88">
        <v>0</v>
      </c>
      <c r="L107" s="88">
        <v>0</v>
      </c>
      <c r="M107" s="88">
        <v>0</v>
      </c>
      <c r="N107" s="162">
        <f t="shared" si="56"/>
        <v>0</v>
      </c>
      <c r="O107" s="170">
        <f t="shared" si="57"/>
        <v>0</v>
      </c>
      <c r="P107" s="210">
        <f t="shared" si="58"/>
        <v>0</v>
      </c>
    </row>
    <row r="108" spans="1:16" ht="15.75" customHeight="1" x14ac:dyDescent="0.25">
      <c r="A108" s="113" t="s">
        <v>147</v>
      </c>
      <c r="B108" s="88"/>
      <c r="C108" s="88"/>
      <c r="D108" s="162">
        <f t="shared" si="54"/>
        <v>0</v>
      </c>
      <c r="E108" s="88"/>
      <c r="F108" s="88">
        <v>0</v>
      </c>
      <c r="G108" s="88">
        <v>0</v>
      </c>
      <c r="H108" s="88">
        <v>0</v>
      </c>
      <c r="I108" s="162">
        <f t="shared" si="55"/>
        <v>0</v>
      </c>
      <c r="J108" s="88">
        <v>0</v>
      </c>
      <c r="K108" s="88">
        <v>0</v>
      </c>
      <c r="L108" s="88">
        <v>0</v>
      </c>
      <c r="M108" s="88">
        <v>0</v>
      </c>
      <c r="N108" s="162">
        <f t="shared" si="56"/>
        <v>0</v>
      </c>
      <c r="O108" s="170">
        <f t="shared" si="57"/>
        <v>0</v>
      </c>
      <c r="P108" s="210">
        <f t="shared" si="58"/>
        <v>0</v>
      </c>
    </row>
    <row r="109" spans="1:16" ht="15.75" customHeight="1" x14ac:dyDescent="0.25">
      <c r="A109" s="107" t="s">
        <v>401</v>
      </c>
      <c r="B109" s="108">
        <f t="shared" ref="B109:P109" si="59">B103+B104+B105</f>
        <v>0</v>
      </c>
      <c r="C109" s="108">
        <f t="shared" si="59"/>
        <v>0</v>
      </c>
      <c r="D109" s="108">
        <f t="shared" si="59"/>
        <v>0</v>
      </c>
      <c r="E109" s="108">
        <f t="shared" si="59"/>
        <v>0</v>
      </c>
      <c r="F109" s="108">
        <f t="shared" si="59"/>
        <v>125</v>
      </c>
      <c r="G109" s="108">
        <f t="shared" si="59"/>
        <v>141</v>
      </c>
      <c r="H109" s="108">
        <f t="shared" si="59"/>
        <v>184</v>
      </c>
      <c r="I109" s="108">
        <f t="shared" si="59"/>
        <v>450</v>
      </c>
      <c r="J109" s="108">
        <f t="shared" si="59"/>
        <v>31</v>
      </c>
      <c r="K109" s="108">
        <f t="shared" si="59"/>
        <v>827</v>
      </c>
      <c r="L109" s="108">
        <f t="shared" si="59"/>
        <v>0</v>
      </c>
      <c r="M109" s="108">
        <f t="shared" si="59"/>
        <v>0</v>
      </c>
      <c r="N109" s="108">
        <f t="shared" si="59"/>
        <v>858</v>
      </c>
      <c r="O109" s="211">
        <f t="shared" si="59"/>
        <v>1308</v>
      </c>
      <c r="P109" s="211">
        <f t="shared" si="59"/>
        <v>1308</v>
      </c>
    </row>
    <row r="111" spans="1:16" ht="15.75" customHeight="1" x14ac:dyDescent="0.25">
      <c r="A111" s="491" t="s">
        <v>412</v>
      </c>
      <c r="B111" s="492"/>
      <c r="C111" s="492"/>
      <c r="D111" s="492"/>
      <c r="E111" s="492"/>
      <c r="F111" s="492"/>
      <c r="G111" s="492"/>
      <c r="H111" s="492"/>
      <c r="I111" s="492"/>
      <c r="J111" s="492"/>
      <c r="K111" s="492"/>
      <c r="L111" s="492"/>
      <c r="M111" s="492"/>
      <c r="N111" s="492"/>
      <c r="O111" s="492"/>
      <c r="P111" s="493"/>
    </row>
    <row r="112" spans="1:16" ht="15.75" customHeight="1" x14ac:dyDescent="0.25">
      <c r="A112" s="491" t="s">
        <v>424</v>
      </c>
      <c r="B112" s="491" t="s">
        <v>391</v>
      </c>
      <c r="C112" s="492"/>
      <c r="D112" s="493"/>
      <c r="E112" s="491" t="s">
        <v>413</v>
      </c>
      <c r="F112" s="492"/>
      <c r="G112" s="492"/>
      <c r="H112" s="492"/>
      <c r="I112" s="493"/>
      <c r="J112" s="491" t="s">
        <v>414</v>
      </c>
      <c r="K112" s="492"/>
      <c r="L112" s="492"/>
      <c r="M112" s="492"/>
      <c r="N112" s="493"/>
      <c r="O112" s="489" t="s">
        <v>415</v>
      </c>
      <c r="P112" s="489" t="s">
        <v>416</v>
      </c>
    </row>
    <row r="113" spans="1:16" ht="15.75" customHeight="1" x14ac:dyDescent="0.25">
      <c r="A113" s="490"/>
      <c r="B113" s="213">
        <v>45740</v>
      </c>
      <c r="C113" s="213">
        <v>45747</v>
      </c>
      <c r="D113" s="212" t="s">
        <v>129</v>
      </c>
      <c r="E113" s="213">
        <v>45754</v>
      </c>
      <c r="F113" s="213">
        <v>45761</v>
      </c>
      <c r="G113" s="213">
        <v>45768</v>
      </c>
      <c r="H113" s="213">
        <v>45775</v>
      </c>
      <c r="I113" s="212" t="s">
        <v>129</v>
      </c>
      <c r="J113" s="213">
        <v>45782</v>
      </c>
      <c r="K113" s="213">
        <v>45789</v>
      </c>
      <c r="L113" s="213">
        <v>45796</v>
      </c>
      <c r="M113" s="213">
        <v>45803</v>
      </c>
      <c r="N113" s="212" t="s">
        <v>129</v>
      </c>
      <c r="O113" s="490"/>
      <c r="P113" s="490"/>
    </row>
    <row r="114" spans="1:16" ht="15.75" customHeight="1" x14ac:dyDescent="0.25">
      <c r="A114" s="160" t="s">
        <v>419</v>
      </c>
      <c r="B114" s="88"/>
      <c r="C114" s="88"/>
      <c r="D114" s="162">
        <f t="shared" ref="D114:D119" si="60">B114+C114</f>
        <v>0</v>
      </c>
      <c r="E114" s="88"/>
      <c r="F114" s="88">
        <v>0</v>
      </c>
      <c r="G114" s="88">
        <v>600</v>
      </c>
      <c r="H114" s="88">
        <v>800</v>
      </c>
      <c r="I114" s="162">
        <f t="shared" ref="I114:I119" si="61">E114+F114+G114+H114</f>
        <v>1400</v>
      </c>
      <c r="J114" s="88">
        <v>0</v>
      </c>
      <c r="K114" s="88">
        <v>0</v>
      </c>
      <c r="L114" s="88">
        <v>0</v>
      </c>
      <c r="M114" s="88">
        <v>0</v>
      </c>
      <c r="N114" s="162">
        <f t="shared" ref="N114:N119" si="62">J114+K114+L114+M114</f>
        <v>0</v>
      </c>
      <c r="O114" s="170">
        <f t="shared" ref="O114:O119" si="63">B114+C114+E114+F114+G114+H114+J114+K114</f>
        <v>1400</v>
      </c>
      <c r="P114" s="210">
        <f t="shared" ref="P114:P119" si="64">D114+I114+N114</f>
        <v>1400</v>
      </c>
    </row>
    <row r="115" spans="1:16" ht="15.75" customHeight="1" x14ac:dyDescent="0.25">
      <c r="A115" s="160" t="s">
        <v>421</v>
      </c>
      <c r="B115" s="88"/>
      <c r="C115" s="88"/>
      <c r="D115" s="162">
        <f t="shared" si="60"/>
        <v>0</v>
      </c>
      <c r="E115" s="88"/>
      <c r="F115" s="88">
        <v>0</v>
      </c>
      <c r="G115" s="88">
        <v>200</v>
      </c>
      <c r="H115" s="88">
        <v>200</v>
      </c>
      <c r="I115" s="162">
        <f t="shared" si="61"/>
        <v>400</v>
      </c>
      <c r="J115" s="88">
        <v>0</v>
      </c>
      <c r="K115" s="88">
        <v>0</v>
      </c>
      <c r="L115" s="88">
        <v>0</v>
      </c>
      <c r="M115" s="88">
        <v>0</v>
      </c>
      <c r="N115" s="162">
        <f t="shared" si="62"/>
        <v>0</v>
      </c>
      <c r="O115" s="170">
        <f t="shared" si="63"/>
        <v>400</v>
      </c>
      <c r="P115" s="210">
        <f t="shared" si="64"/>
        <v>400</v>
      </c>
    </row>
    <row r="116" spans="1:16" ht="15.75" customHeight="1" x14ac:dyDescent="0.25">
      <c r="A116" s="160" t="s">
        <v>422</v>
      </c>
      <c r="B116" s="88"/>
      <c r="C116" s="88"/>
      <c r="D116" s="162">
        <f t="shared" si="60"/>
        <v>0</v>
      </c>
      <c r="E116" s="88"/>
      <c r="F116" s="88">
        <v>0</v>
      </c>
      <c r="G116" s="88">
        <v>0</v>
      </c>
      <c r="H116" s="88">
        <v>0</v>
      </c>
      <c r="I116" s="162">
        <f t="shared" si="61"/>
        <v>0</v>
      </c>
      <c r="J116" s="88">
        <v>0</v>
      </c>
      <c r="K116" s="88">
        <v>0</v>
      </c>
      <c r="L116" s="88">
        <v>0</v>
      </c>
      <c r="M116" s="88">
        <v>83</v>
      </c>
      <c r="N116" s="162">
        <f t="shared" si="62"/>
        <v>83</v>
      </c>
      <c r="O116" s="170">
        <f t="shared" si="63"/>
        <v>0</v>
      </c>
      <c r="P116" s="210">
        <f t="shared" si="64"/>
        <v>83</v>
      </c>
    </row>
    <row r="117" spans="1:16" ht="15.75" customHeight="1" x14ac:dyDescent="0.25">
      <c r="A117" s="113" t="s">
        <v>224</v>
      </c>
      <c r="B117" s="88"/>
      <c r="C117" s="88"/>
      <c r="D117" s="162">
        <f t="shared" si="60"/>
        <v>0</v>
      </c>
      <c r="E117" s="88"/>
      <c r="F117" s="88">
        <v>0</v>
      </c>
      <c r="G117" s="88">
        <v>0</v>
      </c>
      <c r="H117" s="88">
        <v>0</v>
      </c>
      <c r="I117" s="162">
        <f t="shared" si="61"/>
        <v>0</v>
      </c>
      <c r="J117" s="88">
        <v>0</v>
      </c>
      <c r="K117" s="88">
        <v>0</v>
      </c>
      <c r="L117" s="88">
        <v>0</v>
      </c>
      <c r="M117" s="88">
        <v>0</v>
      </c>
      <c r="N117" s="162">
        <f t="shared" si="62"/>
        <v>0</v>
      </c>
      <c r="O117" s="170">
        <f t="shared" si="63"/>
        <v>0</v>
      </c>
      <c r="P117" s="210">
        <f t="shared" si="64"/>
        <v>0</v>
      </c>
    </row>
    <row r="118" spans="1:16" ht="15.75" customHeight="1" x14ac:dyDescent="0.25">
      <c r="A118" s="113" t="s">
        <v>146</v>
      </c>
      <c r="B118" s="88"/>
      <c r="C118" s="88"/>
      <c r="D118" s="162">
        <f t="shared" si="60"/>
        <v>0</v>
      </c>
      <c r="E118" s="88"/>
      <c r="F118" s="88">
        <v>0</v>
      </c>
      <c r="G118" s="88">
        <v>0</v>
      </c>
      <c r="H118" s="88">
        <v>0</v>
      </c>
      <c r="I118" s="162">
        <f t="shared" si="61"/>
        <v>0</v>
      </c>
      <c r="J118" s="88">
        <v>0</v>
      </c>
      <c r="K118" s="88">
        <v>0</v>
      </c>
      <c r="L118" s="88">
        <v>0</v>
      </c>
      <c r="M118" s="88">
        <v>0</v>
      </c>
      <c r="N118" s="162">
        <f t="shared" si="62"/>
        <v>0</v>
      </c>
      <c r="O118" s="170">
        <f t="shared" si="63"/>
        <v>0</v>
      </c>
      <c r="P118" s="210">
        <f t="shared" si="64"/>
        <v>0</v>
      </c>
    </row>
    <row r="119" spans="1:16" ht="15.75" customHeight="1" x14ac:dyDescent="0.25">
      <c r="A119" s="113" t="s">
        <v>147</v>
      </c>
      <c r="B119" s="88"/>
      <c r="C119" s="88"/>
      <c r="D119" s="162">
        <f t="shared" si="60"/>
        <v>0</v>
      </c>
      <c r="E119" s="88"/>
      <c r="F119" s="88">
        <v>0</v>
      </c>
      <c r="G119" s="88">
        <v>1</v>
      </c>
      <c r="H119" s="88">
        <v>0</v>
      </c>
      <c r="I119" s="162">
        <f t="shared" si="61"/>
        <v>1</v>
      </c>
      <c r="J119" s="88">
        <v>0</v>
      </c>
      <c r="K119" s="88">
        <v>0</v>
      </c>
      <c r="L119" s="88">
        <v>0</v>
      </c>
      <c r="M119" s="88">
        <v>0</v>
      </c>
      <c r="N119" s="162">
        <f t="shared" si="62"/>
        <v>0</v>
      </c>
      <c r="O119" s="170">
        <f t="shared" si="63"/>
        <v>1</v>
      </c>
      <c r="P119" s="210">
        <f t="shared" si="64"/>
        <v>1</v>
      </c>
    </row>
    <row r="120" spans="1:16" ht="15.75" customHeight="1" x14ac:dyDescent="0.25">
      <c r="A120" s="107" t="s">
        <v>401</v>
      </c>
      <c r="B120" s="108">
        <f t="shared" ref="B120:P120" si="65">B114+B115+B116</f>
        <v>0</v>
      </c>
      <c r="C120" s="108">
        <f t="shared" si="65"/>
        <v>0</v>
      </c>
      <c r="D120" s="108">
        <f t="shared" si="65"/>
        <v>0</v>
      </c>
      <c r="E120" s="108">
        <f t="shared" si="65"/>
        <v>0</v>
      </c>
      <c r="F120" s="108">
        <f t="shared" si="65"/>
        <v>0</v>
      </c>
      <c r="G120" s="108">
        <f t="shared" si="65"/>
        <v>800</v>
      </c>
      <c r="H120" s="108">
        <f t="shared" si="65"/>
        <v>1000</v>
      </c>
      <c r="I120" s="108">
        <f t="shared" si="65"/>
        <v>1800</v>
      </c>
      <c r="J120" s="108">
        <f t="shared" si="65"/>
        <v>0</v>
      </c>
      <c r="K120" s="108">
        <f t="shared" si="65"/>
        <v>0</v>
      </c>
      <c r="L120" s="108">
        <f t="shared" si="65"/>
        <v>0</v>
      </c>
      <c r="M120" s="108">
        <f t="shared" si="65"/>
        <v>83</v>
      </c>
      <c r="N120" s="108">
        <f t="shared" si="65"/>
        <v>83</v>
      </c>
      <c r="O120" s="211">
        <f t="shared" si="65"/>
        <v>1800</v>
      </c>
      <c r="P120" s="211">
        <f t="shared" si="65"/>
        <v>1883</v>
      </c>
    </row>
  </sheetData>
  <mergeCells count="78">
    <mergeCell ref="R2:S2"/>
    <mergeCell ref="B2:D2"/>
    <mergeCell ref="B112:D112"/>
    <mergeCell ref="E79:I79"/>
    <mergeCell ref="J68:N68"/>
    <mergeCell ref="B24:D24"/>
    <mergeCell ref="A101:A102"/>
    <mergeCell ref="E90:I90"/>
    <mergeCell ref="B79:D79"/>
    <mergeCell ref="E101:I101"/>
    <mergeCell ref="B90:D90"/>
    <mergeCell ref="A56:P56"/>
    <mergeCell ref="E112:I112"/>
    <mergeCell ref="A12:P12"/>
    <mergeCell ref="O68:O69"/>
    <mergeCell ref="O101:O102"/>
    <mergeCell ref="A23:P23"/>
    <mergeCell ref="E24:I24"/>
    <mergeCell ref="B13:D13"/>
    <mergeCell ref="J112:N112"/>
    <mergeCell ref="P46:P47"/>
    <mergeCell ref="O35:O36"/>
    <mergeCell ref="E35:I35"/>
    <mergeCell ref="A67:P67"/>
    <mergeCell ref="A13:A14"/>
    <mergeCell ref="B35:D35"/>
    <mergeCell ref="O46:O47"/>
    <mergeCell ref="A112:A113"/>
    <mergeCell ref="P13:P14"/>
    <mergeCell ref="A1:P1"/>
    <mergeCell ref="A45:P45"/>
    <mergeCell ref="E46:I46"/>
    <mergeCell ref="O2:O3"/>
    <mergeCell ref="B46:D46"/>
    <mergeCell ref="J2:N2"/>
    <mergeCell ref="E2:I2"/>
    <mergeCell ref="A24:A25"/>
    <mergeCell ref="O24:O25"/>
    <mergeCell ref="O13:O14"/>
    <mergeCell ref="J24:N24"/>
    <mergeCell ref="A46:A47"/>
    <mergeCell ref="A34:P34"/>
    <mergeCell ref="B68:D68"/>
    <mergeCell ref="P101:P102"/>
    <mergeCell ref="J79:N79"/>
    <mergeCell ref="A57:A58"/>
    <mergeCell ref="A78:P78"/>
    <mergeCell ref="A68:A69"/>
    <mergeCell ref="O57:O58"/>
    <mergeCell ref="E57:I57"/>
    <mergeCell ref="P79:P80"/>
    <mergeCell ref="J90:N90"/>
    <mergeCell ref="O90:O91"/>
    <mergeCell ref="B101:D101"/>
    <mergeCell ref="P57:P58"/>
    <mergeCell ref="E13:I13"/>
    <mergeCell ref="A2:A3"/>
    <mergeCell ref="J35:N35"/>
    <mergeCell ref="J101:N101"/>
    <mergeCell ref="P112:P113"/>
    <mergeCell ref="P24:P25"/>
    <mergeCell ref="A35:A36"/>
    <mergeCell ref="A89:P89"/>
    <mergeCell ref="J46:N46"/>
    <mergeCell ref="A79:A80"/>
    <mergeCell ref="A100:P100"/>
    <mergeCell ref="J13:N13"/>
    <mergeCell ref="P90:P91"/>
    <mergeCell ref="P2:P3"/>
    <mergeCell ref="A90:A91"/>
    <mergeCell ref="O112:O113"/>
    <mergeCell ref="P35:P36"/>
    <mergeCell ref="E68:I68"/>
    <mergeCell ref="B57:D57"/>
    <mergeCell ref="J57:N57"/>
    <mergeCell ref="A111:P111"/>
    <mergeCell ref="O79:O80"/>
    <mergeCell ref="P68:P69"/>
  </mergeCells>
  <pageMargins left="0.511811024" right="0.511811024" top="0.78740157499999996" bottom="0.78740157499999996" header="0.31496062000000002" footer="0.31496062000000002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63">
    <tabColor theme="9"/>
  </sheetPr>
  <dimension ref="A1:BD117"/>
  <sheetViews>
    <sheetView showGridLines="0" zoomScale="80" zoomScaleNormal="80" workbookViewId="0">
      <selection activeCell="AA14" activeCellId="1" sqref="AA8:AA11 AA14:AA17"/>
    </sheetView>
  </sheetViews>
  <sheetFormatPr defaultColWidth="9.140625" defaultRowHeight="18.75" x14ac:dyDescent="0.3"/>
  <cols>
    <col min="1" max="1" width="24.7109375" style="62" customWidth="1"/>
    <col min="2" max="2" width="8.7109375" style="11" customWidth="1"/>
    <col min="3" max="4" width="15.28515625" style="11" customWidth="1"/>
    <col min="5" max="5" width="1.7109375" style="11" customWidth="1"/>
    <col min="6" max="24" width="8.28515625" style="11" hidden="1" customWidth="1"/>
    <col min="25" max="26" width="8.28515625" style="11" customWidth="1"/>
    <col min="27" max="27" width="9.7109375" style="11" customWidth="1"/>
    <col min="28" max="28" width="1.42578125" style="11" customWidth="1"/>
    <col min="29" max="30" width="14.28515625" style="71" bestFit="1" customWidth="1"/>
    <col min="31" max="31" width="1.28515625" style="11" customWidth="1"/>
    <col min="32" max="32" width="15.85546875" style="34" bestFit="1" customWidth="1"/>
    <col min="33" max="33" width="2.140625" style="11" customWidth="1"/>
    <col min="34" max="38" width="8.7109375" style="71" customWidth="1"/>
    <col min="39" max="46" width="8.7109375" style="71" hidden="1" customWidth="1"/>
    <col min="47" max="47" width="9.140625" style="11" customWidth="1"/>
    <col min="48" max="48" width="21.85546875" style="11" bestFit="1" customWidth="1"/>
    <col min="49" max="49" width="9.140625" style="11" customWidth="1"/>
    <col min="50" max="53" width="13" style="11" hidden="1" customWidth="1"/>
    <col min="54" max="54" width="9.140625" style="11" customWidth="1"/>
    <col min="55" max="16384" width="9.140625" style="11"/>
  </cols>
  <sheetData>
    <row r="1" spans="1:56" ht="23.25" customHeight="1" x14ac:dyDescent="0.3">
      <c r="A1" s="133" t="s">
        <v>117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  <c r="S1" s="338"/>
      <c r="T1" s="338"/>
      <c r="U1" s="338"/>
      <c r="V1" s="338"/>
      <c r="W1" s="338"/>
      <c r="X1" s="338"/>
      <c r="Y1" s="338"/>
      <c r="Z1" s="338"/>
      <c r="AA1" s="338"/>
      <c r="AB1" s="338"/>
      <c r="AC1" s="354"/>
      <c r="AD1" s="354"/>
      <c r="AE1" s="338"/>
      <c r="AF1" s="338"/>
      <c r="AG1" s="338"/>
      <c r="AH1" s="353"/>
      <c r="AI1" s="353"/>
      <c r="AJ1" s="353"/>
      <c r="AK1" s="353"/>
      <c r="AL1" s="353"/>
      <c r="AM1" s="353"/>
      <c r="AN1" s="353"/>
      <c r="AO1" s="353"/>
      <c r="AP1" s="353"/>
      <c r="AQ1" s="353"/>
      <c r="AR1" s="353"/>
      <c r="AS1" s="353"/>
      <c r="AT1" s="353"/>
    </row>
    <row r="2" spans="1:56" x14ac:dyDescent="0.3">
      <c r="A2" s="63" t="s">
        <v>118</v>
      </c>
      <c r="B2" s="473" t="s">
        <v>338</v>
      </c>
      <c r="C2" s="463"/>
      <c r="D2" s="464"/>
      <c r="AC2" s="41"/>
      <c r="AD2" s="41"/>
      <c r="AF2" s="11"/>
    </row>
    <row r="3" spans="1:56" x14ac:dyDescent="0.3">
      <c r="A3" s="63" t="s">
        <v>120</v>
      </c>
      <c r="B3" s="465" t="s">
        <v>339</v>
      </c>
      <c r="C3" s="463"/>
      <c r="D3" s="464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41"/>
      <c r="AD3" s="41"/>
      <c r="AE3" s="7"/>
    </row>
    <row r="4" spans="1:56" x14ac:dyDescent="0.3">
      <c r="AC4" s="41"/>
      <c r="AD4" s="41"/>
      <c r="AF4" s="11"/>
      <c r="AH4" s="387"/>
      <c r="AI4" s="387"/>
      <c r="AJ4" s="387"/>
      <c r="AK4" s="387"/>
      <c r="AL4" s="387"/>
      <c r="AM4" s="387"/>
      <c r="AN4" s="387"/>
      <c r="AO4" s="387"/>
      <c r="AP4" s="387"/>
      <c r="AQ4" s="387"/>
      <c r="AR4" s="387"/>
      <c r="AS4" s="387"/>
      <c r="AT4" s="387"/>
    </row>
    <row r="5" spans="1:56" ht="18.75" customHeight="1" x14ac:dyDescent="0.3">
      <c r="A5" s="460" t="s">
        <v>122</v>
      </c>
      <c r="B5" s="471" t="s">
        <v>123</v>
      </c>
      <c r="C5" s="471" t="s">
        <v>124</v>
      </c>
      <c r="D5" s="474" t="s">
        <v>125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C5" s="29" t="s">
        <v>126</v>
      </c>
      <c r="AD5" s="29" t="s">
        <v>126</v>
      </c>
      <c r="AF5" s="9" t="s">
        <v>127</v>
      </c>
      <c r="AH5" s="363"/>
      <c r="AI5" s="363">
        <v>46142</v>
      </c>
      <c r="AJ5" s="363">
        <v>46114</v>
      </c>
      <c r="AK5" s="409">
        <v>46065</v>
      </c>
      <c r="AL5" s="363">
        <v>46099</v>
      </c>
      <c r="AM5" s="363">
        <v>46084</v>
      </c>
      <c r="AN5" s="363">
        <v>46048</v>
      </c>
      <c r="AO5" s="363">
        <v>46035</v>
      </c>
      <c r="AP5" s="363">
        <v>46029</v>
      </c>
      <c r="AQ5" s="363">
        <v>46017</v>
      </c>
      <c r="AR5" s="363">
        <v>46007</v>
      </c>
      <c r="AS5" s="363">
        <v>46001</v>
      </c>
      <c r="AT5" s="363">
        <v>45951</v>
      </c>
    </row>
    <row r="6" spans="1:56" s="3" customFormat="1" x14ac:dyDescent="0.3">
      <c r="A6" s="461"/>
      <c r="B6" s="461"/>
      <c r="C6" s="461"/>
      <c r="D6" s="461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35" t="s">
        <v>129</v>
      </c>
      <c r="AB6" s="31"/>
      <c r="AC6" s="18"/>
      <c r="AD6" s="18"/>
      <c r="AE6" s="31"/>
      <c r="AF6" s="179">
        <v>46155</v>
      </c>
      <c r="AG6" s="31"/>
      <c r="AH6" s="363"/>
      <c r="AI6" s="363">
        <v>46149</v>
      </c>
      <c r="AJ6" s="363">
        <v>46126</v>
      </c>
      <c r="AK6" s="409">
        <v>46107</v>
      </c>
      <c r="AL6" s="363">
        <v>46106</v>
      </c>
      <c r="AM6" s="363">
        <v>46091</v>
      </c>
      <c r="AN6" s="363">
        <v>46056</v>
      </c>
      <c r="AO6" s="363">
        <v>46042</v>
      </c>
      <c r="AP6" s="363">
        <v>46037</v>
      </c>
      <c r="AQ6" s="363">
        <v>46028</v>
      </c>
      <c r="AR6" s="363">
        <v>46386</v>
      </c>
      <c r="AS6" s="363">
        <v>46009</v>
      </c>
      <c r="AT6" s="363">
        <v>45960</v>
      </c>
      <c r="AV6" s="11"/>
      <c r="AW6" s="11"/>
      <c r="AX6" s="11"/>
      <c r="AY6" s="11"/>
      <c r="AZ6" s="11"/>
      <c r="BA6" s="11"/>
      <c r="BB6" s="11"/>
      <c r="BC6" s="11"/>
      <c r="BD6" s="11"/>
    </row>
    <row r="7" spans="1:56" s="3" customFormat="1" ht="21.75" customHeight="1" x14ac:dyDescent="0.3">
      <c r="A7" s="20" t="s">
        <v>130</v>
      </c>
      <c r="B7" s="4"/>
      <c r="C7" s="5"/>
      <c r="D7" s="233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1"/>
      <c r="AC7" s="12"/>
      <c r="AD7" s="12"/>
      <c r="AE7" s="11"/>
      <c r="AF7" s="12"/>
      <c r="AG7" s="11"/>
      <c r="AH7" s="12"/>
      <c r="AI7" s="12"/>
      <c r="AJ7" s="12"/>
      <c r="AK7" s="12" t="s">
        <v>131</v>
      </c>
      <c r="AL7" s="12"/>
      <c r="AM7" s="12"/>
      <c r="AN7" s="12"/>
      <c r="AO7" s="12"/>
      <c r="AP7" s="12"/>
      <c r="AQ7" s="12"/>
      <c r="AR7" s="12"/>
      <c r="AS7" s="12"/>
      <c r="AT7" s="12"/>
      <c r="AV7" s="475" t="s">
        <v>180</v>
      </c>
      <c r="AW7" s="467"/>
      <c r="AX7" s="467"/>
      <c r="AY7" s="467"/>
      <c r="AZ7" s="467"/>
      <c r="BA7" s="467"/>
      <c r="BB7" s="467"/>
      <c r="BC7" s="467"/>
      <c r="BD7" s="469"/>
    </row>
    <row r="8" spans="1:56" s="3" customFormat="1" x14ac:dyDescent="0.3">
      <c r="A8" s="21" t="s">
        <v>132</v>
      </c>
      <c r="B8" s="6">
        <v>300</v>
      </c>
      <c r="C8" s="82">
        <v>187.12</v>
      </c>
      <c r="D8" s="234">
        <v>150</v>
      </c>
      <c r="E8" s="11"/>
      <c r="F8" s="39">
        <v>300</v>
      </c>
      <c r="G8" s="39">
        <v>0</v>
      </c>
      <c r="H8" s="39">
        <v>300</v>
      </c>
      <c r="I8" s="39">
        <v>180</v>
      </c>
      <c r="J8" s="39">
        <f>180+AO8</f>
        <v>480</v>
      </c>
      <c r="K8" s="39">
        <v>480</v>
      </c>
      <c r="L8" s="39">
        <v>480</v>
      </c>
      <c r="M8" s="39">
        <v>480</v>
      </c>
      <c r="N8" s="39">
        <v>480</v>
      </c>
      <c r="O8" s="39">
        <v>360</v>
      </c>
      <c r="P8" s="39">
        <v>320</v>
      </c>
      <c r="Q8" s="39">
        <v>280</v>
      </c>
      <c r="R8" s="39">
        <v>280</v>
      </c>
      <c r="S8" s="39">
        <v>280</v>
      </c>
      <c r="T8" s="39">
        <v>280</v>
      </c>
      <c r="U8" s="39">
        <v>200</v>
      </c>
      <c r="V8" s="39">
        <v>160</v>
      </c>
      <c r="W8" s="39">
        <v>160</v>
      </c>
      <c r="X8" s="39">
        <v>120</v>
      </c>
      <c r="Y8" s="39">
        <f>120+AI8</f>
        <v>420</v>
      </c>
      <c r="Z8" s="39">
        <v>360</v>
      </c>
      <c r="AA8" s="372">
        <f ca="1">Y8+IF(NOT(ISBLANK(OFFSET(AA8,0,6))),N(OFFSET(AA8,0,6)),N(OFFSET(AA8,0,7)))-Z8</f>
        <v>60</v>
      </c>
      <c r="AB8" s="11"/>
      <c r="AC8" s="78"/>
      <c r="AD8" s="78"/>
      <c r="AE8" s="11"/>
      <c r="AF8" s="32"/>
      <c r="AG8" s="41"/>
      <c r="AH8" s="19">
        <v>0</v>
      </c>
      <c r="AI8" s="19">
        <v>300</v>
      </c>
      <c r="AJ8" s="19"/>
      <c r="AK8" s="19"/>
      <c r="AL8" s="19"/>
      <c r="AM8" s="19"/>
      <c r="AN8" s="19"/>
      <c r="AO8" s="19">
        <v>300</v>
      </c>
      <c r="AP8" s="19"/>
      <c r="AQ8" s="19"/>
      <c r="AR8" s="19">
        <v>300</v>
      </c>
      <c r="AS8" s="19">
        <v>300</v>
      </c>
      <c r="AT8" s="19"/>
      <c r="AV8" s="389" t="s">
        <v>130</v>
      </c>
      <c r="AW8" s="376" t="s">
        <v>123</v>
      </c>
      <c r="AX8" s="13">
        <v>46118</v>
      </c>
      <c r="AY8" s="13">
        <v>46125</v>
      </c>
      <c r="AZ8" s="13">
        <v>46132</v>
      </c>
      <c r="BA8" s="13">
        <v>46139</v>
      </c>
      <c r="BB8" s="13">
        <v>46146</v>
      </c>
      <c r="BC8" s="13">
        <v>46154</v>
      </c>
      <c r="BD8" s="35" t="s">
        <v>129</v>
      </c>
    </row>
    <row r="9" spans="1:56" s="3" customFormat="1" ht="20.25" customHeight="1" x14ac:dyDescent="0.3">
      <c r="A9" s="21" t="s">
        <v>134</v>
      </c>
      <c r="B9" s="6">
        <v>200</v>
      </c>
      <c r="C9" s="82">
        <v>193.08</v>
      </c>
      <c r="D9" s="234">
        <v>400</v>
      </c>
      <c r="E9" s="11"/>
      <c r="F9" s="39">
        <v>80</v>
      </c>
      <c r="G9" s="39">
        <v>0</v>
      </c>
      <c r="H9" s="39">
        <v>240</v>
      </c>
      <c r="I9" s="39">
        <v>320</v>
      </c>
      <c r="J9" s="39">
        <f>360+AO9</f>
        <v>560</v>
      </c>
      <c r="K9" s="39">
        <v>480</v>
      </c>
      <c r="L9" s="39">
        <f>400+AN9</f>
        <v>600</v>
      </c>
      <c r="M9" s="39">
        <v>480</v>
      </c>
      <c r="N9" s="39">
        <v>580</v>
      </c>
      <c r="O9" s="39">
        <v>520</v>
      </c>
      <c r="P9" s="39">
        <v>160</v>
      </c>
      <c r="Q9" s="39">
        <f>0+AM9</f>
        <v>400</v>
      </c>
      <c r="R9" s="39">
        <v>220</v>
      </c>
      <c r="S9" s="39">
        <f>120+AL9</f>
        <v>320</v>
      </c>
      <c r="T9" s="39">
        <v>220</v>
      </c>
      <c r="U9" s="39">
        <v>100</v>
      </c>
      <c r="V9" s="39">
        <f>40+AI9</f>
        <v>240</v>
      </c>
      <c r="W9" s="39">
        <v>240</v>
      </c>
      <c r="X9" s="39">
        <v>240</v>
      </c>
      <c r="Y9" s="39">
        <f>240+AI9</f>
        <v>440</v>
      </c>
      <c r="Z9" s="39">
        <v>440</v>
      </c>
      <c r="AA9" s="372">
        <f ca="1">Y9+IF(NOT(ISBLANK(OFFSET(AA9,0,6))),N(OFFSET(AA9,0,6)),N(OFFSET(AA9,0,7)))-Z9</f>
        <v>0</v>
      </c>
      <c r="AB9" s="11"/>
      <c r="AC9" s="78"/>
      <c r="AD9" s="78"/>
      <c r="AE9" s="11"/>
      <c r="AF9" s="32"/>
      <c r="AG9" s="11"/>
      <c r="AH9" s="19">
        <v>0</v>
      </c>
      <c r="AI9" s="19">
        <v>200</v>
      </c>
      <c r="AJ9" s="19">
        <v>200</v>
      </c>
      <c r="AK9" s="117">
        <v>600</v>
      </c>
      <c r="AL9" s="19">
        <v>200</v>
      </c>
      <c r="AM9" s="19">
        <v>400</v>
      </c>
      <c r="AN9" s="19">
        <v>200</v>
      </c>
      <c r="AO9" s="19">
        <v>200</v>
      </c>
      <c r="AP9" s="19">
        <v>200</v>
      </c>
      <c r="AQ9" s="19">
        <v>200</v>
      </c>
      <c r="AR9" s="19">
        <v>400</v>
      </c>
      <c r="AS9" s="19">
        <v>400</v>
      </c>
      <c r="AT9" s="19">
        <v>200</v>
      </c>
      <c r="AV9" s="364" t="s">
        <v>136</v>
      </c>
      <c r="AW9" s="135">
        <v>200</v>
      </c>
      <c r="AX9" s="39">
        <f>AK9</f>
        <v>600</v>
      </c>
      <c r="AY9" s="39">
        <v>520</v>
      </c>
      <c r="AZ9" s="39">
        <v>400</v>
      </c>
      <c r="BA9" s="39">
        <v>320</v>
      </c>
      <c r="BB9" s="39">
        <v>180</v>
      </c>
      <c r="BC9" s="39">
        <v>0</v>
      </c>
      <c r="BD9" s="26">
        <f ca="1">BB9+IF(NOT(ISBLANK(OFFSET(BD9,0,6))),N(OFFSET(BD9,0,6)),N(OFFSET(BD9,0,7)))-BC9</f>
        <v>180</v>
      </c>
    </row>
    <row r="10" spans="1:56" s="3" customFormat="1" x14ac:dyDescent="0.3">
      <c r="A10" s="21" t="s">
        <v>137</v>
      </c>
      <c r="B10" s="6">
        <v>200</v>
      </c>
      <c r="C10" s="82">
        <v>253.83</v>
      </c>
      <c r="D10" s="234">
        <v>150</v>
      </c>
      <c r="E10" s="11"/>
      <c r="F10" s="39">
        <v>0</v>
      </c>
      <c r="G10" s="39">
        <v>0</v>
      </c>
      <c r="H10" s="39">
        <v>80</v>
      </c>
      <c r="I10" s="39">
        <v>40</v>
      </c>
      <c r="J10" s="39">
        <f>220+AO10</f>
        <v>420</v>
      </c>
      <c r="K10" s="39">
        <v>400</v>
      </c>
      <c r="L10" s="39">
        <v>400</v>
      </c>
      <c r="M10" s="39">
        <v>320</v>
      </c>
      <c r="N10" s="39">
        <v>320</v>
      </c>
      <c r="O10" s="39">
        <v>280</v>
      </c>
      <c r="P10" s="39">
        <v>260</v>
      </c>
      <c r="Q10" s="39">
        <v>200</v>
      </c>
      <c r="R10" s="39">
        <v>120</v>
      </c>
      <c r="S10" s="39">
        <f>80+AL10</f>
        <v>280</v>
      </c>
      <c r="T10" s="39">
        <v>280</v>
      </c>
      <c r="U10" s="39">
        <v>240</v>
      </c>
      <c r="V10" s="39">
        <v>320</v>
      </c>
      <c r="W10" s="39">
        <v>320</v>
      </c>
      <c r="X10" s="39">
        <v>320</v>
      </c>
      <c r="Y10" s="39">
        <v>320</v>
      </c>
      <c r="Z10" s="39">
        <v>320</v>
      </c>
      <c r="AA10" s="372">
        <f ca="1">Y10+IF(NOT(ISBLANK(OFFSET(AA10,0,6))),N(OFFSET(AA10,0,6)),N(OFFSET(AA10,0,7)))-Z10</f>
        <v>0</v>
      </c>
      <c r="AB10" s="11"/>
      <c r="AC10" s="78"/>
      <c r="AD10" s="78"/>
      <c r="AE10" s="11"/>
      <c r="AF10" s="32"/>
      <c r="AG10" s="11"/>
      <c r="AH10" s="19">
        <v>0</v>
      </c>
      <c r="AI10" s="19">
        <v>0</v>
      </c>
      <c r="AJ10" s="19"/>
      <c r="AK10" s="117">
        <v>400</v>
      </c>
      <c r="AL10" s="19">
        <v>200</v>
      </c>
      <c r="AM10" s="19"/>
      <c r="AN10" s="19"/>
      <c r="AO10" s="19">
        <v>200</v>
      </c>
      <c r="AP10" s="19">
        <v>200</v>
      </c>
      <c r="AQ10" s="19"/>
      <c r="AR10" s="19">
        <v>400</v>
      </c>
      <c r="AS10" s="19"/>
      <c r="AT10" s="19"/>
      <c r="AV10" s="21" t="s">
        <v>138</v>
      </c>
      <c r="AW10" s="6">
        <v>200</v>
      </c>
      <c r="AX10" s="39">
        <f>AK10</f>
        <v>400</v>
      </c>
      <c r="AY10" s="39">
        <v>300</v>
      </c>
      <c r="AZ10" s="39">
        <v>260</v>
      </c>
      <c r="BA10" s="39">
        <v>220</v>
      </c>
      <c r="BB10" s="39">
        <v>120</v>
      </c>
      <c r="BC10" s="39">
        <v>0</v>
      </c>
      <c r="BD10" s="26">
        <f ca="1">BB10+IF(NOT(ISBLANK(OFFSET(BD10,0,6))),N(OFFSET(BD10,0,6)),N(OFFSET(BD10,0,7)))-BC10</f>
        <v>120</v>
      </c>
    </row>
    <row r="11" spans="1:56" s="3" customFormat="1" x14ac:dyDescent="0.3">
      <c r="A11" s="22" t="s">
        <v>139</v>
      </c>
      <c r="B11" s="6">
        <v>100</v>
      </c>
      <c r="C11" s="82">
        <v>184.57</v>
      </c>
      <c r="D11" s="234">
        <v>30</v>
      </c>
      <c r="E11" s="11"/>
      <c r="F11" s="39">
        <v>0</v>
      </c>
      <c r="G11" s="39">
        <v>0</v>
      </c>
      <c r="H11" s="39">
        <v>0</v>
      </c>
      <c r="I11" s="39">
        <v>60</v>
      </c>
      <c r="J11" s="39">
        <v>60</v>
      </c>
      <c r="K11" s="39">
        <v>60</v>
      </c>
      <c r="L11" s="39">
        <v>60</v>
      </c>
      <c r="M11" s="39">
        <v>60</v>
      </c>
      <c r="N11" s="39">
        <v>60</v>
      </c>
      <c r="O11" s="39">
        <v>0</v>
      </c>
      <c r="P11" s="39">
        <v>0</v>
      </c>
      <c r="Q11" s="39">
        <v>0</v>
      </c>
      <c r="R11" s="39">
        <v>0</v>
      </c>
      <c r="S11" s="39">
        <v>0</v>
      </c>
      <c r="T11" s="39">
        <v>0</v>
      </c>
      <c r="U11" s="39">
        <v>0</v>
      </c>
      <c r="V11" s="39">
        <v>80</v>
      </c>
      <c r="W11" s="39">
        <v>80</v>
      </c>
      <c r="X11" s="39">
        <v>80</v>
      </c>
      <c r="Y11" s="39">
        <v>80</v>
      </c>
      <c r="Z11" s="39">
        <v>80</v>
      </c>
      <c r="AA11" s="372">
        <f ca="1">Y11+IF(NOT(ISBLANK(OFFSET(AA11,0,6))),N(OFFSET(AA11,0,6)),N(OFFSET(AA11,0,7)))-Z11</f>
        <v>0</v>
      </c>
      <c r="AB11" s="11"/>
      <c r="AC11" s="78"/>
      <c r="AD11" s="78"/>
      <c r="AE11" s="11"/>
      <c r="AF11" s="32"/>
      <c r="AG11" s="11"/>
      <c r="AH11" s="19">
        <v>0</v>
      </c>
      <c r="AI11" s="19">
        <v>0</v>
      </c>
      <c r="AJ11" s="19"/>
      <c r="AK11" s="117">
        <v>100</v>
      </c>
      <c r="AL11" s="19"/>
      <c r="AM11" s="19"/>
      <c r="AN11" s="19"/>
      <c r="AO11" s="19"/>
      <c r="AP11" s="19"/>
      <c r="AQ11" s="19">
        <v>100</v>
      </c>
      <c r="AR11" s="19"/>
      <c r="AS11" s="19"/>
      <c r="AT11" s="19"/>
      <c r="AV11" s="22" t="s">
        <v>140</v>
      </c>
      <c r="AW11" s="6">
        <v>100</v>
      </c>
      <c r="AX11" s="39">
        <f>AK11</f>
        <v>100</v>
      </c>
      <c r="AY11" s="39">
        <v>20</v>
      </c>
      <c r="AZ11" s="39">
        <v>20</v>
      </c>
      <c r="BA11" s="39">
        <v>20</v>
      </c>
      <c r="BB11" s="39">
        <v>0</v>
      </c>
      <c r="BC11" s="39">
        <v>0</v>
      </c>
      <c r="BD11" s="26">
        <f ca="1">BB11+IF(NOT(ISBLANK(OFFSET(BD11,0,6))),N(OFFSET(BD11,0,6)),N(OFFSET(BD11,0,7)))-BC11</f>
        <v>0</v>
      </c>
    </row>
    <row r="12" spans="1:56" s="3" customFormat="1" ht="16.5" customHeight="1" x14ac:dyDescent="0.3">
      <c r="A12" s="23"/>
      <c r="B12" s="1"/>
      <c r="C12" s="64"/>
      <c r="D12" s="235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C12" s="342"/>
      <c r="AD12" s="342"/>
      <c r="AE12" s="11"/>
      <c r="AF12" s="33"/>
      <c r="AG12" s="11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V12" s="23"/>
      <c r="AW12" s="1"/>
      <c r="AX12" s="2"/>
      <c r="AY12" s="2"/>
      <c r="AZ12" s="2"/>
      <c r="BA12" s="2"/>
      <c r="BB12" s="2"/>
      <c r="BC12" s="2"/>
    </row>
    <row r="13" spans="1:56" s="3" customFormat="1" x14ac:dyDescent="0.3">
      <c r="A13" s="24" t="s">
        <v>141</v>
      </c>
      <c r="B13" s="12"/>
      <c r="C13" s="65"/>
      <c r="D13" s="395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35" t="s">
        <v>129</v>
      </c>
      <c r="AB13" s="7"/>
      <c r="AC13" s="29" t="s">
        <v>126</v>
      </c>
      <c r="AD13" s="29" t="s">
        <v>126</v>
      </c>
      <c r="AE13" s="11"/>
      <c r="AF13" s="9" t="s">
        <v>127</v>
      </c>
      <c r="AG13" s="7"/>
      <c r="AH13" s="363"/>
      <c r="AI13" s="363">
        <v>46142</v>
      </c>
      <c r="AJ13" s="363">
        <v>46114</v>
      </c>
      <c r="AK13" s="409">
        <v>46065</v>
      </c>
      <c r="AL13" s="363">
        <v>46099</v>
      </c>
      <c r="AM13" s="363">
        <v>46084</v>
      </c>
      <c r="AN13" s="363">
        <v>46048</v>
      </c>
      <c r="AO13" s="363">
        <v>46035</v>
      </c>
      <c r="AP13" s="363">
        <v>46029</v>
      </c>
      <c r="AQ13" s="363">
        <v>46017</v>
      </c>
      <c r="AR13" s="363">
        <v>46007</v>
      </c>
      <c r="AS13" s="363">
        <v>46001</v>
      </c>
      <c r="AT13" s="363">
        <v>45951</v>
      </c>
      <c r="AV13" s="389" t="s">
        <v>141</v>
      </c>
      <c r="AW13" s="376" t="s">
        <v>123</v>
      </c>
      <c r="AX13" s="13">
        <v>46118</v>
      </c>
      <c r="AY13" s="13">
        <v>46125</v>
      </c>
      <c r="AZ13" s="13">
        <v>46132</v>
      </c>
      <c r="BA13" s="13">
        <v>46139</v>
      </c>
      <c r="BB13" s="13">
        <v>46146</v>
      </c>
      <c r="BC13" s="13">
        <v>46154</v>
      </c>
      <c r="BD13" s="35" t="s">
        <v>129</v>
      </c>
    </row>
    <row r="14" spans="1:56" s="3" customFormat="1" x14ac:dyDescent="0.3">
      <c r="A14" s="25" t="s">
        <v>224</v>
      </c>
      <c r="B14" s="6">
        <v>500</v>
      </c>
      <c r="C14" s="66">
        <v>99.26</v>
      </c>
      <c r="D14" s="234">
        <v>2</v>
      </c>
      <c r="E14" s="7"/>
      <c r="F14" s="39">
        <v>2</v>
      </c>
      <c r="G14" s="39">
        <v>0</v>
      </c>
      <c r="H14" s="39">
        <v>0</v>
      </c>
      <c r="I14" s="39">
        <v>2</v>
      </c>
      <c r="J14" s="39">
        <f>4+AO14</f>
        <v>6</v>
      </c>
      <c r="K14" s="39">
        <v>6</v>
      </c>
      <c r="L14" s="39">
        <v>6</v>
      </c>
      <c r="M14" s="39">
        <v>5</v>
      </c>
      <c r="N14" s="39">
        <v>5</v>
      </c>
      <c r="O14" s="39">
        <v>4</v>
      </c>
      <c r="P14" s="39">
        <v>3</v>
      </c>
      <c r="Q14" s="39">
        <f>2+AM14</f>
        <v>4</v>
      </c>
      <c r="R14" s="39">
        <v>3</v>
      </c>
      <c r="S14" s="39">
        <f>2+AL14</f>
        <v>4</v>
      </c>
      <c r="T14" s="39">
        <v>4</v>
      </c>
      <c r="U14" s="39">
        <v>4</v>
      </c>
      <c r="V14" s="39">
        <v>3</v>
      </c>
      <c r="W14" s="39">
        <v>3</v>
      </c>
      <c r="X14" s="39">
        <v>3</v>
      </c>
      <c r="Y14" s="39">
        <f>3+AI14</f>
        <v>6</v>
      </c>
      <c r="Z14" s="39">
        <v>6</v>
      </c>
      <c r="AA14" s="372">
        <f ca="1">Y14+IF(NOT(ISBLANK(OFFSET(AA14,0,6))),N(OFFSET(AA14,0,6)),N(OFFSET(AA14,0,7)))-Z14</f>
        <v>0</v>
      </c>
      <c r="AB14" s="7"/>
      <c r="AC14" s="78"/>
      <c r="AD14" s="78"/>
      <c r="AE14" s="7"/>
      <c r="AF14" s="32"/>
      <c r="AG14" s="7"/>
      <c r="AH14" s="19">
        <v>0</v>
      </c>
      <c r="AI14" s="19">
        <v>3</v>
      </c>
      <c r="AJ14" s="19"/>
      <c r="AK14" s="117">
        <v>5</v>
      </c>
      <c r="AL14" s="19">
        <v>2</v>
      </c>
      <c r="AM14" s="19">
        <v>2</v>
      </c>
      <c r="AN14" s="19"/>
      <c r="AO14" s="19">
        <v>2</v>
      </c>
      <c r="AP14" s="19">
        <v>2</v>
      </c>
      <c r="AQ14" s="19">
        <v>2</v>
      </c>
      <c r="AR14" s="19"/>
      <c r="AS14" s="19">
        <v>1</v>
      </c>
      <c r="AT14" s="19"/>
      <c r="AV14" s="364" t="s">
        <v>143</v>
      </c>
      <c r="AW14" s="135">
        <v>200</v>
      </c>
      <c r="AX14" s="39">
        <f>AK14</f>
        <v>5</v>
      </c>
      <c r="AY14" s="39">
        <v>4</v>
      </c>
      <c r="AZ14" s="39">
        <v>4</v>
      </c>
      <c r="BA14" s="39">
        <v>3</v>
      </c>
      <c r="BB14" s="39">
        <v>2</v>
      </c>
      <c r="BC14" s="39">
        <v>0</v>
      </c>
      <c r="BD14" s="26">
        <f ca="1">BB14+IF(NOT(ISBLANK(OFFSET(BD14,0,6))),N(OFFSET(BD14,0,6)),N(OFFSET(BD14,0,7)))-BC14</f>
        <v>2</v>
      </c>
    </row>
    <row r="15" spans="1:56" s="3" customFormat="1" x14ac:dyDescent="0.3">
      <c r="A15" s="25" t="s">
        <v>225</v>
      </c>
      <c r="B15" s="6">
        <v>2000</v>
      </c>
      <c r="C15" s="66">
        <v>55.36</v>
      </c>
      <c r="D15" s="234">
        <v>1</v>
      </c>
      <c r="E15" s="7"/>
      <c r="F15" s="39">
        <v>2</v>
      </c>
      <c r="G15" s="39">
        <v>1</v>
      </c>
      <c r="H15" s="39">
        <v>2</v>
      </c>
      <c r="I15" s="39">
        <v>3</v>
      </c>
      <c r="J15" s="39">
        <v>3</v>
      </c>
      <c r="K15" s="39">
        <v>3</v>
      </c>
      <c r="L15" s="39">
        <v>3</v>
      </c>
      <c r="M15" s="39">
        <v>1</v>
      </c>
      <c r="N15" s="39">
        <v>1</v>
      </c>
      <c r="O15" s="39">
        <v>1</v>
      </c>
      <c r="P15" s="39">
        <v>1</v>
      </c>
      <c r="Q15" s="39">
        <v>1</v>
      </c>
      <c r="R15" s="39">
        <v>1</v>
      </c>
      <c r="S15" s="39">
        <v>1</v>
      </c>
      <c r="T15" s="39">
        <v>1</v>
      </c>
      <c r="U15" s="39">
        <v>3</v>
      </c>
      <c r="V15" s="39">
        <v>3</v>
      </c>
      <c r="W15" s="39">
        <v>3</v>
      </c>
      <c r="X15" s="39">
        <v>3</v>
      </c>
      <c r="Y15" s="39">
        <v>3</v>
      </c>
      <c r="Z15" s="39">
        <v>3</v>
      </c>
      <c r="AA15" s="372">
        <f ca="1">Y15+IF(NOT(ISBLANK(OFFSET(AA15,0,6))),N(OFFSET(AA15,0,6)),N(OFFSET(AA15,0,7)))-Z15</f>
        <v>0</v>
      </c>
      <c r="AB15" s="7"/>
      <c r="AC15" s="78"/>
      <c r="AD15" s="78"/>
      <c r="AE15" s="7"/>
      <c r="AF15" s="32"/>
      <c r="AG15" s="7"/>
      <c r="AH15" s="19">
        <v>0</v>
      </c>
      <c r="AI15" s="19">
        <v>0</v>
      </c>
      <c r="AJ15" s="19"/>
      <c r="AK15" s="117">
        <v>1</v>
      </c>
      <c r="AL15" s="19"/>
      <c r="AM15" s="19"/>
      <c r="AN15" s="19"/>
      <c r="AO15" s="19"/>
      <c r="AP15" s="19"/>
      <c r="AQ15" s="19">
        <v>2</v>
      </c>
      <c r="AR15" s="19">
        <v>1</v>
      </c>
      <c r="AS15" s="19">
        <v>1</v>
      </c>
      <c r="AT15" s="19"/>
      <c r="AV15" s="21" t="s">
        <v>146</v>
      </c>
      <c r="AW15" s="6">
        <v>200</v>
      </c>
      <c r="AX15" s="39">
        <f>AK15</f>
        <v>1</v>
      </c>
      <c r="AY15" s="39">
        <v>1</v>
      </c>
      <c r="AZ15" s="39">
        <v>1</v>
      </c>
      <c r="BA15" s="39">
        <v>1</v>
      </c>
      <c r="BB15" s="39">
        <v>0</v>
      </c>
      <c r="BC15" s="39">
        <v>0</v>
      </c>
      <c r="BD15" s="26">
        <f ca="1">BB15+IF(NOT(ISBLANK(OFFSET(BD15,0,6))),N(OFFSET(BD15,0,6)),N(OFFSET(BD15,0,7)))-BC15</f>
        <v>0</v>
      </c>
    </row>
    <row r="16" spans="1:56" s="3" customFormat="1" x14ac:dyDescent="0.25">
      <c r="A16" s="25" t="s">
        <v>147</v>
      </c>
      <c r="B16" s="6">
        <v>200</v>
      </c>
      <c r="C16" s="66">
        <v>10.28</v>
      </c>
      <c r="D16" s="234">
        <v>2</v>
      </c>
      <c r="E16" s="1"/>
      <c r="F16" s="39">
        <v>1</v>
      </c>
      <c r="G16" s="39">
        <v>0</v>
      </c>
      <c r="H16" s="39">
        <v>0</v>
      </c>
      <c r="I16" s="39">
        <v>3</v>
      </c>
      <c r="J16" s="39">
        <v>4</v>
      </c>
      <c r="K16" s="39">
        <v>3</v>
      </c>
      <c r="L16" s="39">
        <f>3+AN16</f>
        <v>4</v>
      </c>
      <c r="M16" s="39">
        <v>4</v>
      </c>
      <c r="N16" s="39">
        <v>4</v>
      </c>
      <c r="O16" s="39">
        <v>4</v>
      </c>
      <c r="P16" s="39">
        <v>3</v>
      </c>
      <c r="Q16" s="39">
        <v>2</v>
      </c>
      <c r="R16" s="39">
        <v>2</v>
      </c>
      <c r="S16" s="39">
        <v>2</v>
      </c>
      <c r="T16" s="39">
        <v>1</v>
      </c>
      <c r="U16" s="39">
        <v>1</v>
      </c>
      <c r="V16" s="39">
        <f>1+AI16</f>
        <v>2</v>
      </c>
      <c r="W16" s="39">
        <v>1</v>
      </c>
      <c r="X16" s="39">
        <v>1</v>
      </c>
      <c r="Y16" s="39">
        <f>1+AI16</f>
        <v>2</v>
      </c>
      <c r="Z16" s="39">
        <v>1</v>
      </c>
      <c r="AA16" s="372">
        <f ca="1">Y16+IF(NOT(ISBLANK(OFFSET(AA16,0,6))),N(OFFSET(AA16,0,6)),N(OFFSET(AA16,0,7)))-Z16</f>
        <v>1</v>
      </c>
      <c r="AB16" s="1"/>
      <c r="AC16" s="78" t="s">
        <v>340</v>
      </c>
      <c r="AD16" s="78"/>
      <c r="AE16" s="1"/>
      <c r="AF16" s="32"/>
      <c r="AG16" s="1"/>
      <c r="AH16" s="19">
        <v>0</v>
      </c>
      <c r="AI16" s="19">
        <v>1</v>
      </c>
      <c r="AJ16" s="19">
        <v>1</v>
      </c>
      <c r="AK16" s="19"/>
      <c r="AL16" s="19"/>
      <c r="AM16" s="19"/>
      <c r="AN16" s="19">
        <v>1</v>
      </c>
      <c r="AO16" s="19"/>
      <c r="AP16" s="19">
        <v>1</v>
      </c>
      <c r="AQ16" s="19">
        <v>3</v>
      </c>
      <c r="AR16" s="19">
        <v>1</v>
      </c>
      <c r="AS16" s="19"/>
      <c r="AT16" s="19">
        <v>1</v>
      </c>
    </row>
    <row r="17" spans="1:56" s="3" customFormat="1" x14ac:dyDescent="0.25">
      <c r="A17" s="25" t="s">
        <v>148</v>
      </c>
      <c r="B17" s="6">
        <v>3000</v>
      </c>
      <c r="C17" s="66">
        <v>71.8</v>
      </c>
      <c r="D17" s="234">
        <v>1</v>
      </c>
      <c r="E17" s="1"/>
      <c r="F17" s="122">
        <v>1</v>
      </c>
      <c r="G17" s="122">
        <v>1</v>
      </c>
      <c r="H17" s="122">
        <v>0</v>
      </c>
      <c r="I17" s="122">
        <v>2</v>
      </c>
      <c r="J17" s="122">
        <v>2</v>
      </c>
      <c r="K17" s="122">
        <v>2</v>
      </c>
      <c r="L17" s="122">
        <v>2</v>
      </c>
      <c r="M17" s="122">
        <v>2</v>
      </c>
      <c r="N17" s="122">
        <v>2</v>
      </c>
      <c r="O17" s="122">
        <v>1</v>
      </c>
      <c r="P17" s="122">
        <v>1</v>
      </c>
      <c r="Q17" s="122">
        <v>1</v>
      </c>
      <c r="R17" s="122">
        <v>1</v>
      </c>
      <c r="S17" s="122">
        <v>0</v>
      </c>
      <c r="T17" s="122">
        <v>0</v>
      </c>
      <c r="U17" s="122">
        <v>0</v>
      </c>
      <c r="V17" s="122">
        <f>0+AI17</f>
        <v>1</v>
      </c>
      <c r="W17" s="122">
        <v>1</v>
      </c>
      <c r="X17" s="122">
        <v>1</v>
      </c>
      <c r="Y17" s="122">
        <f>0+AI17</f>
        <v>1</v>
      </c>
      <c r="Z17" s="122">
        <v>1</v>
      </c>
      <c r="AA17" s="372">
        <f ca="1">Y17+IF(NOT(ISBLANK(OFFSET(AA17,0,6))),N(OFFSET(AA17,0,6)),N(OFFSET(AA17,0,7)))-Z17</f>
        <v>0</v>
      </c>
      <c r="AB17" s="1"/>
      <c r="AC17" s="411" t="s">
        <v>189</v>
      </c>
      <c r="AD17" s="78"/>
      <c r="AE17" s="1"/>
      <c r="AF17" s="32"/>
      <c r="AG17" s="1"/>
      <c r="AH17" s="19">
        <v>0</v>
      </c>
      <c r="AI17" s="19">
        <v>1</v>
      </c>
      <c r="AJ17" s="19">
        <v>1</v>
      </c>
      <c r="AK17" s="19"/>
      <c r="AL17" s="19"/>
      <c r="AM17" s="19"/>
      <c r="AN17" s="19"/>
      <c r="AO17" s="19"/>
      <c r="AP17" s="19"/>
      <c r="AQ17" s="19">
        <v>2</v>
      </c>
      <c r="AR17" s="19"/>
      <c r="AS17" s="19">
        <v>2</v>
      </c>
      <c r="AT17" s="19">
        <v>1</v>
      </c>
    </row>
    <row r="18" spans="1:56" s="3" customFormat="1" ht="14.25" customHeight="1" x14ac:dyDescent="0.25">
      <c r="A18" s="23"/>
      <c r="D18" s="235"/>
      <c r="AC18" s="341"/>
      <c r="AD18" s="341"/>
      <c r="AF18" s="344"/>
      <c r="AH18" s="388"/>
      <c r="AI18" s="388"/>
      <c r="AJ18" s="388"/>
      <c r="AK18" s="388"/>
      <c r="AL18" s="388"/>
      <c r="AM18" s="388"/>
      <c r="AN18" s="388"/>
      <c r="AO18" s="388"/>
      <c r="AP18" s="388"/>
      <c r="AQ18" s="388"/>
      <c r="AR18" s="388"/>
      <c r="AS18" s="388"/>
      <c r="AT18" s="388"/>
    </row>
    <row r="19" spans="1:56" s="3" customFormat="1" x14ac:dyDescent="0.3">
      <c r="A19" s="24" t="s">
        <v>150</v>
      </c>
      <c r="B19" s="12" t="s">
        <v>123</v>
      </c>
      <c r="C19" s="61"/>
      <c r="D19" s="395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35" t="s">
        <v>129</v>
      </c>
      <c r="AB19" s="1"/>
      <c r="AC19" s="29" t="s">
        <v>126</v>
      </c>
      <c r="AD19" s="29" t="s">
        <v>126</v>
      </c>
      <c r="AE19" s="11"/>
      <c r="AF19" s="9" t="s">
        <v>127</v>
      </c>
      <c r="AG19" s="1"/>
      <c r="AH19" s="363"/>
      <c r="AI19" s="363">
        <v>46142</v>
      </c>
      <c r="AJ19" s="363">
        <v>46114</v>
      </c>
      <c r="AK19" s="409">
        <v>46065</v>
      </c>
      <c r="AL19" s="363">
        <v>46099</v>
      </c>
      <c r="AM19" s="363">
        <v>46084</v>
      </c>
      <c r="AN19" s="363">
        <v>46048</v>
      </c>
      <c r="AO19" s="363">
        <v>46035</v>
      </c>
      <c r="AP19" s="363">
        <v>46029</v>
      </c>
      <c r="AQ19" s="363">
        <v>46017</v>
      </c>
      <c r="AR19" s="363">
        <v>46007</v>
      </c>
      <c r="AS19" s="363">
        <v>46001</v>
      </c>
      <c r="AT19" s="363">
        <v>45951</v>
      </c>
      <c r="AV19" s="389" t="s">
        <v>150</v>
      </c>
      <c r="AW19" s="376" t="s">
        <v>123</v>
      </c>
      <c r="AX19" s="13">
        <v>46118</v>
      </c>
      <c r="AY19" s="13">
        <v>46125</v>
      </c>
      <c r="AZ19" s="13">
        <v>46132</v>
      </c>
      <c r="BA19" s="13">
        <v>46139</v>
      </c>
      <c r="BB19" s="13">
        <v>46146</v>
      </c>
      <c r="BC19" s="13">
        <v>46154</v>
      </c>
      <c r="BD19" s="35" t="s">
        <v>129</v>
      </c>
    </row>
    <row r="20" spans="1:56" s="3" customFormat="1" x14ac:dyDescent="0.25">
      <c r="A20" s="25" t="s">
        <v>153</v>
      </c>
      <c r="B20" s="6">
        <v>150</v>
      </c>
      <c r="C20" s="82">
        <v>334.31</v>
      </c>
      <c r="D20" s="234">
        <v>70</v>
      </c>
      <c r="E20" s="1"/>
      <c r="F20" s="39">
        <v>0</v>
      </c>
      <c r="G20" s="39">
        <v>0</v>
      </c>
      <c r="H20" s="39">
        <v>0</v>
      </c>
      <c r="I20" s="39">
        <v>0</v>
      </c>
      <c r="J20" s="206">
        <v>132</v>
      </c>
      <c r="K20" s="39">
        <v>55</v>
      </c>
      <c r="L20" s="39">
        <f>45+AN20</f>
        <v>195</v>
      </c>
      <c r="M20" s="39">
        <v>183</v>
      </c>
      <c r="N20" s="39">
        <v>183</v>
      </c>
      <c r="O20" s="39">
        <v>178</v>
      </c>
      <c r="P20" s="39">
        <v>168</v>
      </c>
      <c r="Q20" s="39">
        <v>147</v>
      </c>
      <c r="R20" s="39">
        <v>138</v>
      </c>
      <c r="S20" s="39">
        <v>128</v>
      </c>
      <c r="T20" s="39">
        <v>109</v>
      </c>
      <c r="U20" s="39"/>
      <c r="V20" s="39"/>
      <c r="W20" s="39"/>
      <c r="X20" s="39">
        <v>88</v>
      </c>
      <c r="Y20" s="39">
        <v>88</v>
      </c>
      <c r="Z20" s="39">
        <v>82</v>
      </c>
      <c r="AA20" s="372">
        <f ca="1">Y20+IF(NOT(ISBLANK(OFFSET(AA20,0,6))),N(OFFSET(AA20,0,6)),N(OFFSET(AA20,0,7)))-Z20</f>
        <v>6</v>
      </c>
      <c r="AB20" s="1"/>
      <c r="AC20" s="78"/>
      <c r="AD20" s="78"/>
      <c r="AF20" s="32"/>
      <c r="AH20" s="19">
        <v>0</v>
      </c>
      <c r="AI20" s="19">
        <v>0</v>
      </c>
      <c r="AJ20" s="19"/>
      <c r="AK20" s="117"/>
      <c r="AL20" s="19"/>
      <c r="AM20" s="19"/>
      <c r="AN20" s="19">
        <v>150</v>
      </c>
      <c r="AO20" s="19"/>
      <c r="AP20" s="19"/>
      <c r="AQ20" s="19"/>
      <c r="AR20" s="19"/>
      <c r="AS20" s="19"/>
      <c r="AT20" s="19"/>
      <c r="AV20" s="364" t="s">
        <v>154</v>
      </c>
      <c r="AW20" s="135">
        <v>150</v>
      </c>
      <c r="AX20" s="39">
        <v>0</v>
      </c>
      <c r="AY20" s="39"/>
      <c r="AZ20" s="39"/>
      <c r="BA20" s="39">
        <v>27</v>
      </c>
      <c r="BB20" s="39">
        <v>24</v>
      </c>
      <c r="BC20" s="39">
        <v>-1</v>
      </c>
      <c r="BD20" s="26">
        <f ca="1">BB20+IF(NOT(ISBLANK(OFFSET(BD20,0,6))),N(OFFSET(BD20,0,6)),N(OFFSET(BD20,0,7)))-BC20</f>
        <v>25</v>
      </c>
    </row>
    <row r="21" spans="1:56" s="3" customFormat="1" x14ac:dyDescent="0.25">
      <c r="A21" s="25" t="s">
        <v>155</v>
      </c>
      <c r="B21" s="6">
        <v>100</v>
      </c>
      <c r="C21" s="81">
        <v>292.25</v>
      </c>
      <c r="D21" s="236">
        <v>70</v>
      </c>
      <c r="E21" s="1"/>
      <c r="F21" s="27">
        <v>6</v>
      </c>
      <c r="G21" s="27">
        <v>6</v>
      </c>
      <c r="H21" s="27">
        <v>5</v>
      </c>
      <c r="I21" s="27">
        <v>4</v>
      </c>
      <c r="J21" s="290">
        <v>144</v>
      </c>
      <c r="K21" s="27">
        <v>74</v>
      </c>
      <c r="L21" s="27">
        <f>73+AN21</f>
        <v>173</v>
      </c>
      <c r="M21" s="27">
        <v>151</v>
      </c>
      <c r="N21" s="27">
        <v>144</v>
      </c>
      <c r="O21" s="27">
        <v>136</v>
      </c>
      <c r="P21" s="27">
        <v>127</v>
      </c>
      <c r="Q21" s="27">
        <v>104</v>
      </c>
      <c r="R21" s="27">
        <v>102</v>
      </c>
      <c r="S21" s="27">
        <v>86</v>
      </c>
      <c r="T21" s="27">
        <v>79</v>
      </c>
      <c r="U21" s="27"/>
      <c r="V21" s="27"/>
      <c r="W21" s="27"/>
      <c r="X21" s="27">
        <v>55</v>
      </c>
      <c r="Y21" s="27">
        <v>55</v>
      </c>
      <c r="Z21" s="27">
        <v>36</v>
      </c>
      <c r="AA21" s="372">
        <f ca="1">Y21+IF(NOT(ISBLANK(OFFSET(AA21,0,6))),N(OFFSET(AA21,0,6)),N(OFFSET(AA21,0,7)))-Z21</f>
        <v>19</v>
      </c>
      <c r="AB21" s="1"/>
      <c r="AC21" s="78"/>
      <c r="AD21" s="78"/>
      <c r="AF21" s="32"/>
      <c r="AH21" s="19">
        <v>0</v>
      </c>
      <c r="AI21" s="19">
        <v>0</v>
      </c>
      <c r="AJ21" s="19"/>
      <c r="AK21" s="117"/>
      <c r="AL21" s="19"/>
      <c r="AM21" s="19"/>
      <c r="AN21" s="19">
        <v>100</v>
      </c>
      <c r="AO21" s="19"/>
      <c r="AP21" s="19"/>
      <c r="AQ21" s="19"/>
      <c r="AR21" s="19"/>
      <c r="AS21" s="19"/>
      <c r="AT21" s="19"/>
      <c r="AV21" s="21" t="s">
        <v>156</v>
      </c>
      <c r="AW21" s="6">
        <v>100</v>
      </c>
      <c r="AX21" s="39">
        <v>0</v>
      </c>
      <c r="AY21" s="39"/>
      <c r="AZ21" s="39"/>
      <c r="BA21" s="39">
        <v>35</v>
      </c>
      <c r="BB21" s="39">
        <v>31</v>
      </c>
      <c r="BC21" s="39">
        <v>1</v>
      </c>
      <c r="BD21" s="26">
        <f ca="1">BB21+IF(NOT(ISBLANK(OFFSET(BD21,0,6))),N(OFFSET(BD21,0,6)),N(OFFSET(BD21,0,7)))-BC21</f>
        <v>30</v>
      </c>
    </row>
    <row r="22" spans="1:56" s="3" customFormat="1" x14ac:dyDescent="0.3">
      <c r="A22" s="25" t="s">
        <v>157</v>
      </c>
      <c r="B22" s="6">
        <v>75</v>
      </c>
      <c r="C22" s="66">
        <v>425.38</v>
      </c>
      <c r="D22" s="234">
        <v>15</v>
      </c>
      <c r="E22" s="7"/>
      <c r="F22" s="27">
        <v>14</v>
      </c>
      <c r="G22" s="27">
        <v>13</v>
      </c>
      <c r="H22" s="27">
        <v>13</v>
      </c>
      <c r="I22" s="27">
        <v>13</v>
      </c>
      <c r="J22" s="27">
        <v>13</v>
      </c>
      <c r="K22" s="27">
        <v>13</v>
      </c>
      <c r="L22" s="27">
        <v>9</v>
      </c>
      <c r="M22" s="27">
        <v>9</v>
      </c>
      <c r="N22" s="27">
        <v>9</v>
      </c>
      <c r="O22" s="27">
        <v>9</v>
      </c>
      <c r="P22" s="27">
        <v>9</v>
      </c>
      <c r="Q22" s="27">
        <v>8</v>
      </c>
      <c r="R22" s="27">
        <v>8</v>
      </c>
      <c r="S22" s="27">
        <v>8</v>
      </c>
      <c r="T22" s="27">
        <v>8</v>
      </c>
      <c r="U22" s="27">
        <v>8</v>
      </c>
      <c r="V22" s="27">
        <v>8</v>
      </c>
      <c r="W22" s="27">
        <v>8</v>
      </c>
      <c r="X22" s="27">
        <v>8</v>
      </c>
      <c r="Y22" s="27">
        <v>8</v>
      </c>
      <c r="Z22" s="27">
        <v>8</v>
      </c>
      <c r="AA22" s="372">
        <f ca="1">Y22+IF(NOT(ISBLANK(OFFSET(AA22,0,6))),N(OFFSET(AA22,0,6)),N(OFFSET(AA22,0,7)))-Z22</f>
        <v>0</v>
      </c>
      <c r="AB22" s="7"/>
      <c r="AC22" s="78"/>
      <c r="AD22" s="78"/>
      <c r="AE22" s="1"/>
      <c r="AF22" s="32"/>
      <c r="AG22" s="1"/>
      <c r="AH22" s="19">
        <v>0</v>
      </c>
      <c r="AI22" s="19">
        <v>0</v>
      </c>
      <c r="AJ22" s="19"/>
      <c r="AK22" s="117"/>
      <c r="AL22" s="19"/>
      <c r="AM22" s="19"/>
      <c r="AN22" s="19"/>
      <c r="AO22" s="19"/>
      <c r="AP22" s="19"/>
      <c r="AQ22" s="19"/>
      <c r="AR22" s="19"/>
      <c r="AS22" s="19"/>
      <c r="AT22" s="19"/>
      <c r="AV22" s="22" t="s">
        <v>158</v>
      </c>
      <c r="AW22" s="6">
        <v>200</v>
      </c>
      <c r="AX22" s="39">
        <v>0</v>
      </c>
      <c r="AY22" s="39"/>
      <c r="AZ22" s="39"/>
      <c r="BA22" s="39">
        <v>32</v>
      </c>
      <c r="BB22" s="39">
        <v>22</v>
      </c>
      <c r="BC22" s="39">
        <v>0</v>
      </c>
      <c r="BD22" s="26">
        <f ca="1">BB22+IF(NOT(ISBLANK(OFFSET(BD22,0,6))),N(OFFSET(BD22,0,6)),N(OFFSET(BD22,0,7)))-BC22</f>
        <v>22</v>
      </c>
    </row>
    <row r="23" spans="1:56" s="3" customFormat="1" x14ac:dyDescent="0.3">
      <c r="A23" s="25" t="s">
        <v>159</v>
      </c>
      <c r="B23" s="6">
        <v>150</v>
      </c>
      <c r="C23" s="66">
        <v>427.5</v>
      </c>
      <c r="D23" s="234"/>
      <c r="E23" s="7"/>
      <c r="F23" s="2"/>
      <c r="G23" s="2"/>
      <c r="H23" s="2"/>
      <c r="I23" s="2"/>
      <c r="J23" s="2"/>
      <c r="K23" s="2"/>
      <c r="L23" s="2"/>
      <c r="M23" s="2"/>
      <c r="N23" s="27">
        <v>0</v>
      </c>
      <c r="O23" s="27">
        <v>0</v>
      </c>
      <c r="P23" s="27">
        <v>0</v>
      </c>
      <c r="Q23" s="290">
        <v>20</v>
      </c>
      <c r="R23" s="27">
        <v>0</v>
      </c>
      <c r="S23" s="27">
        <v>0</v>
      </c>
      <c r="T23" s="27">
        <v>0</v>
      </c>
      <c r="U23" s="27">
        <v>0</v>
      </c>
      <c r="V23" s="27">
        <v>0</v>
      </c>
      <c r="W23" s="27">
        <v>0</v>
      </c>
      <c r="X23" s="27">
        <v>0</v>
      </c>
      <c r="Y23" s="27">
        <v>0</v>
      </c>
      <c r="Z23" s="27">
        <v>0</v>
      </c>
      <c r="AA23" s="372">
        <f ca="1">Y23+IF(NOT(ISBLANK(OFFSET(AA23,0,6))),N(OFFSET(AA23,0,6)),N(OFFSET(AA23,0,7)))-Z23</f>
        <v>0</v>
      </c>
      <c r="AB23" s="7"/>
      <c r="AC23" s="78"/>
      <c r="AD23" s="78"/>
      <c r="AE23" s="1"/>
      <c r="AF23" s="32"/>
      <c r="AG23" s="1"/>
      <c r="AH23" s="19">
        <v>0</v>
      </c>
      <c r="AI23" s="19">
        <v>0</v>
      </c>
      <c r="AJ23" s="19"/>
      <c r="AK23" s="117">
        <v>150</v>
      </c>
      <c r="AL23" s="19"/>
      <c r="AM23" s="19"/>
      <c r="AN23" s="19"/>
      <c r="AO23" s="19"/>
      <c r="AP23" s="19"/>
      <c r="AQ23" s="19"/>
      <c r="AR23" s="19"/>
      <c r="AS23" s="75"/>
      <c r="AT23" s="75"/>
      <c r="AV23" s="22" t="s">
        <v>160</v>
      </c>
      <c r="AW23" s="6">
        <v>150</v>
      </c>
      <c r="AX23" s="39">
        <f>AK23</f>
        <v>150</v>
      </c>
      <c r="AY23" s="39"/>
      <c r="AZ23" s="39"/>
      <c r="BA23" s="39">
        <v>48</v>
      </c>
      <c r="BB23" s="39">
        <v>41</v>
      </c>
      <c r="BC23" s="39">
        <v>2</v>
      </c>
      <c r="BD23" s="26">
        <f ca="1">BB23+IF(NOT(ISBLANK(OFFSET(BD23,0,6))),N(OFFSET(BD23,0,6)),N(OFFSET(BD23,0,7)))-BC23</f>
        <v>39</v>
      </c>
    </row>
    <row r="24" spans="1:56" x14ac:dyDescent="0.3">
      <c r="AC24" s="11"/>
      <c r="AD24" s="11"/>
      <c r="AH24" s="11"/>
      <c r="AI24" s="11"/>
      <c r="AJ24" s="11"/>
      <c r="AK24" s="11"/>
      <c r="AR24" s="11"/>
      <c r="AS24" s="11"/>
      <c r="AT24" s="11"/>
    </row>
    <row r="25" spans="1:56" x14ac:dyDescent="0.3">
      <c r="A25" s="378" t="s">
        <v>161</v>
      </c>
      <c r="B25" s="379" t="s">
        <v>123</v>
      </c>
      <c r="C25" s="379" t="s">
        <v>124</v>
      </c>
      <c r="D25" s="379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35" t="s">
        <v>129</v>
      </c>
      <c r="AC25" s="11"/>
      <c r="AD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</row>
    <row r="26" spans="1:56" ht="18.75" hidden="1" customHeight="1" x14ac:dyDescent="0.3">
      <c r="A26" s="382" t="s">
        <v>252</v>
      </c>
      <c r="B26" s="383">
        <v>100</v>
      </c>
      <c r="C26" s="198">
        <v>722</v>
      </c>
      <c r="D26" s="396"/>
      <c r="F26" s="39">
        <v>0</v>
      </c>
      <c r="G26" s="39">
        <v>0</v>
      </c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26" t="e">
        <f ca="1">Y26+IF(NOT(ISBLANK(OFFSET(AA26,0,6))),N(OFFSET(AA26,0,6)),N(OFFSET(AA26,0,7)))-#REF!</f>
        <v>#REF!</v>
      </c>
      <c r="AC26" s="11"/>
      <c r="AD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</row>
    <row r="27" spans="1:56" x14ac:dyDescent="0.3">
      <c r="A27" s="384" t="s">
        <v>162</v>
      </c>
      <c r="B27" s="385">
        <v>100</v>
      </c>
      <c r="C27" s="199">
        <v>790</v>
      </c>
      <c r="D27" s="396"/>
      <c r="F27" s="39">
        <v>61</v>
      </c>
      <c r="G27" s="39">
        <v>0</v>
      </c>
      <c r="H27" s="39">
        <v>0</v>
      </c>
      <c r="I27" s="39">
        <v>0</v>
      </c>
      <c r="J27" s="39">
        <v>0</v>
      </c>
      <c r="K27" s="39">
        <v>0</v>
      </c>
      <c r="L27" s="39">
        <v>0</v>
      </c>
      <c r="M27" s="39">
        <v>0</v>
      </c>
      <c r="N27" s="39">
        <v>0</v>
      </c>
      <c r="O27" s="39">
        <v>0</v>
      </c>
      <c r="P27" s="39">
        <v>0</v>
      </c>
      <c r="Q27" s="39">
        <v>0</v>
      </c>
      <c r="R27" s="206">
        <v>15</v>
      </c>
      <c r="S27" s="6">
        <v>15</v>
      </c>
      <c r="T27" s="6">
        <v>15</v>
      </c>
      <c r="U27" s="6">
        <v>15</v>
      </c>
      <c r="V27" s="6">
        <v>15</v>
      </c>
      <c r="W27" s="6">
        <v>15</v>
      </c>
      <c r="X27" s="6">
        <v>15</v>
      </c>
      <c r="Y27" s="6">
        <v>15</v>
      </c>
      <c r="Z27" s="6">
        <v>15</v>
      </c>
      <c r="AA27" s="372">
        <f ca="1">Y27+IF(NOT(ISBLANK(OFFSET(AA27,0,6))),N(OFFSET(AA27,0,6)),N(OFFSET(AA27,0,7)))-Z27</f>
        <v>0</v>
      </c>
      <c r="AC27" s="11"/>
      <c r="AD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</row>
    <row r="28" spans="1:56" ht="18" hidden="1" customHeight="1" x14ac:dyDescent="0.3">
      <c r="A28" s="386" t="s">
        <v>253</v>
      </c>
      <c r="B28" s="159">
        <v>150</v>
      </c>
      <c r="C28" s="200">
        <v>715.5</v>
      </c>
      <c r="D28" s="396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26" t="e">
        <f ca="1">Y28+IF(NOT(ISBLANK(OFFSET(AA28,0,6))),N(OFFSET(AA28,0,6)),N(OFFSET(AA28,0,7)))-#REF!</f>
        <v>#REF!</v>
      </c>
      <c r="AC28" s="11"/>
      <c r="AD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</row>
    <row r="29" spans="1:56" ht="18" hidden="1" customHeight="1" x14ac:dyDescent="0.3">
      <c r="A29" s="386" t="s">
        <v>254</v>
      </c>
      <c r="B29" s="159">
        <v>100</v>
      </c>
      <c r="C29" s="200">
        <v>746</v>
      </c>
      <c r="D29" s="396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26" t="e">
        <f ca="1">Y29+IF(NOT(ISBLANK(OFFSET(AA29,0,6))),N(OFFSET(AA29,0,6)),N(OFFSET(AA29,0,7)))-#REF!</f>
        <v>#REF!</v>
      </c>
      <c r="AC29" s="11"/>
      <c r="AD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</row>
    <row r="30" spans="1:56" ht="18" hidden="1" customHeight="1" x14ac:dyDescent="0.3">
      <c r="A30" s="386" t="s">
        <v>255</v>
      </c>
      <c r="B30" s="159">
        <v>50</v>
      </c>
      <c r="C30" s="200">
        <v>777</v>
      </c>
      <c r="D30" s="396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26" t="e">
        <f ca="1">Y30+IF(NOT(ISBLANK(OFFSET(AA30,0,6))),N(OFFSET(AA30,0,6)),N(OFFSET(AA30,0,7)))-#REF!</f>
        <v>#REF!</v>
      </c>
      <c r="AC30" s="11"/>
      <c r="AD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</row>
    <row r="31" spans="1:56" ht="18" hidden="1" customHeight="1" x14ac:dyDescent="0.3">
      <c r="A31" s="386" t="s">
        <v>256</v>
      </c>
      <c r="B31" s="159">
        <v>200</v>
      </c>
      <c r="C31" s="200">
        <v>486</v>
      </c>
      <c r="D31" s="396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26" t="e">
        <f ca="1">Y31+IF(NOT(ISBLANK(OFFSET(AA31,0,6))),N(OFFSET(AA31,0,6)),N(OFFSET(AA31,0,7)))-#REF!</f>
        <v>#REF!</v>
      </c>
      <c r="AC31" s="11"/>
      <c r="AD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</row>
    <row r="32" spans="1:56" ht="18" hidden="1" customHeight="1" x14ac:dyDescent="0.3">
      <c r="A32" s="386" t="s">
        <v>257</v>
      </c>
      <c r="B32" s="159">
        <v>150</v>
      </c>
      <c r="C32" s="200">
        <v>459</v>
      </c>
      <c r="D32" s="396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26" t="e">
        <f ca="1">Y32+IF(NOT(ISBLANK(OFFSET(AA32,0,6))),N(OFFSET(AA32,0,6)),N(OFFSET(AA32,0,7)))-#REF!</f>
        <v>#REF!</v>
      </c>
      <c r="AC32" s="11"/>
      <c r="AD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</row>
    <row r="33" spans="1:56" ht="18" hidden="1" customHeight="1" x14ac:dyDescent="0.3">
      <c r="A33" s="386" t="s">
        <v>163</v>
      </c>
      <c r="B33" s="159">
        <v>100</v>
      </c>
      <c r="C33" s="200">
        <v>295</v>
      </c>
      <c r="D33" s="396"/>
      <c r="F33" s="39">
        <v>0</v>
      </c>
      <c r="G33" s="39">
        <v>0</v>
      </c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26" t="e">
        <f ca="1">Y33+IF(NOT(ISBLANK(OFFSET(AA33,0,6))),N(OFFSET(AA33,0,6)),N(OFFSET(AA33,0,7)))-#REF!</f>
        <v>#REF!</v>
      </c>
      <c r="AC33" s="11"/>
      <c r="AD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</row>
    <row r="34" spans="1:56" ht="18" hidden="1" customHeight="1" x14ac:dyDescent="0.3">
      <c r="A34" s="386" t="s">
        <v>164</v>
      </c>
      <c r="B34" s="159">
        <v>100</v>
      </c>
      <c r="C34" s="200">
        <v>283</v>
      </c>
      <c r="D34" s="396"/>
      <c r="F34" s="39">
        <v>0</v>
      </c>
      <c r="G34" s="39">
        <v>0</v>
      </c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26" t="e">
        <f ca="1">Y34+IF(NOT(ISBLANK(OFFSET(AA34,0,6))),N(OFFSET(AA34,0,6)),N(OFFSET(AA34,0,7)))-#REF!</f>
        <v>#REF!</v>
      </c>
      <c r="AC34" s="11"/>
      <c r="AD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</row>
    <row r="35" spans="1:56" ht="18" hidden="1" customHeight="1" x14ac:dyDescent="0.3">
      <c r="A35" s="382" t="s">
        <v>258</v>
      </c>
      <c r="B35" s="383">
        <v>150</v>
      </c>
      <c r="C35" s="241">
        <v>781.05</v>
      </c>
      <c r="D35" s="396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26" t="e">
        <f ca="1">Y35+IF(NOT(ISBLANK(OFFSET(AA35,0,6))),N(OFFSET(AA35,0,6)),N(OFFSET(AA35,0,7)))-#REF!</f>
        <v>#REF!</v>
      </c>
      <c r="AC35" s="11"/>
      <c r="AD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</row>
    <row r="36" spans="1:56" ht="18" hidden="1" customHeight="1" x14ac:dyDescent="0.3">
      <c r="A36" s="382" t="s">
        <v>259</v>
      </c>
      <c r="B36" s="383">
        <v>100</v>
      </c>
      <c r="C36" s="241">
        <v>789</v>
      </c>
      <c r="D36" s="396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26" t="e">
        <f ca="1">Y36+IF(NOT(ISBLANK(OFFSET(AA36,0,6))),N(OFFSET(AA36,0,6)),N(OFFSET(AA36,0,7)))-#REF!</f>
        <v>#REF!</v>
      </c>
      <c r="AC36" s="11"/>
      <c r="AD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</row>
    <row r="37" spans="1:56" ht="18" hidden="1" customHeight="1" x14ac:dyDescent="0.3">
      <c r="A37" s="382" t="s">
        <v>260</v>
      </c>
      <c r="B37" s="383">
        <v>75</v>
      </c>
      <c r="C37" s="241">
        <v>844.05</v>
      </c>
      <c r="D37" s="396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26" t="e">
        <f ca="1">Y37+IF(NOT(ISBLANK(OFFSET(AA37,0,6))),N(OFFSET(AA37,0,6)),N(OFFSET(AA37,0,7)))-#REF!</f>
        <v>#REF!</v>
      </c>
      <c r="AC37" s="11"/>
      <c r="AD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</row>
    <row r="38" spans="1:56" ht="18" hidden="1" customHeight="1" x14ac:dyDescent="0.3">
      <c r="A38" s="382" t="s">
        <v>261</v>
      </c>
      <c r="B38" s="383">
        <v>200</v>
      </c>
      <c r="C38" s="241">
        <v>450</v>
      </c>
      <c r="D38" s="396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26" t="e">
        <f ca="1">Y38+IF(NOT(ISBLANK(OFFSET(AA38,0,6))),N(OFFSET(AA38,0,6)),N(OFFSET(AA38,0,7)))-#REF!</f>
        <v>#REF!</v>
      </c>
      <c r="AC38" s="11"/>
      <c r="AD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</row>
    <row r="39" spans="1:56" ht="18" hidden="1" customHeight="1" x14ac:dyDescent="0.3">
      <c r="A39" s="382" t="s">
        <v>262</v>
      </c>
      <c r="B39" s="383">
        <v>150</v>
      </c>
      <c r="C39" s="241">
        <v>430.5</v>
      </c>
      <c r="D39" s="396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26" t="e">
        <f ca="1">Y39+IF(NOT(ISBLANK(OFFSET(AA39,0,6))),N(OFFSET(AA39,0,6)),N(OFFSET(AA39,0,7)))-#REF!</f>
        <v>#REF!</v>
      </c>
      <c r="AC39" s="11"/>
      <c r="AD39" s="11"/>
      <c r="AH39" s="401"/>
      <c r="AI39" s="401"/>
      <c r="AJ39" s="401"/>
      <c r="AK39" s="401"/>
      <c r="AL39" s="11"/>
      <c r="AM39" s="11"/>
      <c r="AN39" s="11"/>
      <c r="AO39" s="11"/>
      <c r="AP39" s="11"/>
      <c r="AQ39" s="11"/>
      <c r="AR39" s="11"/>
      <c r="AS39" s="11"/>
      <c r="AT39" s="11"/>
    </row>
    <row r="40" spans="1:56" ht="18" hidden="1" customHeight="1" x14ac:dyDescent="0.3">
      <c r="A40" s="397" t="s">
        <v>341</v>
      </c>
      <c r="B40" s="398">
        <v>150</v>
      </c>
      <c r="C40" s="246"/>
      <c r="D40" s="396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26" t="e">
        <f ca="1">Y40+IF(NOT(ISBLANK(OFFSET(AA40,0,6))),N(OFFSET(AA40,0,6)),N(OFFSET(AA40,0,7)))-#REF!</f>
        <v>#REF!</v>
      </c>
      <c r="AC40" s="11"/>
      <c r="AD40" s="11"/>
      <c r="AH40" s="401"/>
      <c r="AI40" s="401"/>
      <c r="AJ40" s="401"/>
      <c r="AK40" s="401"/>
      <c r="AL40" s="11"/>
      <c r="AM40" s="11"/>
      <c r="AN40" s="11"/>
      <c r="AO40" s="11"/>
      <c r="AP40" s="11"/>
      <c r="AQ40" s="11"/>
      <c r="AR40" s="11"/>
      <c r="AS40" s="11"/>
      <c r="AT40" s="11"/>
    </row>
    <row r="41" spans="1:56" ht="18" hidden="1" customHeight="1" x14ac:dyDescent="0.3">
      <c r="A41" s="397" t="s">
        <v>165</v>
      </c>
      <c r="B41" s="398">
        <v>25</v>
      </c>
      <c r="C41" s="246"/>
      <c r="D41" s="396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26" t="e">
        <f ca="1">Y41+IF(NOT(ISBLANK(OFFSET(AA41,0,6))),N(OFFSET(AA41,0,6)),N(OFFSET(AA41,0,7)))-#REF!</f>
        <v>#REF!</v>
      </c>
      <c r="AC41" s="11"/>
      <c r="AD41" s="11"/>
      <c r="AH41" s="41"/>
      <c r="AI41" s="41"/>
      <c r="AJ41" s="41"/>
      <c r="AK41" s="41"/>
      <c r="AL41" s="11"/>
      <c r="AM41" s="11"/>
      <c r="AN41" s="11"/>
      <c r="AO41" s="11"/>
      <c r="AP41" s="11"/>
      <c r="AQ41" s="11"/>
      <c r="AR41" s="11"/>
      <c r="AS41" s="11"/>
      <c r="AT41" s="11"/>
      <c r="AV41" s="41"/>
      <c r="AW41" s="41"/>
      <c r="AX41" s="41"/>
      <c r="AY41" s="41"/>
      <c r="AZ41" s="41"/>
      <c r="BA41" s="41"/>
      <c r="BB41" s="41"/>
      <c r="BC41" s="41"/>
      <c r="BD41" s="41"/>
    </row>
    <row r="42" spans="1:56" ht="18" hidden="1" customHeight="1" x14ac:dyDescent="0.3">
      <c r="A42" s="397" t="s">
        <v>166</v>
      </c>
      <c r="B42" s="398">
        <v>25</v>
      </c>
      <c r="C42" s="246"/>
      <c r="D42" s="396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26" t="e">
        <f ca="1">Y42+IF(NOT(ISBLANK(OFFSET(AA42,0,6))),N(OFFSET(AA42,0,6)),N(OFFSET(AA42,0,7)))-#REF!</f>
        <v>#REF!</v>
      </c>
      <c r="AC42" s="11"/>
      <c r="AD42" s="11"/>
      <c r="AH42" s="41"/>
      <c r="AI42" s="41"/>
      <c r="AJ42" s="41"/>
      <c r="AK42" s="41"/>
      <c r="AL42" s="11"/>
      <c r="AM42" s="11"/>
      <c r="AN42" s="11"/>
      <c r="AO42" s="11"/>
      <c r="AP42" s="11"/>
      <c r="AQ42" s="11"/>
      <c r="AR42" s="11"/>
      <c r="AS42" s="11"/>
      <c r="AT42" s="11"/>
      <c r="AV42" s="41"/>
      <c r="AW42" s="41"/>
      <c r="AX42" s="41"/>
      <c r="AY42" s="41"/>
      <c r="AZ42" s="41"/>
      <c r="BA42" s="41"/>
      <c r="BB42" s="41"/>
      <c r="BC42" s="41"/>
      <c r="BD42" s="41"/>
    </row>
    <row r="43" spans="1:56" ht="18" hidden="1" customHeight="1" x14ac:dyDescent="0.3">
      <c r="A43" s="397" t="s">
        <v>167</v>
      </c>
      <c r="B43" s="398">
        <v>25</v>
      </c>
      <c r="C43" s="246"/>
      <c r="D43" s="396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26" t="e">
        <f ca="1">Y43+IF(NOT(ISBLANK(OFFSET(AA43,0,6))),N(OFFSET(AA43,0,6)),N(OFFSET(AA43,0,7)))-#REF!</f>
        <v>#REF!</v>
      </c>
      <c r="AC43" s="11"/>
      <c r="AD43" s="11"/>
      <c r="AH43" s="41"/>
      <c r="AI43" s="41"/>
      <c r="AJ43" s="41"/>
      <c r="AK43" s="41"/>
      <c r="AL43" s="11"/>
      <c r="AM43" s="11"/>
      <c r="AN43" s="11"/>
      <c r="AO43" s="11"/>
      <c r="AP43" s="11"/>
      <c r="AQ43" s="11"/>
      <c r="AR43" s="11"/>
      <c r="AS43" s="11"/>
      <c r="AT43" s="11"/>
      <c r="AV43" s="41"/>
      <c r="AW43" s="41"/>
      <c r="AX43" s="41"/>
      <c r="AY43" s="41"/>
      <c r="AZ43" s="41"/>
      <c r="BA43" s="41"/>
      <c r="BB43" s="41"/>
      <c r="BC43" s="41"/>
      <c r="BD43" s="41"/>
    </row>
    <row r="44" spans="1:56" ht="18" hidden="1" customHeight="1" x14ac:dyDescent="0.3">
      <c r="A44" s="404" t="s">
        <v>226</v>
      </c>
      <c r="B44" s="405">
        <v>100</v>
      </c>
      <c r="C44" s="252">
        <v>841.1</v>
      </c>
      <c r="D44" s="396"/>
      <c r="F44" s="39">
        <v>0</v>
      </c>
      <c r="G44" s="39">
        <v>0</v>
      </c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26" t="e">
        <f ca="1">Y44+IF(NOT(ISBLANK(OFFSET(AA44,0,6))),N(OFFSET(AA44,0,6)),N(OFFSET(AA44,0,7)))-#REF!</f>
        <v>#REF!</v>
      </c>
      <c r="AC44" s="11"/>
      <c r="AD44" s="11"/>
      <c r="AH44" s="41"/>
      <c r="AI44" s="41"/>
      <c r="AJ44" s="41"/>
      <c r="AK44" s="41"/>
      <c r="AL44" s="11"/>
      <c r="AM44" s="11"/>
      <c r="AN44" s="11"/>
      <c r="AO44" s="11"/>
      <c r="AP44" s="11"/>
      <c r="AQ44" s="11"/>
      <c r="AR44" s="11"/>
      <c r="AS44" s="11"/>
      <c r="AT44" s="11"/>
      <c r="AV44" s="41"/>
      <c r="AW44" s="41"/>
      <c r="AX44" s="41"/>
      <c r="AY44" s="41"/>
      <c r="AZ44" s="41"/>
      <c r="BA44" s="41"/>
      <c r="BB44" s="41"/>
      <c r="BC44" s="41"/>
      <c r="BD44" s="41"/>
    </row>
    <row r="45" spans="1:56" hidden="1" x14ac:dyDescent="0.3">
      <c r="A45" s="25" t="s">
        <v>169</v>
      </c>
      <c r="B45" s="6">
        <v>150</v>
      </c>
      <c r="C45" s="77">
        <v>805.35</v>
      </c>
      <c r="D45" s="396"/>
      <c r="F45" s="6">
        <v>75</v>
      </c>
      <c r="G45" s="6">
        <v>11</v>
      </c>
      <c r="H45" s="6">
        <v>1</v>
      </c>
      <c r="I45" s="6">
        <v>0</v>
      </c>
      <c r="J45" s="6">
        <v>0</v>
      </c>
      <c r="K45" s="6">
        <v>0</v>
      </c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26" t="e">
        <f ca="1">Y45+IF(NOT(ISBLANK(OFFSET(AA45,0,6))),N(OFFSET(AA45,0,6)),N(OFFSET(AA45,0,7)))-#REF!</f>
        <v>#REF!</v>
      </c>
      <c r="AC45" s="11"/>
      <c r="AD45" s="11"/>
      <c r="AL45" s="11"/>
      <c r="AM45" s="11"/>
      <c r="AN45" s="11"/>
      <c r="AO45" s="11"/>
      <c r="AP45" s="11"/>
      <c r="AQ45" s="11"/>
      <c r="AR45" s="401"/>
      <c r="AS45" s="401"/>
      <c r="AT45" s="401"/>
    </row>
    <row r="46" spans="1:56" hidden="1" x14ac:dyDescent="0.3">
      <c r="A46" s="25" t="s">
        <v>170</v>
      </c>
      <c r="B46" s="6">
        <v>100</v>
      </c>
      <c r="C46" s="77">
        <v>792.2</v>
      </c>
      <c r="D46" s="396"/>
      <c r="F46" s="6">
        <v>154</v>
      </c>
      <c r="G46" s="6">
        <v>63</v>
      </c>
      <c r="H46" s="6">
        <v>44</v>
      </c>
      <c r="I46" s="6">
        <v>26</v>
      </c>
      <c r="J46" s="6">
        <v>21</v>
      </c>
      <c r="K46" s="6">
        <v>17</v>
      </c>
      <c r="L46" s="6">
        <v>2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v>0</v>
      </c>
      <c r="W46" s="6">
        <v>0</v>
      </c>
      <c r="X46" s="6">
        <v>0</v>
      </c>
      <c r="Y46" s="6">
        <v>0</v>
      </c>
      <c r="Z46" s="6">
        <v>0</v>
      </c>
      <c r="AA46" s="26" t="e">
        <f ca="1">Y46+IF(NOT(ISBLANK(OFFSET(AA46,0,6))),N(OFFSET(AA46,0,6)),N(OFFSET(AA46,0,7)))-#REF!</f>
        <v>#REF!</v>
      </c>
      <c r="AC46" s="11"/>
      <c r="AD46" s="11"/>
      <c r="AL46" s="11"/>
      <c r="AM46" s="11"/>
      <c r="AN46" s="11"/>
      <c r="AO46" s="11"/>
      <c r="AP46" s="11"/>
      <c r="AQ46" s="11"/>
      <c r="AR46" s="401"/>
      <c r="AS46" s="401"/>
      <c r="AT46" s="401"/>
    </row>
    <row r="47" spans="1:56" hidden="1" x14ac:dyDescent="0.3">
      <c r="A47" s="25" t="s">
        <v>171</v>
      </c>
      <c r="B47" s="6">
        <v>200</v>
      </c>
      <c r="C47" s="77">
        <v>487.2</v>
      </c>
      <c r="D47" s="396"/>
      <c r="F47" s="6">
        <v>15</v>
      </c>
      <c r="G47" s="6">
        <v>-18</v>
      </c>
      <c r="H47" s="6">
        <v>-18</v>
      </c>
      <c r="I47" s="6">
        <v>0</v>
      </c>
      <c r="J47" s="6">
        <v>0</v>
      </c>
      <c r="K47" s="6">
        <v>0</v>
      </c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26" t="e">
        <f ca="1">Y47+IF(NOT(ISBLANK(OFFSET(AA47,0,6))),N(OFFSET(AA47,0,6)),N(OFFSET(AA47,0,7)))-#REF!</f>
        <v>#REF!</v>
      </c>
      <c r="AC47" s="11"/>
      <c r="AD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401"/>
      <c r="AS47" s="401"/>
      <c r="AT47" s="401"/>
    </row>
    <row r="48" spans="1:56" hidden="1" x14ac:dyDescent="0.3">
      <c r="A48" s="25" t="s">
        <v>172</v>
      </c>
      <c r="B48" s="6">
        <v>150</v>
      </c>
      <c r="C48" s="77">
        <v>460.35</v>
      </c>
      <c r="D48" s="396"/>
      <c r="F48" s="6">
        <v>64</v>
      </c>
      <c r="G48" s="6">
        <v>6</v>
      </c>
      <c r="H48" s="6">
        <v>6</v>
      </c>
      <c r="I48" s="6">
        <v>0</v>
      </c>
      <c r="J48" s="6">
        <v>0</v>
      </c>
      <c r="K48" s="6">
        <v>0</v>
      </c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26" t="e">
        <f ca="1">Y48+IF(NOT(ISBLANK(OFFSET(AA48,0,6))),N(OFFSET(AA48,0,6)),N(OFFSET(AA48,0,7)))-#REF!</f>
        <v>#REF!</v>
      </c>
      <c r="AC48" s="11"/>
      <c r="AD48" s="11"/>
      <c r="AL48" s="11"/>
      <c r="AM48" s="11"/>
      <c r="AN48" s="11"/>
      <c r="AO48" s="11"/>
      <c r="AP48" s="11"/>
      <c r="AQ48" s="11"/>
      <c r="AR48" s="401"/>
      <c r="AS48" s="401"/>
      <c r="AT48" s="401"/>
    </row>
    <row r="49" spans="1:56" hidden="1" x14ac:dyDescent="0.3">
      <c r="A49" s="25" t="s">
        <v>173</v>
      </c>
      <c r="B49" s="6">
        <v>10</v>
      </c>
      <c r="C49" s="77">
        <v>120</v>
      </c>
      <c r="D49" s="396"/>
      <c r="F49" s="39">
        <v>0</v>
      </c>
      <c r="G49" s="39">
        <v>0</v>
      </c>
      <c r="H49" s="39">
        <v>0</v>
      </c>
      <c r="I49" s="39">
        <v>0</v>
      </c>
      <c r="J49" s="39">
        <v>0</v>
      </c>
      <c r="K49" s="39">
        <v>0</v>
      </c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26" t="e">
        <f ca="1">Y49+IF(NOT(ISBLANK(OFFSET(AA49,0,6))),N(OFFSET(AA49,0,6)),N(OFFSET(AA49,0,7)))-#REF!</f>
        <v>#REF!</v>
      </c>
      <c r="AC49" s="11"/>
      <c r="AD49" s="11"/>
      <c r="AL49" s="11"/>
      <c r="AM49" s="11"/>
      <c r="AN49" s="11"/>
      <c r="AO49" s="11"/>
      <c r="AP49" s="11"/>
      <c r="AQ49" s="11"/>
      <c r="AR49" s="401"/>
      <c r="AS49" s="401"/>
      <c r="AT49" s="401"/>
    </row>
    <row r="50" spans="1:56" x14ac:dyDescent="0.3">
      <c r="AC50" s="11"/>
      <c r="AD50" s="11"/>
      <c r="AL50" s="11"/>
      <c r="AM50" s="11"/>
      <c r="AN50" s="11"/>
      <c r="AO50" s="11"/>
      <c r="AP50" s="11"/>
      <c r="AQ50" s="11"/>
      <c r="AR50" s="401"/>
      <c r="AS50" s="401"/>
      <c r="AT50" s="401"/>
    </row>
    <row r="51" spans="1:56" hidden="1" x14ac:dyDescent="0.3">
      <c r="AC51" s="11"/>
      <c r="AD51" s="11"/>
      <c r="AL51" s="11"/>
      <c r="AM51" s="11"/>
      <c r="AN51" s="11"/>
      <c r="AO51" s="11"/>
      <c r="AP51" s="11"/>
      <c r="AQ51" s="11"/>
      <c r="AR51" s="401"/>
      <c r="AS51" s="401"/>
      <c r="AT51" s="401"/>
    </row>
    <row r="52" spans="1:56" hidden="1" x14ac:dyDescent="0.3">
      <c r="AC52" s="11"/>
      <c r="AD52" s="11"/>
      <c r="AL52" s="11"/>
      <c r="AM52" s="11"/>
      <c r="AN52" s="11"/>
      <c r="AO52" s="11"/>
      <c r="AP52" s="11"/>
      <c r="AQ52" s="11"/>
      <c r="AR52" s="401"/>
      <c r="AS52" s="401"/>
      <c r="AT52" s="401"/>
    </row>
    <row r="53" spans="1:56" hidden="1" x14ac:dyDescent="0.3">
      <c r="AC53" s="11"/>
      <c r="AD53" s="11"/>
      <c r="AL53" s="11"/>
      <c r="AM53" s="11"/>
      <c r="AN53" s="11"/>
      <c r="AO53" s="11"/>
      <c r="AP53" s="11"/>
      <c r="AQ53" s="11"/>
      <c r="AR53" s="401"/>
      <c r="AS53" s="401"/>
      <c r="AT53" s="401"/>
    </row>
    <row r="54" spans="1:56" hidden="1" x14ac:dyDescent="0.3">
      <c r="AC54" s="11"/>
      <c r="AD54" s="11"/>
      <c r="AL54" s="11"/>
      <c r="AM54" s="11"/>
      <c r="AN54" s="11"/>
      <c r="AO54" s="11"/>
      <c r="AP54" s="11"/>
      <c r="AQ54" s="11"/>
      <c r="AR54" s="401"/>
      <c r="AS54" s="401"/>
      <c r="AT54" s="401"/>
    </row>
    <row r="55" spans="1:56" ht="21" customHeight="1" x14ac:dyDescent="0.3">
      <c r="A55" s="394" t="s">
        <v>174</v>
      </c>
      <c r="B55" s="394"/>
      <c r="C55" s="394"/>
      <c r="AC55" s="11"/>
      <c r="AD55" s="401"/>
      <c r="AL55" s="11"/>
      <c r="AM55" s="11"/>
      <c r="AN55" s="11"/>
      <c r="AO55" s="11"/>
      <c r="AP55" s="11"/>
      <c r="AQ55" s="11"/>
      <c r="AR55" s="401"/>
      <c r="AS55" s="401"/>
      <c r="AT55" s="401"/>
    </row>
    <row r="56" spans="1:56" ht="37.5" customHeight="1" x14ac:dyDescent="0.3">
      <c r="A56" s="361" t="s">
        <v>175</v>
      </c>
      <c r="B56" s="361"/>
      <c r="C56" s="361" t="s">
        <v>342</v>
      </c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01"/>
      <c r="AD56" s="401"/>
      <c r="AG56" s="41"/>
      <c r="AL56" s="11"/>
      <c r="AM56" s="11"/>
      <c r="AN56" s="11"/>
      <c r="AO56" s="11"/>
      <c r="AP56" s="11"/>
      <c r="AQ56" s="11"/>
      <c r="AR56" s="41"/>
      <c r="AS56" s="41"/>
      <c r="AT56" s="41"/>
    </row>
    <row r="57" spans="1:56" s="34" customFormat="1" x14ac:dyDescent="0.3">
      <c r="A57" s="95"/>
      <c r="B57" s="72"/>
      <c r="C57" s="72">
        <v>0</v>
      </c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01"/>
      <c r="AD57" s="401"/>
      <c r="AE57" s="41"/>
      <c r="AG57" s="41"/>
      <c r="AH57" s="71"/>
      <c r="AI57" s="71"/>
      <c r="AJ57" s="71"/>
      <c r="AK57" s="71"/>
      <c r="AL57" s="11"/>
      <c r="AM57" s="11"/>
      <c r="AN57" s="11"/>
      <c r="AO57" s="11"/>
      <c r="AP57" s="11"/>
      <c r="AQ57" s="11"/>
      <c r="AR57" s="41"/>
      <c r="AS57" s="41"/>
      <c r="AT57" s="41"/>
      <c r="AV57" s="11"/>
      <c r="AW57" s="11"/>
      <c r="AX57" s="11"/>
      <c r="AY57" s="11"/>
      <c r="AZ57" s="11"/>
      <c r="BA57" s="11"/>
      <c r="BB57" s="11"/>
      <c r="BC57" s="11"/>
      <c r="BD57" s="11"/>
    </row>
    <row r="58" spans="1:56" s="34" customFormat="1" x14ac:dyDescent="0.3"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01"/>
      <c r="AD58" s="11"/>
      <c r="AE58" s="41"/>
      <c r="AG58" s="41"/>
      <c r="AH58" s="71"/>
      <c r="AI58" s="71"/>
      <c r="AJ58" s="71"/>
      <c r="AK58" s="71"/>
      <c r="AL58" s="11"/>
      <c r="AM58" s="11"/>
      <c r="AN58" s="11"/>
      <c r="AO58" s="11"/>
      <c r="AP58" s="11"/>
      <c r="AQ58" s="11"/>
      <c r="AR58" s="41"/>
      <c r="AS58" s="41"/>
      <c r="AT58" s="41"/>
      <c r="AV58" s="11"/>
      <c r="AW58" s="11"/>
      <c r="AX58" s="11"/>
      <c r="AY58" s="11"/>
      <c r="AZ58" s="11"/>
      <c r="BA58" s="11"/>
      <c r="BB58" s="11"/>
      <c r="BC58" s="11"/>
      <c r="BD58" s="11"/>
    </row>
    <row r="59" spans="1:56" x14ac:dyDescent="0.3">
      <c r="A59" s="472" t="s">
        <v>177</v>
      </c>
      <c r="B59" s="467"/>
      <c r="C59" s="467"/>
      <c r="D59" s="469"/>
      <c r="F59" s="356">
        <v>46013</v>
      </c>
      <c r="G59" s="356">
        <v>46020</v>
      </c>
      <c r="H59" s="356">
        <v>46027</v>
      </c>
      <c r="I59" s="356">
        <v>46034</v>
      </c>
      <c r="J59" s="356">
        <v>46041</v>
      </c>
      <c r="K59" s="356">
        <v>46048</v>
      </c>
      <c r="L59" s="356">
        <v>46055</v>
      </c>
      <c r="M59" s="356">
        <v>46062</v>
      </c>
      <c r="N59" s="356">
        <v>46069</v>
      </c>
      <c r="O59" s="356">
        <v>46076</v>
      </c>
      <c r="P59" s="356">
        <v>46083</v>
      </c>
      <c r="Q59" s="356">
        <v>46090</v>
      </c>
      <c r="R59" s="356">
        <v>46097</v>
      </c>
      <c r="S59" s="356">
        <v>46104</v>
      </c>
      <c r="T59" s="356">
        <v>46111</v>
      </c>
      <c r="U59" s="356">
        <v>46118</v>
      </c>
      <c r="V59" s="356">
        <v>46125</v>
      </c>
      <c r="W59" s="356">
        <v>46132</v>
      </c>
      <c r="X59" s="356">
        <v>46139</v>
      </c>
      <c r="Y59" s="356">
        <v>46146</v>
      </c>
      <c r="Z59" s="356">
        <v>46154</v>
      </c>
      <c r="AA59" s="131"/>
      <c r="AC59" s="11"/>
      <c r="AD59" s="11"/>
      <c r="AL59" s="11"/>
      <c r="AM59" s="11"/>
      <c r="AN59" s="11"/>
      <c r="AO59" s="11"/>
      <c r="AP59" s="11"/>
      <c r="AQ59" s="11"/>
      <c r="AR59" s="41"/>
      <c r="AS59" s="41"/>
      <c r="AT59" s="41"/>
    </row>
    <row r="60" spans="1:56" ht="18.75" hidden="1" customHeight="1" x14ac:dyDescent="0.3">
      <c r="A60" s="470" t="s">
        <v>343</v>
      </c>
      <c r="B60" s="467"/>
      <c r="C60" s="467"/>
      <c r="D60" s="46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C60" s="11"/>
      <c r="AL60" s="11"/>
      <c r="AM60" s="11"/>
      <c r="AN60" s="11"/>
      <c r="AO60" s="11"/>
      <c r="AP60" s="11"/>
      <c r="AQ60" s="11"/>
      <c r="AR60" s="41"/>
      <c r="AS60" s="41"/>
      <c r="AT60" s="41"/>
    </row>
    <row r="61" spans="1:56" ht="18.75" hidden="1" customHeight="1" x14ac:dyDescent="0.3">
      <c r="A61" s="470" t="s">
        <v>344</v>
      </c>
      <c r="B61" s="467"/>
      <c r="C61" s="467"/>
      <c r="D61" s="46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L61" s="11"/>
      <c r="AM61" s="11"/>
      <c r="AN61" s="11"/>
      <c r="AO61" s="11"/>
      <c r="AP61" s="11"/>
      <c r="AQ61" s="11"/>
      <c r="AR61" s="11"/>
      <c r="AS61" s="11"/>
      <c r="AT61" s="11"/>
    </row>
    <row r="62" spans="1:56" ht="18.75" hidden="1" customHeight="1" x14ac:dyDescent="0.3">
      <c r="A62" s="470" t="s">
        <v>271</v>
      </c>
      <c r="B62" s="467"/>
      <c r="C62" s="467"/>
      <c r="D62" s="46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L62" s="11"/>
      <c r="AM62" s="11"/>
      <c r="AN62" s="11"/>
      <c r="AO62" s="11"/>
      <c r="AP62" s="11"/>
      <c r="AQ62" s="11"/>
      <c r="AR62" s="349"/>
      <c r="AS62" s="349"/>
      <c r="AT62" s="349"/>
    </row>
    <row r="63" spans="1:56" s="34" customFormat="1" ht="18.75" hidden="1" customHeight="1" x14ac:dyDescent="0.3">
      <c r="A63" s="470" t="s">
        <v>345</v>
      </c>
      <c r="B63" s="467"/>
      <c r="C63" s="467"/>
      <c r="D63" s="469"/>
      <c r="E63" s="11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41"/>
      <c r="AB63" s="41"/>
      <c r="AC63" s="71"/>
      <c r="AD63" s="71"/>
      <c r="AE63" s="41"/>
      <c r="AG63" s="41"/>
      <c r="AH63" s="71"/>
      <c r="AI63" s="71"/>
      <c r="AJ63" s="71"/>
      <c r="AK63" s="71"/>
      <c r="AL63" s="11"/>
      <c r="AM63" s="11"/>
      <c r="AN63" s="11"/>
      <c r="AO63" s="11"/>
      <c r="AP63" s="11"/>
      <c r="AQ63" s="11"/>
      <c r="AR63" s="349"/>
      <c r="AS63" s="349"/>
      <c r="AT63" s="349"/>
      <c r="AV63" s="11"/>
      <c r="AW63" s="11"/>
      <c r="AX63" s="11"/>
      <c r="AY63" s="11"/>
      <c r="AZ63" s="11"/>
      <c r="BA63" s="11"/>
      <c r="BB63" s="11"/>
      <c r="BC63" s="11"/>
      <c r="BD63" s="11"/>
    </row>
    <row r="64" spans="1:56" s="34" customFormat="1" ht="18.75" hidden="1" customHeight="1" x14ac:dyDescent="0.3">
      <c r="A64" s="470" t="s">
        <v>346</v>
      </c>
      <c r="B64" s="467"/>
      <c r="C64" s="467"/>
      <c r="D64" s="469"/>
      <c r="E64" s="11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41"/>
      <c r="AB64" s="41"/>
      <c r="AC64" s="71"/>
      <c r="AD64" s="71"/>
      <c r="AE64" s="41"/>
      <c r="AG64" s="41"/>
      <c r="AH64" s="71"/>
      <c r="AI64" s="71"/>
      <c r="AJ64" s="71"/>
      <c r="AK64" s="71"/>
      <c r="AL64" s="11"/>
      <c r="AM64" s="11"/>
      <c r="AN64" s="11"/>
      <c r="AO64" s="11"/>
      <c r="AP64" s="11"/>
      <c r="AQ64" s="11"/>
      <c r="AV64" s="11"/>
      <c r="AW64" s="11"/>
      <c r="AX64" s="11"/>
      <c r="AY64" s="11"/>
      <c r="AZ64" s="11"/>
      <c r="BA64" s="11"/>
      <c r="BB64" s="11"/>
      <c r="BC64" s="11"/>
      <c r="BD64" s="11"/>
    </row>
    <row r="65" spans="1:56" s="34" customFormat="1" ht="18.75" hidden="1" customHeight="1" x14ac:dyDescent="0.3">
      <c r="A65" s="470" t="s">
        <v>347</v>
      </c>
      <c r="B65" s="467"/>
      <c r="C65" s="467"/>
      <c r="D65" s="469"/>
      <c r="E65" s="11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41"/>
      <c r="AB65" s="41"/>
      <c r="AC65" s="71"/>
      <c r="AD65" s="71"/>
      <c r="AE65" s="41"/>
      <c r="AG65" s="41"/>
      <c r="AH65" s="71"/>
      <c r="AI65" s="71"/>
      <c r="AJ65" s="71"/>
      <c r="AK65" s="71"/>
      <c r="AL65" s="11"/>
      <c r="AM65" s="11"/>
      <c r="AN65" s="11"/>
      <c r="AO65" s="11"/>
      <c r="AP65" s="11"/>
      <c r="AQ65" s="11"/>
      <c r="AV65" s="11"/>
      <c r="AW65" s="11"/>
      <c r="AX65" s="11"/>
      <c r="AY65" s="11"/>
      <c r="AZ65" s="11"/>
      <c r="BA65" s="11"/>
      <c r="BB65" s="11"/>
      <c r="BC65" s="11"/>
      <c r="BD65" s="11"/>
    </row>
    <row r="66" spans="1:56" s="34" customFormat="1" ht="18.75" hidden="1" customHeight="1" x14ac:dyDescent="0.3">
      <c r="A66" s="470" t="s">
        <v>348</v>
      </c>
      <c r="B66" s="467"/>
      <c r="C66" s="467"/>
      <c r="D66" s="469"/>
      <c r="E66" s="11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11"/>
      <c r="AB66" s="11"/>
      <c r="AC66" s="71"/>
      <c r="AD66" s="71"/>
      <c r="AE66" s="11"/>
      <c r="AG66" s="11"/>
      <c r="AH66" s="71"/>
      <c r="AI66" s="71"/>
      <c r="AJ66" s="71"/>
      <c r="AK66" s="71"/>
      <c r="AL66" s="11"/>
      <c r="AM66" s="11"/>
      <c r="AN66" s="11"/>
      <c r="AO66" s="11"/>
      <c r="AP66" s="11"/>
      <c r="AQ66" s="11"/>
      <c r="AV66" s="11"/>
      <c r="AW66" s="11"/>
      <c r="AX66" s="11"/>
      <c r="AY66" s="11"/>
      <c r="AZ66" s="11"/>
      <c r="BA66" s="11"/>
      <c r="BB66" s="11"/>
      <c r="BC66" s="11"/>
      <c r="BD66" s="11"/>
    </row>
    <row r="67" spans="1:56" ht="18.75" hidden="1" customHeight="1" x14ac:dyDescent="0.3">
      <c r="A67" s="470" t="s">
        <v>278</v>
      </c>
      <c r="B67" s="467"/>
      <c r="C67" s="467"/>
      <c r="D67" s="46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L67" s="11"/>
      <c r="AM67" s="11"/>
      <c r="AN67" s="11"/>
      <c r="AO67" s="11"/>
      <c r="AP67" s="11"/>
      <c r="AQ67" s="11"/>
    </row>
    <row r="68" spans="1:56" ht="18.75" hidden="1" customHeight="1" x14ac:dyDescent="0.3">
      <c r="A68" s="470" t="s">
        <v>349</v>
      </c>
      <c r="B68" s="467"/>
      <c r="C68" s="467"/>
      <c r="D68" s="46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L68" s="11"/>
      <c r="AM68" s="11"/>
      <c r="AN68" s="11"/>
      <c r="AO68" s="11"/>
      <c r="AP68" s="11"/>
      <c r="AQ68" s="11"/>
      <c r="AR68" s="11"/>
      <c r="AS68" s="11"/>
      <c r="AT68" s="11"/>
    </row>
    <row r="69" spans="1:56" ht="18.75" hidden="1" customHeight="1" x14ac:dyDescent="0.3">
      <c r="A69" s="470" t="s">
        <v>350</v>
      </c>
      <c r="B69" s="467"/>
      <c r="C69" s="467"/>
      <c r="D69" s="46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L69" s="11"/>
      <c r="AM69" s="11"/>
      <c r="AN69" s="11"/>
      <c r="AO69" s="11"/>
      <c r="AP69" s="11"/>
      <c r="AQ69" s="11"/>
      <c r="AR69" s="11"/>
      <c r="AS69" s="11"/>
      <c r="AT69" s="11"/>
    </row>
    <row r="70" spans="1:56" ht="18.75" hidden="1" customHeight="1" x14ac:dyDescent="0.3">
      <c r="A70" s="470" t="s">
        <v>351</v>
      </c>
      <c r="B70" s="467"/>
      <c r="C70" s="467"/>
      <c r="D70" s="46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L70" s="11"/>
      <c r="AM70" s="11"/>
      <c r="AN70" s="11"/>
      <c r="AO70" s="11"/>
      <c r="AP70" s="11"/>
      <c r="AQ70" s="11"/>
      <c r="AR70" s="11"/>
      <c r="AS70" s="11"/>
      <c r="AT70" s="11"/>
    </row>
    <row r="71" spans="1:56" ht="18.75" hidden="1" customHeight="1" x14ac:dyDescent="0.3">
      <c r="A71" s="470" t="s">
        <v>352</v>
      </c>
      <c r="B71" s="467"/>
      <c r="C71" s="467"/>
      <c r="D71" s="46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L71" s="11"/>
      <c r="AM71" s="11"/>
      <c r="AN71" s="11"/>
      <c r="AO71" s="11"/>
      <c r="AP71" s="11"/>
      <c r="AQ71" s="11"/>
    </row>
    <row r="72" spans="1:56" ht="18.75" hidden="1" customHeight="1" x14ac:dyDescent="0.3">
      <c r="A72" s="470" t="s">
        <v>353</v>
      </c>
      <c r="B72" s="467"/>
      <c r="C72" s="467"/>
      <c r="D72" s="46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L72" s="11"/>
      <c r="AM72" s="11"/>
      <c r="AN72" s="11"/>
      <c r="AO72" s="11"/>
      <c r="AP72" s="11"/>
      <c r="AQ72" s="11"/>
    </row>
    <row r="73" spans="1:56" ht="18.75" hidden="1" customHeight="1" x14ac:dyDescent="0.3">
      <c r="A73" s="470" t="s">
        <v>354</v>
      </c>
      <c r="B73" s="467"/>
      <c r="C73" s="467"/>
      <c r="D73" s="46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L73" s="11"/>
      <c r="AM73" s="11"/>
      <c r="AN73" s="11"/>
      <c r="AO73" s="11"/>
      <c r="AP73" s="11"/>
      <c r="AQ73" s="11"/>
    </row>
    <row r="74" spans="1:56" ht="18.75" hidden="1" customHeight="1" x14ac:dyDescent="0.3">
      <c r="A74" s="470" t="s">
        <v>355</v>
      </c>
      <c r="B74" s="467"/>
      <c r="C74" s="467"/>
      <c r="D74" s="46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L74" s="11"/>
      <c r="AM74" s="11"/>
      <c r="AN74" s="11"/>
      <c r="AO74" s="11"/>
      <c r="AP74" s="11"/>
      <c r="AQ74" s="11"/>
    </row>
    <row r="75" spans="1:56" ht="18.75" hidden="1" customHeight="1" x14ac:dyDescent="0.3">
      <c r="A75" s="470" t="s">
        <v>356</v>
      </c>
      <c r="B75" s="467"/>
      <c r="C75" s="467"/>
      <c r="D75" s="46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L75" s="11"/>
      <c r="AM75" s="11"/>
      <c r="AN75" s="11"/>
      <c r="AO75" s="11"/>
      <c r="AP75" s="11"/>
      <c r="AQ75" s="11"/>
    </row>
    <row r="76" spans="1:56" ht="18.75" hidden="1" customHeight="1" x14ac:dyDescent="0.3">
      <c r="A76" s="470" t="s">
        <v>357</v>
      </c>
      <c r="B76" s="467"/>
      <c r="C76" s="467"/>
      <c r="D76" s="46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L76" s="401"/>
      <c r="AM76" s="401"/>
      <c r="AN76" s="401"/>
      <c r="AO76" s="401"/>
      <c r="AP76" s="401"/>
      <c r="AQ76" s="401"/>
    </row>
    <row r="77" spans="1:56" ht="18.75" hidden="1" customHeight="1" x14ac:dyDescent="0.3">
      <c r="A77" s="470" t="s">
        <v>358</v>
      </c>
      <c r="B77" s="467"/>
      <c r="C77" s="467"/>
      <c r="D77" s="46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L77" s="401"/>
      <c r="AM77" s="401"/>
      <c r="AN77" s="401"/>
      <c r="AO77" s="401"/>
      <c r="AP77" s="401"/>
      <c r="AQ77" s="401"/>
    </row>
    <row r="78" spans="1:56" ht="18.75" hidden="1" customHeight="1" x14ac:dyDescent="0.3">
      <c r="A78" s="470" t="s">
        <v>359</v>
      </c>
      <c r="B78" s="467"/>
      <c r="C78" s="467"/>
      <c r="D78" s="46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L78" s="41"/>
      <c r="AM78" s="41"/>
      <c r="AN78" s="41"/>
      <c r="AO78" s="41"/>
      <c r="AP78" s="41"/>
      <c r="AQ78" s="41"/>
    </row>
    <row r="79" spans="1:56" ht="18.75" hidden="1" customHeight="1" x14ac:dyDescent="0.3">
      <c r="A79" s="470" t="s">
        <v>360</v>
      </c>
      <c r="B79" s="467"/>
      <c r="C79" s="467"/>
      <c r="D79" s="46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L79" s="41"/>
      <c r="AM79" s="41"/>
      <c r="AN79" s="41"/>
      <c r="AO79" s="41"/>
      <c r="AP79" s="41"/>
      <c r="AQ79" s="41"/>
    </row>
    <row r="80" spans="1:56" ht="18.75" hidden="1" customHeight="1" x14ac:dyDescent="0.3">
      <c r="A80" s="470" t="s">
        <v>361</v>
      </c>
      <c r="B80" s="467"/>
      <c r="C80" s="467"/>
      <c r="D80" s="46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L80" s="41"/>
      <c r="AM80" s="41"/>
      <c r="AN80" s="41"/>
      <c r="AO80" s="41"/>
      <c r="AP80" s="41"/>
      <c r="AQ80" s="41"/>
    </row>
    <row r="81" spans="1:43" ht="18.75" hidden="1" customHeight="1" x14ac:dyDescent="0.3">
      <c r="A81" s="470" t="s">
        <v>362</v>
      </c>
      <c r="B81" s="467"/>
      <c r="C81" s="467"/>
      <c r="D81" s="46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L81" s="41"/>
      <c r="AM81" s="41"/>
      <c r="AN81" s="41"/>
      <c r="AO81" s="41"/>
      <c r="AP81" s="41"/>
      <c r="AQ81" s="41"/>
    </row>
    <row r="82" spans="1:43" ht="18.75" hidden="1" customHeight="1" x14ac:dyDescent="0.3">
      <c r="A82" s="470" t="s">
        <v>363</v>
      </c>
      <c r="B82" s="467"/>
      <c r="C82" s="467"/>
      <c r="D82" s="46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L82" s="41"/>
      <c r="AM82" s="41"/>
      <c r="AN82" s="41"/>
      <c r="AO82" s="41"/>
      <c r="AP82" s="41"/>
      <c r="AQ82" s="41"/>
    </row>
    <row r="83" spans="1:43" ht="18.75" hidden="1" customHeight="1" x14ac:dyDescent="0.3">
      <c r="A83" s="470" t="s">
        <v>364</v>
      </c>
      <c r="B83" s="467"/>
      <c r="C83" s="467"/>
      <c r="D83" s="46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L83" s="11"/>
      <c r="AM83" s="11"/>
      <c r="AN83" s="11"/>
      <c r="AO83" s="11"/>
      <c r="AP83" s="11"/>
      <c r="AQ83" s="11"/>
    </row>
    <row r="84" spans="1:43" ht="18.75" hidden="1" customHeight="1" x14ac:dyDescent="0.3">
      <c r="A84" s="470" t="s">
        <v>365</v>
      </c>
      <c r="B84" s="467"/>
      <c r="C84" s="467"/>
      <c r="D84" s="46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L84" s="349"/>
      <c r="AM84" s="349"/>
      <c r="AN84" s="349"/>
      <c r="AO84" s="349"/>
      <c r="AP84" s="349"/>
      <c r="AQ84" s="349"/>
    </row>
    <row r="85" spans="1:43" ht="18.75" hidden="1" customHeight="1" x14ac:dyDescent="0.3">
      <c r="A85" s="470" t="s">
        <v>366</v>
      </c>
      <c r="B85" s="467"/>
      <c r="C85" s="467"/>
      <c r="D85" s="46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L85" s="349"/>
      <c r="AM85" s="349"/>
      <c r="AN85" s="349"/>
      <c r="AO85" s="349"/>
      <c r="AP85" s="349"/>
      <c r="AQ85" s="349"/>
    </row>
    <row r="86" spans="1:43" ht="18.75" hidden="1" customHeight="1" x14ac:dyDescent="0.3">
      <c r="A86" s="470" t="s">
        <v>367</v>
      </c>
      <c r="B86" s="467"/>
      <c r="C86" s="467"/>
      <c r="D86" s="46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</row>
    <row r="87" spans="1:43" ht="18.75" hidden="1" customHeight="1" x14ac:dyDescent="0.3">
      <c r="A87" s="470" t="s">
        <v>368</v>
      </c>
      <c r="B87" s="467"/>
      <c r="C87" s="467"/>
      <c r="D87" s="46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</row>
    <row r="88" spans="1:43" ht="18.75" hidden="1" customHeight="1" x14ac:dyDescent="0.3">
      <c r="A88" s="470" t="s">
        <v>369</v>
      </c>
      <c r="B88" s="467"/>
      <c r="C88" s="467"/>
      <c r="D88" s="46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</row>
    <row r="89" spans="1:43" ht="18.75" hidden="1" customHeight="1" x14ac:dyDescent="0.3">
      <c r="A89" s="470" t="s">
        <v>370</v>
      </c>
      <c r="B89" s="467"/>
      <c r="C89" s="467"/>
      <c r="D89" s="46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</row>
    <row r="90" spans="1:43" ht="18.75" hidden="1" customHeight="1" x14ac:dyDescent="0.3">
      <c r="A90" s="470" t="s">
        <v>371</v>
      </c>
      <c r="B90" s="467"/>
      <c r="C90" s="467"/>
      <c r="D90" s="46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L90" s="11"/>
      <c r="AM90" s="11"/>
      <c r="AN90" s="11"/>
      <c r="AO90" s="11"/>
      <c r="AP90" s="11"/>
      <c r="AQ90" s="11"/>
    </row>
    <row r="91" spans="1:43" ht="18.75" hidden="1" customHeight="1" x14ac:dyDescent="0.3">
      <c r="A91" s="470" t="s">
        <v>372</v>
      </c>
      <c r="B91" s="467"/>
      <c r="C91" s="467"/>
      <c r="D91" s="46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L91" s="11"/>
      <c r="AM91" s="11"/>
      <c r="AN91" s="11"/>
      <c r="AO91" s="11"/>
      <c r="AP91" s="11"/>
      <c r="AQ91" s="11"/>
    </row>
    <row r="92" spans="1:43" ht="18.75" hidden="1" customHeight="1" x14ac:dyDescent="0.3">
      <c r="A92" s="470" t="s">
        <v>373</v>
      </c>
      <c r="B92" s="467"/>
      <c r="C92" s="467"/>
      <c r="D92" s="46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L92" s="11"/>
      <c r="AM92" s="11"/>
      <c r="AN92" s="11"/>
      <c r="AO92" s="11"/>
      <c r="AP92" s="11"/>
      <c r="AQ92" s="11"/>
    </row>
    <row r="93" spans="1:43" ht="18.75" hidden="1" customHeight="1" x14ac:dyDescent="0.3">
      <c r="A93" s="470" t="s">
        <v>374</v>
      </c>
      <c r="B93" s="467"/>
      <c r="C93" s="467"/>
      <c r="D93" s="46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</row>
    <row r="94" spans="1:43" ht="18.75" hidden="1" customHeight="1" x14ac:dyDescent="0.3">
      <c r="A94" s="470" t="s">
        <v>306</v>
      </c>
      <c r="B94" s="467"/>
      <c r="C94" s="467"/>
      <c r="D94" s="46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</row>
    <row r="95" spans="1:43" ht="18.75" hidden="1" customHeight="1" x14ac:dyDescent="0.3">
      <c r="A95" s="470" t="s">
        <v>305</v>
      </c>
      <c r="B95" s="467"/>
      <c r="C95" s="467"/>
      <c r="D95" s="46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</row>
    <row r="96" spans="1:43" ht="18.75" hidden="1" customHeight="1" x14ac:dyDescent="0.3">
      <c r="A96" s="470" t="s">
        <v>307</v>
      </c>
      <c r="B96" s="467"/>
      <c r="C96" s="467"/>
      <c r="D96" s="46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</row>
    <row r="97" spans="1:26" ht="18.75" hidden="1" customHeight="1" x14ac:dyDescent="0.3">
      <c r="A97" s="470" t="s">
        <v>375</v>
      </c>
      <c r="B97" s="467"/>
      <c r="C97" s="467"/>
      <c r="D97" s="46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</row>
    <row r="98" spans="1:26" ht="18.75" hidden="1" customHeight="1" x14ac:dyDescent="0.3">
      <c r="A98" s="470" t="s">
        <v>376</v>
      </c>
      <c r="B98" s="467"/>
      <c r="C98" s="467"/>
      <c r="D98" s="46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</row>
    <row r="99" spans="1:26" ht="18.75" hidden="1" customHeight="1" x14ac:dyDescent="0.3">
      <c r="A99" s="470" t="s">
        <v>313</v>
      </c>
      <c r="B99" s="467"/>
      <c r="C99" s="467"/>
      <c r="D99" s="46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</row>
    <row r="100" spans="1:26" ht="18.75" hidden="1" customHeight="1" x14ac:dyDescent="0.3">
      <c r="A100" s="470" t="s">
        <v>377</v>
      </c>
      <c r="B100" s="467"/>
      <c r="C100" s="467"/>
      <c r="D100" s="46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</row>
    <row r="101" spans="1:26" ht="18.75" hidden="1" customHeight="1" x14ac:dyDescent="0.3">
      <c r="A101" s="470" t="s">
        <v>314</v>
      </c>
      <c r="B101" s="467"/>
      <c r="C101" s="467"/>
      <c r="D101" s="46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</row>
    <row r="102" spans="1:26" ht="18.75" hidden="1" customHeight="1" x14ac:dyDescent="0.3">
      <c r="A102" s="470" t="s">
        <v>378</v>
      </c>
      <c r="B102" s="467"/>
      <c r="C102" s="467"/>
      <c r="D102" s="46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</row>
    <row r="103" spans="1:26" ht="18.75" hidden="1" customHeight="1" x14ac:dyDescent="0.3">
      <c r="A103" s="470" t="s">
        <v>318</v>
      </c>
      <c r="B103" s="467"/>
      <c r="C103" s="467"/>
      <c r="D103" s="46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</row>
    <row r="104" spans="1:26" ht="18.75" hidden="1" customHeight="1" x14ac:dyDescent="0.3">
      <c r="A104" s="470" t="s">
        <v>317</v>
      </c>
      <c r="B104" s="467"/>
      <c r="C104" s="467"/>
      <c r="D104" s="46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</row>
    <row r="105" spans="1:26" x14ac:dyDescent="0.3">
      <c r="A105" s="470" t="s">
        <v>319</v>
      </c>
      <c r="B105" s="467"/>
      <c r="C105" s="467"/>
      <c r="D105" s="469"/>
      <c r="F105" s="39">
        <v>0</v>
      </c>
      <c r="G105" s="39">
        <v>0</v>
      </c>
      <c r="H105" s="39">
        <v>0</v>
      </c>
      <c r="I105" s="39">
        <v>0</v>
      </c>
      <c r="J105" s="39">
        <v>0</v>
      </c>
      <c r="K105" s="39">
        <v>0</v>
      </c>
      <c r="L105" s="39">
        <v>0</v>
      </c>
      <c r="M105" s="39">
        <v>0</v>
      </c>
      <c r="N105" s="39">
        <v>0</v>
      </c>
      <c r="O105" s="39">
        <v>0</v>
      </c>
      <c r="P105" s="39">
        <v>0</v>
      </c>
      <c r="Q105" s="39">
        <v>0</v>
      </c>
      <c r="R105" s="39">
        <v>0</v>
      </c>
      <c r="S105" s="39">
        <v>0</v>
      </c>
      <c r="T105" s="39">
        <v>0</v>
      </c>
      <c r="U105" s="39">
        <v>0</v>
      </c>
      <c r="V105" s="39">
        <v>0</v>
      </c>
      <c r="W105" s="39">
        <v>0</v>
      </c>
      <c r="X105" s="39">
        <v>0</v>
      </c>
      <c r="Y105" s="39">
        <v>0</v>
      </c>
      <c r="Z105" s="39">
        <v>0</v>
      </c>
    </row>
    <row r="106" spans="1:26" x14ac:dyDescent="0.3">
      <c r="A106" s="470" t="s">
        <v>200</v>
      </c>
      <c r="B106" s="467"/>
      <c r="C106" s="467"/>
      <c r="D106" s="469"/>
      <c r="F106" s="39">
        <v>0</v>
      </c>
      <c r="G106" s="39">
        <v>0</v>
      </c>
      <c r="H106" s="39">
        <v>0</v>
      </c>
      <c r="I106" s="39">
        <v>0</v>
      </c>
      <c r="J106" s="39">
        <v>0</v>
      </c>
      <c r="K106" s="39">
        <v>0</v>
      </c>
      <c r="L106" s="39">
        <v>0</v>
      </c>
      <c r="M106" s="39">
        <v>0</v>
      </c>
      <c r="N106" s="39">
        <v>0</v>
      </c>
      <c r="O106" s="39">
        <v>0</v>
      </c>
      <c r="P106" s="39">
        <v>0</v>
      </c>
      <c r="Q106" s="39">
        <v>0</v>
      </c>
      <c r="R106" s="39">
        <v>0</v>
      </c>
      <c r="S106" s="39">
        <v>0</v>
      </c>
      <c r="T106" s="39">
        <v>0</v>
      </c>
      <c r="U106" s="39">
        <v>0</v>
      </c>
      <c r="V106" s="39">
        <v>0</v>
      </c>
      <c r="W106" s="39">
        <v>0</v>
      </c>
      <c r="X106" s="39">
        <v>0</v>
      </c>
      <c r="Y106" s="39">
        <v>0</v>
      </c>
      <c r="Z106" s="39">
        <v>0</v>
      </c>
    </row>
    <row r="107" spans="1:26" x14ac:dyDescent="0.3">
      <c r="A107" s="470" t="s">
        <v>193</v>
      </c>
      <c r="B107" s="467"/>
      <c r="C107" s="467"/>
      <c r="D107" s="469"/>
      <c r="F107" s="39">
        <v>0</v>
      </c>
      <c r="G107" s="39">
        <v>0</v>
      </c>
      <c r="H107" s="39">
        <v>0</v>
      </c>
      <c r="I107" s="39">
        <v>0</v>
      </c>
      <c r="J107" s="39">
        <v>0</v>
      </c>
      <c r="K107" s="39">
        <v>0</v>
      </c>
      <c r="L107" s="39">
        <v>0</v>
      </c>
      <c r="M107" s="39">
        <v>0</v>
      </c>
      <c r="N107" s="39">
        <v>0</v>
      </c>
      <c r="O107" s="39">
        <v>0</v>
      </c>
      <c r="P107" s="39">
        <v>0</v>
      </c>
      <c r="Q107" s="39">
        <v>0</v>
      </c>
      <c r="R107" s="39">
        <v>0</v>
      </c>
      <c r="S107" s="39">
        <v>0</v>
      </c>
      <c r="T107" s="39">
        <v>0</v>
      </c>
      <c r="U107" s="39">
        <v>0</v>
      </c>
      <c r="V107" s="39">
        <v>0</v>
      </c>
      <c r="W107" s="39">
        <v>0</v>
      </c>
      <c r="X107" s="39">
        <v>0</v>
      </c>
      <c r="Y107" s="39">
        <v>0</v>
      </c>
      <c r="Z107" s="39">
        <v>0</v>
      </c>
    </row>
    <row r="108" spans="1:26" x14ac:dyDescent="0.3">
      <c r="A108" s="470" t="s">
        <v>379</v>
      </c>
      <c r="B108" s="467"/>
      <c r="C108" s="467"/>
      <c r="D108" s="469"/>
      <c r="F108" s="39">
        <v>0</v>
      </c>
      <c r="G108" s="39">
        <v>0</v>
      </c>
      <c r="H108" s="39">
        <v>0</v>
      </c>
      <c r="I108" s="39">
        <v>0</v>
      </c>
      <c r="J108" s="39">
        <v>0</v>
      </c>
      <c r="K108" s="39">
        <v>0</v>
      </c>
      <c r="L108" s="39">
        <v>0</v>
      </c>
      <c r="M108" s="39">
        <v>0</v>
      </c>
      <c r="N108" s="39">
        <v>0</v>
      </c>
      <c r="O108" s="39">
        <v>0</v>
      </c>
      <c r="P108" s="39">
        <v>0</v>
      </c>
      <c r="Q108" s="39">
        <v>0</v>
      </c>
      <c r="R108" s="39">
        <v>0</v>
      </c>
      <c r="S108" s="39">
        <v>0</v>
      </c>
      <c r="T108" s="39">
        <v>5</v>
      </c>
      <c r="U108" s="39">
        <v>5</v>
      </c>
      <c r="V108" s="39">
        <v>5</v>
      </c>
      <c r="W108" s="39">
        <v>0</v>
      </c>
      <c r="X108" s="39">
        <v>0</v>
      </c>
      <c r="Y108" s="39">
        <v>0</v>
      </c>
      <c r="Z108" s="39">
        <v>0</v>
      </c>
    </row>
    <row r="109" spans="1:26" x14ac:dyDescent="0.3">
      <c r="A109" s="470" t="s">
        <v>321</v>
      </c>
      <c r="B109" s="467"/>
      <c r="C109" s="467"/>
      <c r="D109" s="469"/>
      <c r="F109" s="39">
        <v>0</v>
      </c>
      <c r="G109" s="39">
        <v>0</v>
      </c>
      <c r="H109" s="39">
        <v>0</v>
      </c>
      <c r="I109" s="39">
        <v>0</v>
      </c>
      <c r="J109" s="39">
        <v>0</v>
      </c>
      <c r="K109" s="39">
        <v>0</v>
      </c>
      <c r="L109" s="39">
        <v>0</v>
      </c>
      <c r="M109" s="39">
        <v>0</v>
      </c>
      <c r="N109" s="39">
        <v>0</v>
      </c>
      <c r="O109" s="39">
        <v>0</v>
      </c>
      <c r="P109" s="39">
        <v>0</v>
      </c>
      <c r="Q109" s="39">
        <v>0</v>
      </c>
      <c r="R109" s="39">
        <v>0</v>
      </c>
      <c r="S109" s="39">
        <v>0</v>
      </c>
      <c r="T109" s="39">
        <v>0</v>
      </c>
      <c r="U109" s="39">
        <v>0</v>
      </c>
      <c r="V109" s="39">
        <v>0</v>
      </c>
      <c r="W109" s="39">
        <v>0</v>
      </c>
      <c r="X109" s="39">
        <v>0</v>
      </c>
      <c r="Y109" s="39">
        <v>0</v>
      </c>
      <c r="Z109" s="39">
        <v>0</v>
      </c>
    </row>
    <row r="110" spans="1:26" x14ac:dyDescent="0.3">
      <c r="A110" s="335" t="s">
        <v>380</v>
      </c>
      <c r="B110" s="336"/>
      <c r="C110" s="336"/>
      <c r="D110" s="337"/>
      <c r="N110" s="39">
        <v>0</v>
      </c>
      <c r="O110" s="39">
        <v>0</v>
      </c>
      <c r="P110" s="39">
        <v>0</v>
      </c>
      <c r="Q110" s="39">
        <v>0</v>
      </c>
      <c r="R110" s="39">
        <v>0</v>
      </c>
      <c r="S110" s="39">
        <v>0</v>
      </c>
      <c r="T110" s="39">
        <v>153</v>
      </c>
      <c r="U110" s="39">
        <v>153</v>
      </c>
      <c r="V110" s="39">
        <v>153</v>
      </c>
      <c r="W110" s="39">
        <v>200</v>
      </c>
      <c r="X110" s="39">
        <v>200</v>
      </c>
      <c r="Y110" s="39">
        <v>200</v>
      </c>
      <c r="Z110" s="39">
        <v>200</v>
      </c>
    </row>
    <row r="111" spans="1:26" x14ac:dyDescent="0.3">
      <c r="A111" s="335" t="s">
        <v>381</v>
      </c>
      <c r="B111" s="336"/>
      <c r="C111" s="336"/>
      <c r="D111" s="337"/>
      <c r="N111" s="39">
        <v>0</v>
      </c>
      <c r="O111" s="39">
        <v>0</v>
      </c>
      <c r="P111" s="39">
        <v>0</v>
      </c>
      <c r="Q111" s="39">
        <v>0</v>
      </c>
      <c r="R111" s="39">
        <v>0</v>
      </c>
      <c r="S111" s="39">
        <v>0</v>
      </c>
      <c r="T111" s="39">
        <v>87</v>
      </c>
      <c r="U111" s="39">
        <v>67</v>
      </c>
      <c r="V111" s="39">
        <v>67</v>
      </c>
      <c r="W111" s="39">
        <v>55</v>
      </c>
      <c r="X111" s="39">
        <v>55</v>
      </c>
      <c r="Y111" s="39">
        <v>55</v>
      </c>
      <c r="Z111" s="39">
        <v>55</v>
      </c>
    </row>
    <row r="112" spans="1:26" x14ac:dyDescent="0.3">
      <c r="A112" s="335" t="s">
        <v>382</v>
      </c>
      <c r="B112" s="336"/>
      <c r="C112" s="336"/>
      <c r="D112" s="337"/>
      <c r="N112" s="39">
        <v>0</v>
      </c>
      <c r="O112" s="39">
        <v>0</v>
      </c>
      <c r="P112" s="39">
        <v>0</v>
      </c>
      <c r="Q112" s="39">
        <v>0</v>
      </c>
      <c r="R112" s="39">
        <v>0</v>
      </c>
      <c r="S112" s="39">
        <v>0</v>
      </c>
      <c r="T112" s="39">
        <v>10</v>
      </c>
      <c r="U112" s="39">
        <v>10</v>
      </c>
      <c r="V112" s="39">
        <v>10</v>
      </c>
      <c r="W112" s="39">
        <v>10</v>
      </c>
      <c r="X112" s="39">
        <v>10</v>
      </c>
      <c r="Y112" s="39">
        <v>10</v>
      </c>
      <c r="Z112" s="39">
        <v>10</v>
      </c>
    </row>
    <row r="113" spans="1:26" x14ac:dyDescent="0.3">
      <c r="A113" s="335" t="s">
        <v>383</v>
      </c>
      <c r="B113" s="336"/>
      <c r="C113" s="336"/>
      <c r="D113" s="337"/>
      <c r="N113" s="39">
        <v>0</v>
      </c>
      <c r="O113" s="39">
        <v>0</v>
      </c>
      <c r="P113" s="39">
        <v>0</v>
      </c>
      <c r="Q113" s="39">
        <v>0</v>
      </c>
      <c r="R113" s="39">
        <v>0</v>
      </c>
      <c r="S113" s="39">
        <v>0</v>
      </c>
      <c r="T113" s="39">
        <v>6</v>
      </c>
      <c r="U113" s="39">
        <v>6</v>
      </c>
      <c r="V113" s="39">
        <v>6</v>
      </c>
      <c r="W113" s="39">
        <v>6</v>
      </c>
      <c r="X113" s="39">
        <v>6</v>
      </c>
      <c r="Y113" s="39">
        <v>6</v>
      </c>
      <c r="Z113" s="39">
        <v>6</v>
      </c>
    </row>
    <row r="114" spans="1:26" x14ac:dyDescent="0.3">
      <c r="A114" s="335" t="s">
        <v>384</v>
      </c>
      <c r="B114" s="336"/>
      <c r="C114" s="336"/>
      <c r="D114" s="337"/>
      <c r="N114" s="39">
        <v>0</v>
      </c>
      <c r="O114" s="39">
        <v>0</v>
      </c>
      <c r="P114" s="39">
        <v>0</v>
      </c>
      <c r="Q114" s="39">
        <v>0</v>
      </c>
      <c r="R114" s="39">
        <v>0</v>
      </c>
      <c r="S114" s="39">
        <v>0</v>
      </c>
      <c r="T114" s="39">
        <v>17</v>
      </c>
      <c r="U114" s="39">
        <v>17</v>
      </c>
      <c r="V114" s="39">
        <v>17</v>
      </c>
      <c r="W114" s="39">
        <v>17</v>
      </c>
      <c r="X114" s="39">
        <v>17</v>
      </c>
      <c r="Y114" s="39">
        <v>17</v>
      </c>
      <c r="Z114" s="39">
        <v>17</v>
      </c>
    </row>
    <row r="115" spans="1:26" x14ac:dyDescent="0.3">
      <c r="A115" s="335" t="s">
        <v>385</v>
      </c>
      <c r="B115" s="336"/>
      <c r="C115" s="336"/>
      <c r="D115" s="337"/>
      <c r="R115" s="39">
        <v>0</v>
      </c>
      <c r="S115" s="39">
        <v>0</v>
      </c>
      <c r="T115" s="39">
        <v>0</v>
      </c>
      <c r="U115" s="39">
        <v>0</v>
      </c>
      <c r="V115" s="39">
        <v>0</v>
      </c>
      <c r="W115" s="39">
        <v>55</v>
      </c>
      <c r="X115" s="39">
        <v>55</v>
      </c>
      <c r="Y115" s="39">
        <v>55</v>
      </c>
      <c r="Z115" s="39">
        <v>55</v>
      </c>
    </row>
    <row r="116" spans="1:26" x14ac:dyDescent="0.3">
      <c r="A116" s="335" t="s">
        <v>386</v>
      </c>
      <c r="B116" s="336"/>
      <c r="C116" s="336"/>
      <c r="D116" s="337"/>
      <c r="R116" s="39">
        <v>0</v>
      </c>
      <c r="S116" s="39">
        <v>0</v>
      </c>
      <c r="T116" s="39">
        <v>0</v>
      </c>
      <c r="U116" s="39">
        <v>0</v>
      </c>
      <c r="V116" s="39">
        <v>0</v>
      </c>
      <c r="W116" s="39">
        <v>55</v>
      </c>
      <c r="X116" s="39">
        <v>55</v>
      </c>
      <c r="Y116" s="39">
        <v>55</v>
      </c>
      <c r="Z116" s="39">
        <v>55</v>
      </c>
    </row>
    <row r="117" spans="1:26" x14ac:dyDescent="0.3">
      <c r="A117" s="470"/>
      <c r="B117" s="467"/>
      <c r="C117" s="467"/>
      <c r="D117" s="469"/>
      <c r="R117" s="39"/>
      <c r="S117" s="39"/>
      <c r="T117" s="39"/>
      <c r="U117" s="39"/>
      <c r="V117" s="39"/>
      <c r="W117" s="39"/>
      <c r="X117" s="39"/>
      <c r="Y117" s="39"/>
      <c r="Z117" s="39"/>
    </row>
  </sheetData>
  <mergeCells count="59">
    <mergeCell ref="B2:D2"/>
    <mergeCell ref="C5:C6"/>
    <mergeCell ref="B3:D3"/>
    <mergeCell ref="AV7:BD7"/>
    <mergeCell ref="A89:D89"/>
    <mergeCell ref="A108:D108"/>
    <mergeCell ref="A74:D74"/>
    <mergeCell ref="A105:D105"/>
    <mergeCell ref="A101:D101"/>
    <mergeCell ref="A86:D86"/>
    <mergeCell ref="A104:D104"/>
    <mergeCell ref="A95:D95"/>
    <mergeCell ref="A71:D71"/>
    <mergeCell ref="A85:D85"/>
    <mergeCell ref="A76:D76"/>
    <mergeCell ref="A5:A6"/>
    <mergeCell ref="A94:D94"/>
    <mergeCell ref="A103:D103"/>
    <mergeCell ref="A70:D70"/>
    <mergeCell ref="A79:D79"/>
    <mergeCell ref="A61:D61"/>
    <mergeCell ref="A88:D88"/>
    <mergeCell ref="A69:D69"/>
    <mergeCell ref="A78:D78"/>
    <mergeCell ref="A87:D87"/>
    <mergeCell ref="A65:D65"/>
    <mergeCell ref="A99:D99"/>
    <mergeCell ref="B5:B6"/>
    <mergeCell ref="A84:D84"/>
    <mergeCell ref="A66:D66"/>
    <mergeCell ref="D5:D6"/>
    <mergeCell ref="A59:D59"/>
    <mergeCell ref="A82:D82"/>
    <mergeCell ref="A73:D73"/>
    <mergeCell ref="A107:D107"/>
    <mergeCell ref="A60:D60"/>
    <mergeCell ref="A98:D98"/>
    <mergeCell ref="A90:D90"/>
    <mergeCell ref="A80:D80"/>
    <mergeCell ref="A75:D75"/>
    <mergeCell ref="A109:D109"/>
    <mergeCell ref="A81:D81"/>
    <mergeCell ref="A63:D63"/>
    <mergeCell ref="A117:D117"/>
    <mergeCell ref="A93:D93"/>
    <mergeCell ref="A68:D68"/>
    <mergeCell ref="A102:D102"/>
    <mergeCell ref="A67:D67"/>
    <mergeCell ref="A77:D77"/>
    <mergeCell ref="A83:D83"/>
    <mergeCell ref="A92:D92"/>
    <mergeCell ref="A64:D64"/>
    <mergeCell ref="A106:D106"/>
    <mergeCell ref="A91:D91"/>
    <mergeCell ref="A97:D97"/>
    <mergeCell ref="A100:D100"/>
    <mergeCell ref="A62:D62"/>
    <mergeCell ref="A96:D96"/>
    <mergeCell ref="A72:D72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70" fitToHeight="0" orientation="landscape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ilha50">
    <tabColor theme="8"/>
    <pageSetUpPr fitToPage="1"/>
  </sheetPr>
  <dimension ref="A1:BL133"/>
  <sheetViews>
    <sheetView showGridLines="0" topLeftCell="A54" zoomScale="80" zoomScaleNormal="80" zoomScaleSheetLayoutView="50" workbookViewId="0">
      <selection activeCell="AB80" sqref="AB80"/>
    </sheetView>
  </sheetViews>
  <sheetFormatPr defaultColWidth="9.140625" defaultRowHeight="15" x14ac:dyDescent="0.25"/>
  <cols>
    <col min="1" max="1" width="34.5703125" customWidth="1"/>
    <col min="2" max="2" width="8.140625" customWidth="1"/>
    <col min="3" max="3" width="16.140625" customWidth="1"/>
    <col min="4" max="4" width="17.42578125" customWidth="1"/>
    <col min="5" max="5" width="2" customWidth="1"/>
    <col min="6" max="6" width="9.28515625" hidden="1" customWidth="1"/>
    <col min="7" max="25" width="13" hidden="1" customWidth="1"/>
    <col min="26" max="26" width="9.28515625" hidden="1" customWidth="1"/>
    <col min="27" max="29" width="13" hidden="1" customWidth="1"/>
    <col min="30" max="31" width="13" customWidth="1"/>
    <col min="32" max="32" width="9.5703125" customWidth="1"/>
    <col min="33" max="33" width="1.42578125" customWidth="1"/>
    <col min="34" max="34" width="17.85546875" customWidth="1"/>
    <col min="35" max="35" width="14.28515625" customWidth="1"/>
    <col min="36" max="36" width="0.85546875" customWidth="1"/>
    <col min="37" max="37" width="17.42578125" customWidth="1"/>
    <col min="38" max="38" width="1.85546875" customWidth="1"/>
    <col min="39" max="39" width="9.140625" customWidth="1"/>
    <col min="40" max="40" width="13" customWidth="1"/>
    <col min="41" max="49" width="13" hidden="1" customWidth="1"/>
    <col min="50" max="50" width="9.140625" hidden="1" customWidth="1"/>
    <col min="51" max="60" width="13" hidden="1" customWidth="1"/>
    <col min="61" max="61" width="14.28515625" hidden="1" customWidth="1"/>
    <col min="62" max="62" width="9.140625" hidden="1" customWidth="1"/>
    <col min="63" max="64" width="13" hidden="1" customWidth="1"/>
    <col min="65" max="65" width="9.140625" customWidth="1"/>
  </cols>
  <sheetData>
    <row r="1" spans="1:64" ht="23.25" customHeight="1" x14ac:dyDescent="0.3">
      <c r="A1" s="477" t="s">
        <v>117</v>
      </c>
      <c r="B1" s="478"/>
      <c r="C1" s="478"/>
      <c r="D1" s="478"/>
      <c r="E1" s="478"/>
      <c r="F1" s="478"/>
      <c r="G1" s="478"/>
      <c r="H1" s="478"/>
      <c r="I1" s="478"/>
      <c r="J1" s="478"/>
      <c r="K1" s="478"/>
      <c r="L1" s="478"/>
      <c r="M1" s="478"/>
      <c r="N1" s="478"/>
      <c r="O1" s="478"/>
      <c r="P1" s="478"/>
      <c r="Q1" s="478"/>
      <c r="R1" s="478"/>
      <c r="S1" s="478"/>
      <c r="T1" s="478"/>
      <c r="U1" s="478"/>
      <c r="V1" s="478"/>
      <c r="W1" s="478"/>
      <c r="X1" s="478"/>
      <c r="Y1" s="478"/>
      <c r="Z1" s="478"/>
      <c r="AA1" s="478"/>
      <c r="AB1" s="478"/>
      <c r="AG1" s="338"/>
      <c r="AJ1" s="34"/>
      <c r="AK1" s="11"/>
      <c r="AL1" s="34"/>
    </row>
    <row r="2" spans="1:64" ht="18.75" x14ac:dyDescent="0.3">
      <c r="A2" s="63" t="s">
        <v>118</v>
      </c>
      <c r="B2" s="473" t="s">
        <v>423</v>
      </c>
      <c r="C2" s="463"/>
      <c r="D2" s="464"/>
      <c r="AJ2" s="34"/>
      <c r="AK2" s="11"/>
      <c r="AL2" s="34"/>
    </row>
    <row r="3" spans="1:64" ht="18.75" x14ac:dyDescent="0.3">
      <c r="A3" s="63" t="s">
        <v>120</v>
      </c>
      <c r="B3" s="465" t="s">
        <v>425</v>
      </c>
      <c r="C3" s="463"/>
      <c r="D3" s="464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442"/>
      <c r="AC3" s="442"/>
      <c r="AD3" s="442"/>
      <c r="AE3" s="442"/>
      <c r="AF3" s="7"/>
      <c r="AG3" s="7"/>
      <c r="AJ3" s="7"/>
      <c r="AL3" s="34"/>
    </row>
    <row r="4" spans="1:64" ht="18.75" x14ac:dyDescent="0.3">
      <c r="AH4" s="41"/>
      <c r="AI4" s="4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</row>
    <row r="5" spans="1:64" ht="24.75" customHeight="1" x14ac:dyDescent="0.25">
      <c r="A5" s="460" t="s">
        <v>122</v>
      </c>
      <c r="B5" s="471" t="s">
        <v>123</v>
      </c>
      <c r="C5" s="471" t="s">
        <v>124</v>
      </c>
      <c r="D5" s="474" t="s">
        <v>125</v>
      </c>
      <c r="F5" s="495"/>
      <c r="G5" s="467"/>
      <c r="H5" s="467"/>
      <c r="I5" s="467"/>
      <c r="J5" s="467"/>
      <c r="K5" s="467"/>
      <c r="L5" s="467"/>
      <c r="M5" s="467"/>
      <c r="N5" s="467"/>
      <c r="O5" s="467"/>
      <c r="P5" s="467"/>
      <c r="Q5" s="467"/>
      <c r="R5" s="467"/>
      <c r="S5" s="467"/>
      <c r="T5" s="467"/>
      <c r="U5" s="467"/>
      <c r="V5" s="467"/>
      <c r="W5" s="467"/>
      <c r="X5" s="467"/>
      <c r="Y5" s="467"/>
      <c r="Z5" s="467"/>
      <c r="AA5" s="467"/>
      <c r="AB5" s="444"/>
      <c r="AC5" s="444"/>
      <c r="AD5" s="444"/>
      <c r="AE5" s="444"/>
      <c r="AF5" s="416"/>
      <c r="AH5" s="29" t="s">
        <v>126</v>
      </c>
      <c r="AI5" s="29" t="s">
        <v>126</v>
      </c>
      <c r="AK5" s="9" t="s">
        <v>127</v>
      </c>
      <c r="AL5" s="17">
        <v>46161.483292306533</v>
      </c>
      <c r="AM5" s="17">
        <v>46149</v>
      </c>
      <c r="AN5" s="17">
        <v>46142</v>
      </c>
      <c r="AO5" s="17">
        <v>46114</v>
      </c>
      <c r="AP5" s="17">
        <v>46107</v>
      </c>
      <c r="AQ5" s="17">
        <v>46099</v>
      </c>
      <c r="AR5" s="294">
        <v>46065</v>
      </c>
      <c r="AS5" s="17">
        <v>46092</v>
      </c>
      <c r="AT5" s="17">
        <v>46084</v>
      </c>
      <c r="AU5" s="294">
        <v>46065</v>
      </c>
      <c r="AV5" s="292">
        <v>46045</v>
      </c>
      <c r="AW5" s="17">
        <v>46077</v>
      </c>
      <c r="AX5" s="17">
        <v>46071</v>
      </c>
      <c r="AY5" s="17">
        <v>46056</v>
      </c>
      <c r="AZ5" s="17">
        <v>46048</v>
      </c>
      <c r="BA5" s="17">
        <v>46029</v>
      </c>
      <c r="BB5" s="17">
        <v>46029</v>
      </c>
      <c r="BC5" s="17">
        <v>46043</v>
      </c>
      <c r="BD5" s="17">
        <v>46029</v>
      </c>
      <c r="BE5" s="17">
        <v>46017</v>
      </c>
      <c r="BF5" s="17">
        <v>46007</v>
      </c>
      <c r="BG5" s="17">
        <v>46001</v>
      </c>
      <c r="BH5" s="17">
        <v>46001</v>
      </c>
      <c r="BI5" s="207" t="s">
        <v>128</v>
      </c>
      <c r="BJ5" s="17">
        <v>45994</v>
      </c>
      <c r="BK5" s="17">
        <v>45986</v>
      </c>
      <c r="BL5" s="17">
        <v>45986</v>
      </c>
    </row>
    <row r="6" spans="1:64" s="3" customFormat="1" ht="18.75" x14ac:dyDescent="0.3">
      <c r="A6" s="461"/>
      <c r="B6" s="461"/>
      <c r="C6" s="461"/>
      <c r="D6" s="461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13">
        <v>46160</v>
      </c>
      <c r="AB6" s="13">
        <v>46161.480133611112</v>
      </c>
      <c r="AC6" s="13">
        <v>46161.480807268519</v>
      </c>
      <c r="AD6" s="13">
        <v>46161.482964305556</v>
      </c>
      <c r="AE6" s="13">
        <v>46161.483293017358</v>
      </c>
      <c r="AF6" s="149" t="s">
        <v>129</v>
      </c>
      <c r="AG6" s="30"/>
      <c r="AH6" s="18"/>
      <c r="AI6" s="18">
        <v>46149</v>
      </c>
      <c r="AJ6" s="31"/>
      <c r="AK6" s="179">
        <v>46155</v>
      </c>
      <c r="AL6" s="17">
        <v>46161.483292306802</v>
      </c>
      <c r="AM6" s="17">
        <v>46154</v>
      </c>
      <c r="AN6" s="17">
        <v>46149</v>
      </c>
      <c r="AO6" s="17">
        <v>46125</v>
      </c>
      <c r="AP6" s="17">
        <v>46112</v>
      </c>
      <c r="AQ6" s="17">
        <v>46106</v>
      </c>
      <c r="AR6" s="294">
        <v>46104</v>
      </c>
      <c r="AS6" s="17">
        <v>46100</v>
      </c>
      <c r="AT6" s="17">
        <v>46090</v>
      </c>
      <c r="AU6" s="294">
        <v>46087</v>
      </c>
      <c r="AV6" s="292">
        <v>46087</v>
      </c>
      <c r="AW6" s="17">
        <v>46084</v>
      </c>
      <c r="AX6" s="17">
        <v>46077</v>
      </c>
      <c r="AY6" s="17">
        <v>46064</v>
      </c>
      <c r="AZ6" s="17">
        <v>46057</v>
      </c>
      <c r="BA6" s="17">
        <v>46041</v>
      </c>
      <c r="BB6" s="17">
        <v>46045</v>
      </c>
      <c r="BC6" s="17">
        <v>46049</v>
      </c>
      <c r="BD6" s="17">
        <v>46041</v>
      </c>
      <c r="BE6" s="17">
        <v>46028</v>
      </c>
      <c r="BF6" s="17">
        <v>46014</v>
      </c>
      <c r="BG6" s="17">
        <v>46010</v>
      </c>
      <c r="BH6" s="17">
        <v>46006</v>
      </c>
      <c r="BI6" s="207">
        <v>46014</v>
      </c>
      <c r="BJ6" s="17">
        <v>46001</v>
      </c>
      <c r="BK6" s="17">
        <v>46000</v>
      </c>
      <c r="BL6" s="17">
        <v>45994</v>
      </c>
    </row>
    <row r="7" spans="1:64" s="3" customFormat="1" ht="21.75" customHeight="1" x14ac:dyDescent="0.3">
      <c r="A7" s="20" t="s">
        <v>426</v>
      </c>
      <c r="B7" s="4"/>
      <c r="C7" s="5"/>
      <c r="D7" s="233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1"/>
      <c r="AH7" s="84"/>
      <c r="AI7" s="84"/>
      <c r="AJ7" s="11"/>
      <c r="AK7" s="111"/>
      <c r="AL7" s="114"/>
      <c r="AM7" s="114"/>
      <c r="AN7" s="114"/>
      <c r="AO7" s="114"/>
      <c r="AP7" s="114"/>
      <c r="AQ7" s="114"/>
      <c r="AR7" s="114" t="s">
        <v>131</v>
      </c>
      <c r="AS7" s="114"/>
      <c r="AT7" s="114"/>
      <c r="AU7" s="114" t="s">
        <v>131</v>
      </c>
      <c r="AV7" s="114" t="s">
        <v>131</v>
      </c>
      <c r="AW7" s="114"/>
      <c r="AX7" s="114"/>
      <c r="AY7" s="114"/>
      <c r="AZ7" s="114"/>
      <c r="BA7" s="114"/>
      <c r="BB7" s="114"/>
      <c r="BC7" s="114"/>
      <c r="BD7" s="114"/>
      <c r="BE7" s="114"/>
      <c r="BF7" s="114"/>
      <c r="BG7" s="114"/>
      <c r="BH7" s="114"/>
      <c r="BI7" s="114"/>
      <c r="BJ7" s="114"/>
      <c r="BK7" s="114"/>
      <c r="BL7" s="114"/>
    </row>
    <row r="8" spans="1:64" s="3" customFormat="1" ht="18.75" x14ac:dyDescent="0.3">
      <c r="A8" s="21" t="s">
        <v>132</v>
      </c>
      <c r="B8" s="6">
        <v>300</v>
      </c>
      <c r="C8" s="82">
        <v>178.21</v>
      </c>
      <c r="D8" s="234">
        <v>1000</v>
      </c>
      <c r="E8" s="11"/>
      <c r="F8" s="122">
        <v>2400</v>
      </c>
      <c r="G8" s="122">
        <v>2400</v>
      </c>
      <c r="H8" s="122">
        <v>1800</v>
      </c>
      <c r="I8" s="122">
        <v>1800</v>
      </c>
      <c r="J8" s="122">
        <f>1500+AZ8</f>
        <v>1500</v>
      </c>
      <c r="K8" s="122">
        <v>1800</v>
      </c>
      <c r="L8" s="122">
        <v>1500</v>
      </c>
      <c r="M8" s="122">
        <v>1500</v>
      </c>
      <c r="N8" s="122">
        <v>1200</v>
      </c>
      <c r="O8" s="122">
        <v>1200</v>
      </c>
      <c r="P8" s="122">
        <v>900</v>
      </c>
      <c r="Q8" s="122">
        <f>600+AP8</f>
        <v>600</v>
      </c>
      <c r="R8" s="122">
        <f>600+AO8</f>
        <v>1500</v>
      </c>
      <c r="S8" s="122">
        <v>900</v>
      </c>
      <c r="T8" s="122">
        <v>600</v>
      </c>
      <c r="U8" s="122">
        <v>300</v>
      </c>
      <c r="V8" s="122">
        <v>300</v>
      </c>
      <c r="W8" s="122">
        <v>600</v>
      </c>
      <c r="X8" s="122">
        <v>300</v>
      </c>
      <c r="Y8" s="122">
        <f>0+AJ8</f>
        <v>0</v>
      </c>
      <c r="Z8" s="122">
        <v>900</v>
      </c>
      <c r="AA8" s="122"/>
      <c r="AB8" s="83"/>
      <c r="AC8" s="83"/>
      <c r="AD8" s="83"/>
      <c r="AE8" s="83"/>
      <c r="AF8" s="372">
        <f ca="1">AD8+IF(NOT(ISBLANK(OFFSET(AF8,0,6))),N(OFFSET(AF8,0,6)),N(OFFSET(AF8,0,7)))-AE8</f>
        <v>0</v>
      </c>
      <c r="AG8" s="11"/>
      <c r="AH8" s="78"/>
      <c r="AI8" s="78"/>
      <c r="AJ8" s="11"/>
      <c r="AK8" s="32"/>
      <c r="AL8" s="445">
        <v>0</v>
      </c>
      <c r="AM8" s="19">
        <v>0</v>
      </c>
      <c r="AN8" s="19">
        <v>900</v>
      </c>
      <c r="AO8" s="19">
        <v>900</v>
      </c>
      <c r="AP8" s="19"/>
      <c r="AQ8" s="19"/>
      <c r="AR8" s="19"/>
      <c r="AS8" s="19">
        <v>300</v>
      </c>
      <c r="AT8" s="19">
        <v>300</v>
      </c>
      <c r="AU8" s="19"/>
      <c r="AV8" s="19"/>
      <c r="AW8" s="19"/>
      <c r="AX8" s="19"/>
      <c r="AY8" s="19"/>
      <c r="AZ8" s="19"/>
      <c r="BA8" s="19"/>
      <c r="BB8" s="19"/>
      <c r="BC8" s="19"/>
      <c r="BD8" s="19">
        <v>600</v>
      </c>
      <c r="BE8" s="19"/>
      <c r="BF8" s="19"/>
      <c r="BG8" s="19"/>
      <c r="BH8" s="19"/>
      <c r="BI8" s="19"/>
      <c r="BJ8" s="19">
        <v>1800</v>
      </c>
      <c r="BK8" s="19"/>
      <c r="BL8" s="19"/>
    </row>
    <row r="9" spans="1:64" s="3" customFormat="1" ht="18.75" x14ac:dyDescent="0.3">
      <c r="A9" s="21" t="s">
        <v>134</v>
      </c>
      <c r="B9" s="6">
        <v>200</v>
      </c>
      <c r="C9" s="82">
        <v>183.89</v>
      </c>
      <c r="D9" s="234">
        <v>2400</v>
      </c>
      <c r="E9" s="11"/>
      <c r="F9" s="122">
        <v>3600</v>
      </c>
      <c r="G9" s="122">
        <v>2800</v>
      </c>
      <c r="H9" s="122">
        <f>1800+BA9</f>
        <v>1800</v>
      </c>
      <c r="I9" s="122">
        <v>2800</v>
      </c>
      <c r="J9" s="122">
        <f>1600+AZ9</f>
        <v>2800</v>
      </c>
      <c r="K9" s="122">
        <f>1400+AY9</f>
        <v>2600</v>
      </c>
      <c r="L9" s="122">
        <f>2800+AV9</f>
        <v>2800</v>
      </c>
      <c r="M9" s="122">
        <f>3800+AU9</f>
        <v>3800</v>
      </c>
      <c r="N9" s="122">
        <v>4000</v>
      </c>
      <c r="O9" s="122">
        <f>2600+AT9</f>
        <v>2600</v>
      </c>
      <c r="P9" s="122">
        <f>5600+AS9</f>
        <v>8600</v>
      </c>
      <c r="Q9" s="122">
        <v>4000</v>
      </c>
      <c r="R9" s="122">
        <f>4000+AO9</f>
        <v>6000</v>
      </c>
      <c r="S9" s="122">
        <v>6800</v>
      </c>
      <c r="T9" s="122">
        <v>5800</v>
      </c>
      <c r="U9" s="122">
        <v>5000</v>
      </c>
      <c r="V9" s="122">
        <v>4200</v>
      </c>
      <c r="W9" s="122">
        <v>4800</v>
      </c>
      <c r="X9" s="122">
        <v>4800</v>
      </c>
      <c r="Y9" s="122">
        <v>4800</v>
      </c>
      <c r="Z9" s="122">
        <v>400</v>
      </c>
      <c r="AA9" s="122"/>
      <c r="AB9" s="83"/>
      <c r="AC9" s="83"/>
      <c r="AD9" s="83"/>
      <c r="AE9" s="83"/>
      <c r="AF9" s="372">
        <f ca="1">AD9+IF(NOT(ISBLANK(OFFSET(AF9,0,6))),N(OFFSET(AF9,0,6)),N(OFFSET(AF9,0,7)))-AE9</f>
        <v>0</v>
      </c>
      <c r="AG9" s="11"/>
      <c r="AH9" s="78"/>
      <c r="AI9" s="78"/>
      <c r="AJ9" s="11"/>
      <c r="AK9" s="32">
        <v>2000</v>
      </c>
      <c r="AL9" s="445">
        <v>0</v>
      </c>
      <c r="AM9" s="19">
        <v>0</v>
      </c>
      <c r="AN9" s="19">
        <v>0</v>
      </c>
      <c r="AO9" s="19">
        <v>2000</v>
      </c>
      <c r="AP9" s="19"/>
      <c r="AQ9" s="19"/>
      <c r="AR9" s="244">
        <v>4000</v>
      </c>
      <c r="AS9" s="19">
        <v>3000</v>
      </c>
      <c r="AT9" s="19"/>
      <c r="AU9" s="19"/>
      <c r="AV9" s="19"/>
      <c r="AW9" s="19">
        <v>1400</v>
      </c>
      <c r="AX9" s="19">
        <v>4000</v>
      </c>
      <c r="AY9" s="19">
        <v>1200</v>
      </c>
      <c r="AZ9" s="19">
        <v>1200</v>
      </c>
      <c r="BA9" s="19"/>
      <c r="BB9" s="19"/>
      <c r="BC9" s="19">
        <v>2400</v>
      </c>
      <c r="BD9" s="19">
        <v>1000</v>
      </c>
      <c r="BE9" s="19">
        <v>2000</v>
      </c>
      <c r="BF9" s="19"/>
      <c r="BG9" s="19"/>
      <c r="BH9" s="19"/>
      <c r="BI9" s="253" t="s">
        <v>135</v>
      </c>
      <c r="BJ9" s="19">
        <v>4000</v>
      </c>
      <c r="BK9" s="19">
        <v>1000</v>
      </c>
      <c r="BL9" s="19"/>
    </row>
    <row r="10" spans="1:64" s="3" customFormat="1" ht="18.75" x14ac:dyDescent="0.3">
      <c r="A10" s="21" t="s">
        <v>137</v>
      </c>
      <c r="B10" s="6">
        <v>200</v>
      </c>
      <c r="C10" s="82">
        <v>241.74</v>
      </c>
      <c r="D10" s="238">
        <v>800</v>
      </c>
      <c r="E10" s="11"/>
      <c r="F10" s="122">
        <v>2600</v>
      </c>
      <c r="G10" s="122">
        <v>2400</v>
      </c>
      <c r="H10" s="122">
        <v>2200</v>
      </c>
      <c r="I10" s="122">
        <v>2000</v>
      </c>
      <c r="J10" s="122">
        <f>2000+AZ10</f>
        <v>2000</v>
      </c>
      <c r="K10" s="122">
        <v>2200</v>
      </c>
      <c r="L10" s="122">
        <v>2200</v>
      </c>
      <c r="M10" s="122">
        <v>2200</v>
      </c>
      <c r="N10" s="122">
        <v>1800</v>
      </c>
      <c r="O10" s="122">
        <v>1800</v>
      </c>
      <c r="P10" s="122">
        <f>1800+AS10</f>
        <v>1800</v>
      </c>
      <c r="Q10" s="122">
        <v>1400</v>
      </c>
      <c r="R10" s="122">
        <v>1400</v>
      </c>
      <c r="S10" s="122">
        <v>1200</v>
      </c>
      <c r="T10" s="122">
        <v>1200</v>
      </c>
      <c r="U10" s="122">
        <v>1000</v>
      </c>
      <c r="V10" s="122">
        <v>800</v>
      </c>
      <c r="W10" s="122">
        <v>800</v>
      </c>
      <c r="X10" s="122">
        <v>800</v>
      </c>
      <c r="Y10" s="122">
        <v>800</v>
      </c>
      <c r="Z10" s="122">
        <v>800</v>
      </c>
      <c r="AA10" s="122"/>
      <c r="AB10" s="83"/>
      <c r="AC10" s="83"/>
      <c r="AD10" s="83"/>
      <c r="AE10" s="83"/>
      <c r="AF10" s="372">
        <f ca="1">AD10+IF(NOT(ISBLANK(OFFSET(AF10,0,6))),N(OFFSET(AF10,0,6)),N(OFFSET(AF10,0,7)))-AE10</f>
        <v>0</v>
      </c>
      <c r="AG10" s="11"/>
      <c r="AH10" s="78"/>
      <c r="AI10" s="78"/>
      <c r="AJ10" s="11"/>
      <c r="AK10" s="32"/>
      <c r="AL10" s="445">
        <v>0</v>
      </c>
      <c r="AM10" s="19">
        <v>0</v>
      </c>
      <c r="AN10" s="19">
        <v>0</v>
      </c>
      <c r="AO10" s="19"/>
      <c r="AP10" s="19"/>
      <c r="AQ10" s="19"/>
      <c r="AR10" s="244">
        <v>2200</v>
      </c>
      <c r="AS10" s="19"/>
      <c r="AT10" s="19"/>
      <c r="AU10" s="19"/>
      <c r="AV10" s="293">
        <v>2100</v>
      </c>
      <c r="AW10" s="19">
        <v>400</v>
      </c>
      <c r="AX10" s="19"/>
      <c r="AY10" s="19"/>
      <c r="AZ10" s="19"/>
      <c r="BA10" s="19"/>
      <c r="BB10" s="19"/>
      <c r="BC10" s="19"/>
      <c r="BD10" s="19">
        <v>400</v>
      </c>
      <c r="BE10" s="19"/>
      <c r="BF10" s="19"/>
      <c r="BG10" s="19"/>
      <c r="BH10" s="19"/>
      <c r="BI10" s="19"/>
      <c r="BJ10" s="19">
        <v>1000</v>
      </c>
      <c r="BK10" s="19">
        <v>800</v>
      </c>
      <c r="BL10" s="19"/>
    </row>
    <row r="11" spans="1:64" s="3" customFormat="1" ht="19.5" customHeight="1" x14ac:dyDescent="0.3">
      <c r="A11" s="22" t="s">
        <v>139</v>
      </c>
      <c r="B11" s="6">
        <v>100</v>
      </c>
      <c r="C11" s="82">
        <v>175.78</v>
      </c>
      <c r="D11" s="234">
        <v>300</v>
      </c>
      <c r="E11" s="11"/>
      <c r="F11" s="39">
        <v>300</v>
      </c>
      <c r="G11" s="39">
        <v>100</v>
      </c>
      <c r="H11" s="39">
        <v>0</v>
      </c>
      <c r="I11" s="39">
        <v>0</v>
      </c>
      <c r="J11" s="39">
        <f>0+AZ11</f>
        <v>0</v>
      </c>
      <c r="K11" s="39">
        <v>500</v>
      </c>
      <c r="L11" s="39">
        <v>500</v>
      </c>
      <c r="M11" s="39">
        <v>500</v>
      </c>
      <c r="N11" s="39">
        <v>400</v>
      </c>
      <c r="O11" s="39">
        <v>400</v>
      </c>
      <c r="P11" s="39">
        <f>200+AS11</f>
        <v>200</v>
      </c>
      <c r="Q11" s="39">
        <f>500+AP11</f>
        <v>500</v>
      </c>
      <c r="R11" s="39">
        <v>800</v>
      </c>
      <c r="S11" s="39">
        <v>800</v>
      </c>
      <c r="T11" s="39">
        <v>600</v>
      </c>
      <c r="U11" s="39">
        <v>600</v>
      </c>
      <c r="V11" s="39">
        <v>500</v>
      </c>
      <c r="W11" s="39">
        <v>900</v>
      </c>
      <c r="X11" s="39">
        <v>900</v>
      </c>
      <c r="Y11" s="39">
        <v>900</v>
      </c>
      <c r="Z11" s="39">
        <v>900</v>
      </c>
      <c r="AA11" s="39"/>
      <c r="AB11" s="6"/>
      <c r="AC11" s="6"/>
      <c r="AD11" s="6"/>
      <c r="AE11" s="6"/>
      <c r="AF11" s="372">
        <f ca="1">AD11+IF(NOT(ISBLANK(OFFSET(AF11,0,6))),N(OFFSET(AF11,0,6)),N(OFFSET(AF11,0,7)))-AE11</f>
        <v>0</v>
      </c>
      <c r="AG11" s="11"/>
      <c r="AH11" s="78"/>
      <c r="AI11" s="78"/>
      <c r="AJ11" s="11"/>
      <c r="AK11" s="32"/>
      <c r="AL11" s="445">
        <v>0</v>
      </c>
      <c r="AM11" s="19">
        <v>0</v>
      </c>
      <c r="AN11" s="19">
        <v>0</v>
      </c>
      <c r="AO11" s="19">
        <v>400</v>
      </c>
      <c r="AP11" s="19"/>
      <c r="AQ11" s="19"/>
      <c r="AR11" s="244">
        <v>800</v>
      </c>
      <c r="AS11" s="19"/>
      <c r="AT11" s="19">
        <v>400</v>
      </c>
      <c r="AU11" s="19"/>
      <c r="AV11" s="19"/>
      <c r="AW11" s="19">
        <v>300</v>
      </c>
      <c r="AX11" s="19"/>
      <c r="AY11" s="19"/>
      <c r="AZ11" s="19"/>
      <c r="BA11" s="19"/>
      <c r="BB11" s="19"/>
      <c r="BC11" s="19"/>
      <c r="BD11" s="19">
        <v>500</v>
      </c>
      <c r="BE11" s="19"/>
      <c r="BF11" s="19"/>
      <c r="BG11" s="19"/>
      <c r="BH11" s="19"/>
      <c r="BI11" s="253" t="s">
        <v>427</v>
      </c>
      <c r="BJ11" s="19">
        <v>300</v>
      </c>
      <c r="BK11" s="19">
        <v>200</v>
      </c>
      <c r="BL11" s="19"/>
    </row>
    <row r="12" spans="1:64" s="3" customFormat="1" ht="19.5" customHeight="1" x14ac:dyDescent="0.3">
      <c r="A12" s="129"/>
      <c r="B12" s="130"/>
      <c r="C12" s="67"/>
      <c r="D12" s="67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1"/>
      <c r="AC12" s="1"/>
      <c r="AD12" s="1"/>
      <c r="AE12" s="1"/>
      <c r="AF12" s="2"/>
      <c r="AG12" s="11"/>
      <c r="AH12" s="10"/>
      <c r="AI12" s="10"/>
      <c r="AJ12" s="11"/>
      <c r="AK12" s="33"/>
      <c r="AL12" s="388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A12" s="75"/>
      <c r="BB12" s="75"/>
      <c r="BC12" s="75"/>
      <c r="BD12" s="75"/>
      <c r="BE12" s="75"/>
      <c r="BF12" s="75"/>
      <c r="BG12" s="75"/>
      <c r="BH12" s="75"/>
      <c r="BI12" s="75"/>
      <c r="BJ12" s="75"/>
      <c r="BK12" s="75"/>
      <c r="BL12" s="75"/>
    </row>
    <row r="13" spans="1:64" s="3" customFormat="1" ht="18.75" customHeight="1" x14ac:dyDescent="0.25">
      <c r="A13" s="24" t="s">
        <v>428</v>
      </c>
      <c r="B13" s="12" t="s">
        <v>151</v>
      </c>
      <c r="C13" s="65" t="s">
        <v>152</v>
      </c>
      <c r="D13" s="12" t="s">
        <v>125</v>
      </c>
      <c r="E13" s="1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13">
        <v>46160</v>
      </c>
      <c r="AB13" s="13">
        <v>46161.480133611112</v>
      </c>
      <c r="AC13" s="13">
        <v>46161.480807268519</v>
      </c>
      <c r="AD13" s="13">
        <v>46161.482964305556</v>
      </c>
      <c r="AE13" s="13">
        <v>46161.4832930177</v>
      </c>
      <c r="AF13" s="149" t="s">
        <v>129</v>
      </c>
      <c r="AH13" s="29" t="s">
        <v>126</v>
      </c>
      <c r="AI13" s="29" t="s">
        <v>126</v>
      </c>
      <c r="AJ13" s="126"/>
      <c r="AK13" s="9" t="s">
        <v>127</v>
      </c>
      <c r="AL13" s="17">
        <v>46161.483292307137</v>
      </c>
      <c r="AM13" s="17">
        <v>46149</v>
      </c>
      <c r="AN13" s="17">
        <v>46142</v>
      </c>
      <c r="AO13" s="17">
        <v>46114</v>
      </c>
      <c r="AP13" s="17">
        <v>46107</v>
      </c>
      <c r="AQ13" s="17">
        <v>46099</v>
      </c>
      <c r="AR13" s="294">
        <v>46065</v>
      </c>
      <c r="AS13" s="17">
        <v>46092</v>
      </c>
      <c r="AT13" s="17">
        <v>46084</v>
      </c>
      <c r="AU13" s="294">
        <v>46065</v>
      </c>
      <c r="AV13" s="292">
        <v>46045</v>
      </c>
      <c r="AW13" s="17">
        <v>46077</v>
      </c>
      <c r="AX13" s="17">
        <v>46071</v>
      </c>
      <c r="AY13" s="17">
        <v>46056</v>
      </c>
      <c r="AZ13" s="17">
        <v>46048</v>
      </c>
      <c r="BA13" s="17">
        <v>46029</v>
      </c>
      <c r="BB13" s="17">
        <v>46029</v>
      </c>
      <c r="BC13" s="17">
        <v>46043</v>
      </c>
      <c r="BD13" s="17">
        <v>46029</v>
      </c>
      <c r="BE13" s="17">
        <v>46017</v>
      </c>
      <c r="BF13" s="17">
        <v>46007</v>
      </c>
      <c r="BG13" s="17">
        <v>46001</v>
      </c>
      <c r="BH13" s="17">
        <v>46001</v>
      </c>
      <c r="BI13" s="207">
        <v>46014</v>
      </c>
      <c r="BJ13" s="17">
        <v>45994</v>
      </c>
      <c r="BK13" s="17">
        <v>45986</v>
      </c>
      <c r="BL13" s="17">
        <v>45986</v>
      </c>
    </row>
    <row r="14" spans="1:64" s="3" customFormat="1" ht="18.75" customHeight="1" x14ac:dyDescent="0.25">
      <c r="A14" s="25" t="s">
        <v>429</v>
      </c>
      <c r="B14" s="6">
        <v>300</v>
      </c>
      <c r="C14" s="66">
        <v>216</v>
      </c>
      <c r="D14" s="234">
        <v>300</v>
      </c>
      <c r="E14" s="1"/>
      <c r="F14" s="128">
        <v>460</v>
      </c>
      <c r="G14" s="128">
        <v>424</v>
      </c>
      <c r="H14" s="128">
        <v>397</v>
      </c>
      <c r="I14" s="128">
        <v>357</v>
      </c>
      <c r="J14" s="128">
        <v>357</v>
      </c>
      <c r="K14" s="128">
        <v>326</v>
      </c>
      <c r="L14" s="128">
        <v>301</v>
      </c>
      <c r="M14" s="128">
        <v>261</v>
      </c>
      <c r="N14" s="128">
        <v>287</v>
      </c>
      <c r="O14" s="128">
        <v>262</v>
      </c>
      <c r="P14" s="128">
        <f>240+AS14</f>
        <v>240</v>
      </c>
      <c r="Q14" s="128">
        <v>495</v>
      </c>
      <c r="R14" s="128">
        <v>484</v>
      </c>
      <c r="S14" s="128">
        <v>436</v>
      </c>
      <c r="T14" s="128">
        <v>411</v>
      </c>
      <c r="U14" s="128"/>
      <c r="V14" s="128"/>
      <c r="W14" s="128"/>
      <c r="X14" s="128"/>
      <c r="Y14" s="128"/>
      <c r="Z14" s="128">
        <v>190</v>
      </c>
      <c r="AA14" s="128">
        <v>147</v>
      </c>
      <c r="AB14" s="456">
        <v>147</v>
      </c>
      <c r="AC14" s="456">
        <v>147</v>
      </c>
      <c r="AD14" s="456">
        <v>147</v>
      </c>
      <c r="AE14" s="456">
        <v>147</v>
      </c>
      <c r="AF14" s="372">
        <f ca="1">AD14+IF(NOT(ISBLANK(OFFSET(AF14,0,6))),N(OFFSET(AF14,0,6)),N(OFFSET(AF14,0,7)))-AE14</f>
        <v>0</v>
      </c>
      <c r="AH14" s="78"/>
      <c r="AI14" s="78"/>
      <c r="AJ14" s="126"/>
      <c r="AK14" s="32"/>
      <c r="AL14" s="445">
        <v>0</v>
      </c>
      <c r="AM14" s="19">
        <v>0</v>
      </c>
      <c r="AN14" s="19">
        <v>0</v>
      </c>
      <c r="AO14" s="19"/>
      <c r="AP14" s="19"/>
      <c r="AQ14" s="19"/>
      <c r="AR14" s="19"/>
      <c r="AS14" s="19"/>
      <c r="AT14" s="19"/>
      <c r="AU14" s="19"/>
      <c r="AV14" s="19"/>
      <c r="AW14" s="19">
        <v>300</v>
      </c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>
        <v>600</v>
      </c>
    </row>
    <row r="15" spans="1:64" s="3" customFormat="1" ht="18.75" customHeight="1" x14ac:dyDescent="0.25">
      <c r="A15" s="25" t="s">
        <v>430</v>
      </c>
      <c r="B15" s="6">
        <v>200</v>
      </c>
      <c r="C15" s="66">
        <v>246.28</v>
      </c>
      <c r="D15" s="234">
        <v>400</v>
      </c>
      <c r="E15" s="1"/>
      <c r="F15" s="39">
        <v>378</v>
      </c>
      <c r="G15" s="39">
        <v>347</v>
      </c>
      <c r="H15" s="39">
        <v>321</v>
      </c>
      <c r="I15" s="39">
        <v>312</v>
      </c>
      <c r="J15" s="39">
        <v>304</v>
      </c>
      <c r="K15" s="39">
        <v>304</v>
      </c>
      <c r="L15" s="39">
        <v>274</v>
      </c>
      <c r="M15" s="39">
        <f>248+AU15</f>
        <v>248</v>
      </c>
      <c r="N15" s="39">
        <v>448</v>
      </c>
      <c r="O15" s="39">
        <v>437</v>
      </c>
      <c r="P15" s="39">
        <v>409</v>
      </c>
      <c r="Q15" s="39">
        <v>374</v>
      </c>
      <c r="R15" s="39">
        <v>312</v>
      </c>
      <c r="S15" s="39">
        <v>236</v>
      </c>
      <c r="T15" s="39">
        <v>167</v>
      </c>
      <c r="U15" s="39"/>
      <c r="V15" s="39"/>
      <c r="W15" s="39"/>
      <c r="X15" s="39"/>
      <c r="Y15" s="39"/>
      <c r="Z15" s="39">
        <v>0</v>
      </c>
      <c r="AA15" s="39">
        <v>0</v>
      </c>
      <c r="AB15" s="6">
        <v>0</v>
      </c>
      <c r="AC15" s="6">
        <v>0</v>
      </c>
      <c r="AD15" s="6">
        <v>0</v>
      </c>
      <c r="AE15" s="6">
        <v>0</v>
      </c>
      <c r="AF15" s="372">
        <f ca="1">AD15+IF(NOT(ISBLANK(OFFSET(AF15,0,6))),N(OFFSET(AF15,0,6)),N(OFFSET(AF15,0,7)))-AE15</f>
        <v>0</v>
      </c>
      <c r="AH15" s="78"/>
      <c r="AI15" s="78"/>
      <c r="AJ15" s="126"/>
      <c r="AK15" s="32">
        <v>200</v>
      </c>
      <c r="AL15" s="445">
        <v>0</v>
      </c>
      <c r="AM15" s="19">
        <v>0</v>
      </c>
      <c r="AN15" s="19">
        <v>0</v>
      </c>
      <c r="AO15" s="19"/>
      <c r="AP15" s="19"/>
      <c r="AQ15" s="19"/>
      <c r="AR15" s="244">
        <v>400</v>
      </c>
      <c r="AS15" s="19"/>
      <c r="AT15" s="19"/>
      <c r="AU15" s="19"/>
      <c r="AV15" s="19"/>
      <c r="AW15" s="19"/>
      <c r="AX15" s="19"/>
      <c r="AY15" s="19">
        <v>200</v>
      </c>
      <c r="AZ15" s="19"/>
      <c r="BA15" s="19"/>
      <c r="BB15" s="19"/>
      <c r="BC15" s="19"/>
      <c r="BD15" s="19"/>
      <c r="BE15" s="19"/>
      <c r="BF15" s="19"/>
      <c r="BG15" s="19">
        <v>200</v>
      </c>
      <c r="BH15" s="19"/>
      <c r="BI15" s="19"/>
      <c r="BJ15" s="19"/>
      <c r="BK15" s="19"/>
      <c r="BL15" s="19">
        <v>200</v>
      </c>
    </row>
    <row r="16" spans="1:64" s="3" customFormat="1" ht="18.75" customHeight="1" x14ac:dyDescent="0.25">
      <c r="A16" s="25" t="s">
        <v>431</v>
      </c>
      <c r="B16" s="6">
        <v>200</v>
      </c>
      <c r="C16" s="66">
        <v>316.91000000000003</v>
      </c>
      <c r="D16" s="234">
        <v>200</v>
      </c>
      <c r="E16" s="1"/>
      <c r="F16" s="39">
        <v>72</v>
      </c>
      <c r="G16" s="39">
        <v>38</v>
      </c>
      <c r="H16" s="39">
        <v>19</v>
      </c>
      <c r="I16" s="39">
        <v>17</v>
      </c>
      <c r="J16" s="39">
        <v>16</v>
      </c>
      <c r="K16" s="39">
        <v>16</v>
      </c>
      <c r="L16" s="39">
        <v>9</v>
      </c>
      <c r="M16" s="39">
        <f>0+AU16</f>
        <v>0</v>
      </c>
      <c r="N16" s="39">
        <v>200</v>
      </c>
      <c r="O16" s="39">
        <v>197</v>
      </c>
      <c r="P16" s="39">
        <v>188</v>
      </c>
      <c r="Q16" s="39">
        <v>160</v>
      </c>
      <c r="R16" s="39">
        <v>143</v>
      </c>
      <c r="S16" s="39">
        <v>112</v>
      </c>
      <c r="T16" s="39">
        <v>93</v>
      </c>
      <c r="U16" s="39"/>
      <c r="V16" s="39"/>
      <c r="W16" s="39"/>
      <c r="X16" s="39"/>
      <c r="Y16" s="39"/>
      <c r="Z16" s="39">
        <v>0</v>
      </c>
      <c r="AA16" s="39">
        <v>0</v>
      </c>
      <c r="AB16" s="6">
        <v>0</v>
      </c>
      <c r="AC16" s="6">
        <v>0</v>
      </c>
      <c r="AD16" s="6">
        <v>0</v>
      </c>
      <c r="AE16" s="6">
        <v>0</v>
      </c>
      <c r="AF16" s="372">
        <f ca="1">AD16+IF(NOT(ISBLANK(OFFSET(AF16,0,6))),N(OFFSET(AF16,0,6)),N(OFFSET(AF16,0,7)))-AE16</f>
        <v>0</v>
      </c>
      <c r="AH16" s="78"/>
      <c r="AI16" s="78"/>
      <c r="AJ16" s="126"/>
      <c r="AK16" s="32">
        <v>200</v>
      </c>
      <c r="AL16" s="445">
        <v>0</v>
      </c>
      <c r="AM16" s="19">
        <v>0</v>
      </c>
      <c r="AN16" s="19">
        <v>0</v>
      </c>
      <c r="AO16" s="19"/>
      <c r="AP16" s="19"/>
      <c r="AQ16" s="19"/>
      <c r="AR16" s="244">
        <v>200</v>
      </c>
      <c r="AS16" s="19"/>
      <c r="AT16" s="19"/>
      <c r="AU16" s="19"/>
      <c r="AV16" s="293">
        <v>600</v>
      </c>
      <c r="AW16" s="19"/>
      <c r="AX16" s="19"/>
      <c r="AY16" s="19">
        <v>200</v>
      </c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</row>
    <row r="17" spans="1:64" s="3" customFormat="1" ht="16.5" customHeight="1" x14ac:dyDescent="0.3">
      <c r="A17" s="23"/>
      <c r="B17" s="1"/>
      <c r="C17" s="64"/>
      <c r="D17" s="64"/>
      <c r="E17" s="11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1"/>
      <c r="AC17" s="1"/>
      <c r="AD17" s="1"/>
      <c r="AE17" s="1"/>
      <c r="AF17" s="2"/>
      <c r="AG17" s="11"/>
      <c r="AH17" s="10"/>
      <c r="AI17" s="10"/>
      <c r="AJ17" s="11"/>
      <c r="AK17" s="33"/>
      <c r="AL17" s="16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</row>
    <row r="18" spans="1:64" s="3" customFormat="1" ht="18.75" x14ac:dyDescent="0.3">
      <c r="A18" s="24" t="s">
        <v>432</v>
      </c>
      <c r="B18" s="12" t="s">
        <v>151</v>
      </c>
      <c r="C18" s="65" t="s">
        <v>152</v>
      </c>
      <c r="D18" s="12" t="s">
        <v>125</v>
      </c>
      <c r="E18" s="7"/>
      <c r="F18" s="13">
        <v>46013</v>
      </c>
      <c r="G18" s="13">
        <v>46020</v>
      </c>
      <c r="H18" s="13">
        <v>46027</v>
      </c>
      <c r="I18" s="13">
        <v>46034</v>
      </c>
      <c r="J18" s="13">
        <v>46041</v>
      </c>
      <c r="K18" s="13">
        <v>46048</v>
      </c>
      <c r="L18" s="13">
        <v>46055</v>
      </c>
      <c r="M18" s="13">
        <v>46062</v>
      </c>
      <c r="N18" s="13">
        <v>46069</v>
      </c>
      <c r="O18" s="13">
        <v>46076</v>
      </c>
      <c r="P18" s="13">
        <v>46083</v>
      </c>
      <c r="Q18" s="13">
        <v>46090</v>
      </c>
      <c r="R18" s="13">
        <v>46097</v>
      </c>
      <c r="S18" s="13">
        <v>46104</v>
      </c>
      <c r="T18" s="13">
        <v>46111</v>
      </c>
      <c r="U18" s="13">
        <v>46118</v>
      </c>
      <c r="V18" s="13">
        <v>46125</v>
      </c>
      <c r="W18" s="13">
        <v>46132</v>
      </c>
      <c r="X18" s="13">
        <v>46139</v>
      </c>
      <c r="Y18" s="13">
        <v>46146</v>
      </c>
      <c r="Z18" s="13">
        <v>46154</v>
      </c>
      <c r="AA18" s="13">
        <v>46160</v>
      </c>
      <c r="AB18" s="13">
        <v>46161.480133611112</v>
      </c>
      <c r="AC18" s="13">
        <v>46161.480807268519</v>
      </c>
      <c r="AD18" s="13">
        <v>46161.482964305556</v>
      </c>
      <c r="AE18" s="13">
        <v>46161.483293017918</v>
      </c>
      <c r="AF18" s="35" t="s">
        <v>129</v>
      </c>
      <c r="AG18" s="7"/>
      <c r="AH18" s="29" t="s">
        <v>126</v>
      </c>
      <c r="AI18" s="29" t="s">
        <v>126</v>
      </c>
      <c r="AJ18" s="11"/>
      <c r="AK18" s="9" t="s">
        <v>127</v>
      </c>
      <c r="AL18" s="457">
        <v>46161.483292307399</v>
      </c>
      <c r="AM18" s="17">
        <v>46149</v>
      </c>
      <c r="AN18" s="17">
        <v>46142</v>
      </c>
      <c r="AO18" s="17">
        <v>46114</v>
      </c>
      <c r="AP18" s="17">
        <v>46107</v>
      </c>
      <c r="AQ18" s="17">
        <v>46099</v>
      </c>
      <c r="AR18" s="294">
        <v>46065</v>
      </c>
      <c r="AS18" s="17">
        <v>46092</v>
      </c>
      <c r="AT18" s="17">
        <v>46084</v>
      </c>
      <c r="AU18" s="294">
        <v>46065</v>
      </c>
      <c r="AV18" s="292">
        <v>46045</v>
      </c>
      <c r="AW18" s="17">
        <v>46077</v>
      </c>
      <c r="AX18" s="17">
        <v>46071</v>
      </c>
      <c r="AY18" s="17">
        <v>46056</v>
      </c>
      <c r="AZ18" s="17">
        <v>46048</v>
      </c>
      <c r="BA18" s="17">
        <v>46029</v>
      </c>
      <c r="BB18" s="17">
        <v>46029</v>
      </c>
      <c r="BC18" s="17">
        <v>46043</v>
      </c>
      <c r="BD18" s="17">
        <v>46029</v>
      </c>
      <c r="BE18" s="17">
        <v>46017</v>
      </c>
      <c r="BF18" s="17">
        <v>46007</v>
      </c>
      <c r="BG18" s="17">
        <v>46001</v>
      </c>
      <c r="BH18" s="17">
        <v>46001</v>
      </c>
      <c r="BI18" s="207">
        <v>46014</v>
      </c>
      <c r="BJ18" s="17">
        <v>45994</v>
      </c>
      <c r="BK18" s="17">
        <v>45986</v>
      </c>
      <c r="BL18" s="17">
        <v>45986</v>
      </c>
    </row>
    <row r="19" spans="1:64" s="3" customFormat="1" ht="18.75" x14ac:dyDescent="0.3">
      <c r="A19" s="25" t="s">
        <v>142</v>
      </c>
      <c r="B19" s="6">
        <v>200</v>
      </c>
      <c r="C19" s="66">
        <v>38</v>
      </c>
      <c r="D19" s="234">
        <v>200</v>
      </c>
      <c r="E19" s="7"/>
      <c r="F19" s="39">
        <v>305</v>
      </c>
      <c r="G19" s="39">
        <v>295</v>
      </c>
      <c r="H19" s="39">
        <v>270</v>
      </c>
      <c r="I19" s="39">
        <v>223</v>
      </c>
      <c r="J19" s="39">
        <v>183</v>
      </c>
      <c r="K19" s="39">
        <f>174+AY19</f>
        <v>174</v>
      </c>
      <c r="L19" s="39">
        <v>374</v>
      </c>
      <c r="M19" s="39">
        <v>321</v>
      </c>
      <c r="N19" s="39">
        <v>307</v>
      </c>
      <c r="O19" s="39">
        <v>207</v>
      </c>
      <c r="P19" s="39">
        <f>162+AS19</f>
        <v>162</v>
      </c>
      <c r="Q19" s="39">
        <v>345</v>
      </c>
      <c r="R19" s="39">
        <v>345</v>
      </c>
      <c r="S19" s="39">
        <v>311</v>
      </c>
      <c r="T19" s="39">
        <v>301</v>
      </c>
      <c r="U19" s="39"/>
      <c r="V19" s="39"/>
      <c r="W19" s="39"/>
      <c r="X19" s="39"/>
      <c r="Y19" s="39"/>
      <c r="Z19" s="39">
        <v>0</v>
      </c>
      <c r="AA19" s="39">
        <v>0</v>
      </c>
      <c r="AB19" s="6">
        <v>0</v>
      </c>
      <c r="AC19" s="6">
        <v>0</v>
      </c>
      <c r="AD19" s="6">
        <v>0</v>
      </c>
      <c r="AE19" s="6">
        <v>0</v>
      </c>
      <c r="AF19" s="372">
        <f ca="1">AD19+IF(NOT(ISBLANK(OFFSET(AF19,0,6))),N(OFFSET(AF19,0,6)),N(OFFSET(AF19,0,7)))-AE19</f>
        <v>0</v>
      </c>
      <c r="AG19" s="7"/>
      <c r="AH19" s="134"/>
      <c r="AI19" s="134"/>
      <c r="AJ19" s="11"/>
      <c r="AK19" s="32">
        <v>200</v>
      </c>
      <c r="AL19" s="112">
        <v>0</v>
      </c>
      <c r="AM19" s="19">
        <v>0</v>
      </c>
      <c r="AN19" s="19">
        <v>0</v>
      </c>
      <c r="AO19" s="19"/>
      <c r="AP19" s="19"/>
      <c r="AQ19" s="19"/>
      <c r="AR19" s="244">
        <v>10</v>
      </c>
      <c r="AS19" s="19"/>
      <c r="AT19" s="19"/>
      <c r="AU19" s="19"/>
      <c r="AV19" s="293">
        <v>200</v>
      </c>
      <c r="AW19" s="19">
        <v>200</v>
      </c>
      <c r="AX19" s="19"/>
      <c r="AY19" s="19"/>
      <c r="AZ19" s="19"/>
      <c r="BA19" s="19"/>
      <c r="BB19" s="19"/>
      <c r="BC19" s="19">
        <v>200</v>
      </c>
      <c r="BD19" s="19"/>
      <c r="BE19" s="19"/>
      <c r="BF19" s="19"/>
      <c r="BG19" s="19"/>
      <c r="BH19" s="19"/>
      <c r="BI19" s="267"/>
      <c r="BJ19" s="19"/>
      <c r="BK19" s="19"/>
      <c r="BL19" s="19">
        <v>600</v>
      </c>
    </row>
    <row r="20" spans="1:64" s="3" customFormat="1" ht="18.75" x14ac:dyDescent="0.3">
      <c r="A20" s="25" t="s">
        <v>433</v>
      </c>
      <c r="B20" s="6">
        <v>2500</v>
      </c>
      <c r="C20" s="66">
        <v>66.87</v>
      </c>
      <c r="D20" s="234">
        <v>15</v>
      </c>
      <c r="E20" s="7"/>
      <c r="F20" s="39">
        <v>0</v>
      </c>
      <c r="G20" s="39">
        <v>0</v>
      </c>
      <c r="H20" s="39">
        <v>0</v>
      </c>
      <c r="I20" s="39">
        <v>0</v>
      </c>
      <c r="J20" s="39">
        <v>0</v>
      </c>
      <c r="K20" s="39">
        <v>0</v>
      </c>
      <c r="L20" s="39">
        <v>0</v>
      </c>
      <c r="M20" s="39">
        <v>0</v>
      </c>
      <c r="N20" s="39">
        <v>0</v>
      </c>
      <c r="O20" s="39">
        <v>0</v>
      </c>
      <c r="P20" s="39">
        <v>0</v>
      </c>
      <c r="Q20" s="39">
        <v>0</v>
      </c>
      <c r="R20" s="39">
        <v>0</v>
      </c>
      <c r="S20" s="39">
        <v>0</v>
      </c>
      <c r="T20" s="39">
        <v>0</v>
      </c>
      <c r="U20" s="39"/>
      <c r="V20" s="39"/>
      <c r="W20" s="39"/>
      <c r="X20" s="39"/>
      <c r="Y20" s="39"/>
      <c r="Z20" s="39">
        <v>0</v>
      </c>
      <c r="AA20" s="39">
        <v>0</v>
      </c>
      <c r="AB20" s="6">
        <v>0</v>
      </c>
      <c r="AC20" s="6">
        <v>0</v>
      </c>
      <c r="AD20" s="6">
        <v>0</v>
      </c>
      <c r="AE20" s="6">
        <v>0</v>
      </c>
      <c r="AF20" s="372">
        <f ca="1">AD20+IF(NOT(ISBLANK(OFFSET(AF20,0,6))),N(OFFSET(AF20,0,6)),N(OFFSET(AF20,0,7)))-AE20</f>
        <v>0</v>
      </c>
      <c r="AG20" s="7"/>
      <c r="AH20" s="78"/>
      <c r="AI20" s="78"/>
      <c r="AJ20" s="7"/>
      <c r="AK20" s="76">
        <v>1</v>
      </c>
      <c r="AL20" s="112">
        <v>0</v>
      </c>
      <c r="AM20" s="19">
        <v>0</v>
      </c>
      <c r="AN20" s="19">
        <v>0</v>
      </c>
      <c r="AO20" s="19"/>
      <c r="AP20" s="19"/>
      <c r="AQ20" s="19"/>
      <c r="AR20" s="19"/>
      <c r="AS20" s="19"/>
      <c r="AT20" s="19"/>
      <c r="AU20" s="19"/>
      <c r="AV20" s="293">
        <v>3</v>
      </c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</row>
    <row r="21" spans="1:64" s="3" customFormat="1" ht="18.75" x14ac:dyDescent="0.25">
      <c r="A21" s="25" t="s">
        <v>434</v>
      </c>
      <c r="B21" s="6">
        <v>1050</v>
      </c>
      <c r="C21" s="66">
        <v>52.14</v>
      </c>
      <c r="D21" s="234">
        <v>15</v>
      </c>
      <c r="E21" s="1"/>
      <c r="F21" s="39">
        <v>8</v>
      </c>
      <c r="G21" s="39">
        <v>7</v>
      </c>
      <c r="H21" s="39">
        <v>6</v>
      </c>
      <c r="I21" s="39">
        <v>0</v>
      </c>
      <c r="J21" s="39">
        <v>0</v>
      </c>
      <c r="K21" s="39">
        <v>0</v>
      </c>
      <c r="L21" s="39">
        <v>0</v>
      </c>
      <c r="M21" s="39">
        <v>0</v>
      </c>
      <c r="N21" s="39">
        <v>0</v>
      </c>
      <c r="O21" s="39">
        <v>0</v>
      </c>
      <c r="P21" s="39">
        <v>0</v>
      </c>
      <c r="Q21" s="39">
        <v>0</v>
      </c>
      <c r="R21" s="39">
        <v>0</v>
      </c>
      <c r="S21" s="39">
        <v>0</v>
      </c>
      <c r="T21" s="39">
        <v>0</v>
      </c>
      <c r="U21" s="39"/>
      <c r="V21" s="39"/>
      <c r="W21" s="39"/>
      <c r="X21" s="39"/>
      <c r="Y21" s="39"/>
      <c r="Z21" s="39">
        <v>0</v>
      </c>
      <c r="AA21" s="39">
        <v>0</v>
      </c>
      <c r="AB21" s="6">
        <v>0</v>
      </c>
      <c r="AC21" s="6">
        <v>0</v>
      </c>
      <c r="AD21" s="6">
        <v>0</v>
      </c>
      <c r="AE21" s="6">
        <v>0</v>
      </c>
      <c r="AF21" s="372">
        <f ca="1">AD21+IF(NOT(ISBLANK(OFFSET(AF21,0,6))),N(OFFSET(AF21,0,6)),N(OFFSET(AF21,0,7)))-AE21</f>
        <v>0</v>
      </c>
      <c r="AG21" s="1"/>
      <c r="AH21" s="78"/>
      <c r="AI21" s="78"/>
      <c r="AJ21" s="1"/>
      <c r="AK21" s="76">
        <v>1</v>
      </c>
      <c r="AL21" s="445">
        <v>0</v>
      </c>
      <c r="AM21" s="19">
        <v>0</v>
      </c>
      <c r="AN21" s="19">
        <v>0</v>
      </c>
      <c r="AO21" s="19"/>
      <c r="AP21" s="19"/>
      <c r="AQ21" s="19"/>
      <c r="AR21" s="19"/>
      <c r="AS21" s="19"/>
      <c r="AT21" s="19"/>
      <c r="AU21" s="19"/>
      <c r="AV21" s="293">
        <v>10</v>
      </c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>
        <v>20</v>
      </c>
      <c r="BH21" s="19"/>
      <c r="BI21" s="117"/>
      <c r="BJ21" s="19"/>
      <c r="BK21" s="19"/>
      <c r="BL21" s="19"/>
    </row>
    <row r="22" spans="1:64" s="3" customFormat="1" ht="14.25" customHeight="1" x14ac:dyDescent="0.25">
      <c r="A22" s="23"/>
      <c r="C22" s="67"/>
      <c r="D22" s="67"/>
      <c r="AH22" s="341"/>
      <c r="AI22" s="341"/>
      <c r="AK22" s="344"/>
      <c r="AL22" s="406"/>
      <c r="AM22" s="406"/>
      <c r="AN22" s="406"/>
      <c r="AO22" s="406"/>
      <c r="AP22" s="406"/>
      <c r="AQ22" s="406"/>
      <c r="AR22" s="406"/>
      <c r="AS22" s="406"/>
      <c r="AT22" s="406"/>
      <c r="AU22" s="406"/>
      <c r="AV22" s="406"/>
      <c r="AW22" s="406"/>
      <c r="AX22" s="406"/>
      <c r="AY22" s="406"/>
      <c r="AZ22" s="406"/>
      <c r="BA22" s="406"/>
      <c r="BB22" s="406"/>
      <c r="BC22" s="406"/>
      <c r="BD22" s="406"/>
      <c r="BE22" s="406"/>
      <c r="BF22" s="406"/>
      <c r="BG22" s="406"/>
      <c r="BH22" s="406"/>
      <c r="BI22" s="406"/>
      <c r="BJ22" s="406"/>
      <c r="BK22" s="406"/>
      <c r="BL22" s="406"/>
    </row>
    <row r="23" spans="1:64" s="3" customFormat="1" ht="18.75" x14ac:dyDescent="0.3">
      <c r="A23" s="24" t="s">
        <v>435</v>
      </c>
      <c r="B23" s="12" t="s">
        <v>151</v>
      </c>
      <c r="C23" s="65" t="s">
        <v>152</v>
      </c>
      <c r="D23" s="12" t="s">
        <v>125</v>
      </c>
      <c r="E23" s="1"/>
      <c r="F23" s="13">
        <v>46013</v>
      </c>
      <c r="G23" s="13">
        <v>46020</v>
      </c>
      <c r="H23" s="13">
        <v>46027</v>
      </c>
      <c r="I23" s="13">
        <v>46034</v>
      </c>
      <c r="J23" s="13">
        <v>46041</v>
      </c>
      <c r="K23" s="13">
        <v>46048</v>
      </c>
      <c r="L23" s="13">
        <v>46055</v>
      </c>
      <c r="M23" s="13">
        <v>46062</v>
      </c>
      <c r="N23" s="13">
        <v>46069</v>
      </c>
      <c r="O23" s="13">
        <v>46076</v>
      </c>
      <c r="P23" s="13">
        <v>46083</v>
      </c>
      <c r="Q23" s="13">
        <v>46090</v>
      </c>
      <c r="R23" s="13">
        <v>46097</v>
      </c>
      <c r="S23" s="13">
        <v>46104</v>
      </c>
      <c r="T23" s="13">
        <v>46111</v>
      </c>
      <c r="U23" s="13">
        <v>46118</v>
      </c>
      <c r="V23" s="13">
        <v>46125</v>
      </c>
      <c r="W23" s="13">
        <v>46132</v>
      </c>
      <c r="X23" s="13">
        <v>46139</v>
      </c>
      <c r="Y23" s="13">
        <v>46146</v>
      </c>
      <c r="Z23" s="13">
        <v>46154</v>
      </c>
      <c r="AA23" s="13">
        <v>46160</v>
      </c>
      <c r="AB23" s="13">
        <v>46161.480133611112</v>
      </c>
      <c r="AC23" s="13">
        <v>46161.480807268519</v>
      </c>
      <c r="AD23" s="13">
        <v>46161.482964305556</v>
      </c>
      <c r="AE23" s="13">
        <v>46161.483293018056</v>
      </c>
      <c r="AF23" s="35" t="s">
        <v>129</v>
      </c>
      <c r="AG23" s="11"/>
      <c r="AH23" s="29" t="s">
        <v>126</v>
      </c>
      <c r="AI23" s="29" t="s">
        <v>126</v>
      </c>
      <c r="AJ23" s="11"/>
      <c r="AK23" s="9" t="s">
        <v>127</v>
      </c>
      <c r="AL23" s="17">
        <v>46161.483292307639</v>
      </c>
      <c r="AM23" s="17">
        <v>46149</v>
      </c>
      <c r="AN23" s="17">
        <v>46142</v>
      </c>
      <c r="AO23" s="17">
        <v>46114</v>
      </c>
      <c r="AP23" s="17">
        <v>46107</v>
      </c>
      <c r="AQ23" s="17">
        <v>46099</v>
      </c>
      <c r="AR23" s="294">
        <v>46065</v>
      </c>
      <c r="AS23" s="17">
        <v>46092</v>
      </c>
      <c r="AT23" s="17">
        <v>46084</v>
      </c>
      <c r="AU23" s="294">
        <v>46065</v>
      </c>
      <c r="AV23" s="292">
        <v>46045</v>
      </c>
      <c r="AW23" s="17">
        <v>46077</v>
      </c>
      <c r="AX23" s="17">
        <v>46071</v>
      </c>
      <c r="AY23" s="17">
        <v>46056</v>
      </c>
      <c r="AZ23" s="17">
        <v>46048</v>
      </c>
      <c r="BA23" s="17">
        <v>46029</v>
      </c>
      <c r="BB23" s="17">
        <v>46029</v>
      </c>
      <c r="BC23" s="17">
        <v>46043</v>
      </c>
      <c r="BD23" s="17">
        <v>46029</v>
      </c>
      <c r="BE23" s="17">
        <v>46017</v>
      </c>
      <c r="BF23" s="17">
        <v>46007</v>
      </c>
      <c r="BG23" s="17">
        <v>46001</v>
      </c>
      <c r="BH23" s="17">
        <v>46001</v>
      </c>
      <c r="BI23" s="207">
        <v>46014</v>
      </c>
      <c r="BJ23" s="17">
        <v>45994</v>
      </c>
      <c r="BK23" s="17">
        <v>45986</v>
      </c>
      <c r="BL23" s="17">
        <v>45986</v>
      </c>
    </row>
    <row r="24" spans="1:64" s="3" customFormat="1" ht="18.75" x14ac:dyDescent="0.3">
      <c r="A24" s="25" t="s">
        <v>436</v>
      </c>
      <c r="B24" s="135">
        <v>75</v>
      </c>
      <c r="C24" s="81">
        <v>225.67</v>
      </c>
      <c r="D24" s="234">
        <v>20</v>
      </c>
      <c r="E24" s="1"/>
      <c r="F24" s="39">
        <v>0</v>
      </c>
      <c r="G24" s="39">
        <v>0</v>
      </c>
      <c r="H24" s="39">
        <v>0</v>
      </c>
      <c r="I24" s="39">
        <v>0</v>
      </c>
      <c r="J24" s="39">
        <v>0</v>
      </c>
      <c r="K24" s="39">
        <f>0+AY24</f>
        <v>0</v>
      </c>
      <c r="L24" s="39">
        <v>149</v>
      </c>
      <c r="M24" s="39">
        <v>146</v>
      </c>
      <c r="N24" s="39">
        <v>146</v>
      </c>
      <c r="O24" s="39">
        <v>145</v>
      </c>
      <c r="P24" s="39">
        <v>133</v>
      </c>
      <c r="Q24" s="39">
        <v>128</v>
      </c>
      <c r="R24" s="39">
        <v>124</v>
      </c>
      <c r="S24" s="39">
        <v>117</v>
      </c>
      <c r="T24" s="39">
        <v>113</v>
      </c>
      <c r="U24" s="39"/>
      <c r="V24" s="39"/>
      <c r="W24" s="39"/>
      <c r="X24" s="39"/>
      <c r="Y24" s="39"/>
      <c r="Z24" s="39">
        <v>100</v>
      </c>
      <c r="AA24" s="39">
        <v>100</v>
      </c>
      <c r="AB24" s="6">
        <v>100</v>
      </c>
      <c r="AC24" s="6">
        <v>100</v>
      </c>
      <c r="AD24" s="6">
        <v>100</v>
      </c>
      <c r="AE24" s="6">
        <v>100</v>
      </c>
      <c r="AF24" s="372">
        <f ca="1">AD24+IF(NOT(ISBLANK(OFFSET(AF24,0,6))),N(OFFSET(AF24,0,6)),N(OFFSET(AF24,0,7)))-AE24</f>
        <v>0</v>
      </c>
      <c r="AG24" s="11"/>
      <c r="AH24" s="78"/>
      <c r="AI24" s="78"/>
      <c r="AJ24" s="1"/>
      <c r="AK24" s="32"/>
      <c r="AL24" s="458">
        <v>0</v>
      </c>
      <c r="AM24" s="343">
        <v>0</v>
      </c>
      <c r="AN24" s="343">
        <v>0</v>
      </c>
      <c r="AO24" s="343"/>
      <c r="AP24" s="343"/>
      <c r="AQ24" s="343"/>
      <c r="AR24" s="19"/>
      <c r="AS24" s="343"/>
      <c r="AT24" s="343"/>
      <c r="AU24" s="244">
        <v>150</v>
      </c>
      <c r="AV24" s="343"/>
      <c r="AW24" s="343"/>
      <c r="AX24" s="343"/>
      <c r="AY24" s="343"/>
      <c r="AZ24" s="343"/>
      <c r="BA24" s="343"/>
      <c r="BB24" s="343"/>
      <c r="BC24" s="343">
        <v>150</v>
      </c>
      <c r="BD24" s="343"/>
      <c r="BE24" s="343"/>
      <c r="BF24" s="343"/>
      <c r="BG24" s="343"/>
      <c r="BH24" s="343"/>
      <c r="BI24" s="343"/>
      <c r="BJ24" s="343"/>
      <c r="BK24" s="343"/>
      <c r="BL24" s="343"/>
    </row>
    <row r="25" spans="1:64" s="3" customFormat="1" ht="18" customHeight="1" x14ac:dyDescent="0.3">
      <c r="A25" s="25" t="s">
        <v>437</v>
      </c>
      <c r="B25" s="135">
        <v>75</v>
      </c>
      <c r="C25" s="66">
        <v>294.58999999999997</v>
      </c>
      <c r="D25" s="234">
        <v>20</v>
      </c>
      <c r="E25" s="1"/>
      <c r="F25" s="39">
        <v>0</v>
      </c>
      <c r="G25" s="39">
        <v>0</v>
      </c>
      <c r="H25" s="39">
        <v>0</v>
      </c>
      <c r="I25" s="39">
        <v>0</v>
      </c>
      <c r="J25" s="39">
        <v>0</v>
      </c>
      <c r="K25" s="39">
        <f>0+AY25</f>
        <v>0</v>
      </c>
      <c r="L25" s="39">
        <v>100</v>
      </c>
      <c r="M25" s="39">
        <v>100</v>
      </c>
      <c r="N25" s="39">
        <v>100</v>
      </c>
      <c r="O25" s="39">
        <v>100</v>
      </c>
      <c r="P25" s="39">
        <v>92</v>
      </c>
      <c r="Q25" s="39">
        <v>89</v>
      </c>
      <c r="R25" s="39">
        <v>85</v>
      </c>
      <c r="S25" s="39">
        <v>75</v>
      </c>
      <c r="T25" s="39">
        <v>74</v>
      </c>
      <c r="U25" s="39"/>
      <c r="V25" s="39"/>
      <c r="W25" s="39"/>
      <c r="X25" s="39"/>
      <c r="Y25" s="39"/>
      <c r="Z25" s="39">
        <v>49</v>
      </c>
      <c r="AA25" s="39">
        <v>48</v>
      </c>
      <c r="AB25" s="6">
        <v>48</v>
      </c>
      <c r="AC25" s="6">
        <v>48</v>
      </c>
      <c r="AD25" s="6">
        <v>48</v>
      </c>
      <c r="AE25" s="6">
        <v>48</v>
      </c>
      <c r="AF25" s="372">
        <f ca="1">AD25+IF(NOT(ISBLANK(OFFSET(AF25,0,6))),N(OFFSET(AF25,0,6)),N(OFFSET(AF25,0,7)))-AE25</f>
        <v>0</v>
      </c>
      <c r="AG25" s="11"/>
      <c r="AH25" s="78"/>
      <c r="AI25" s="78"/>
      <c r="AK25" s="32"/>
      <c r="AL25" s="445">
        <v>0</v>
      </c>
      <c r="AM25" s="19">
        <v>0</v>
      </c>
      <c r="AN25" s="19">
        <v>0</v>
      </c>
      <c r="AO25" s="19"/>
      <c r="AP25" s="19"/>
      <c r="AQ25" s="19"/>
      <c r="AR25" s="244">
        <v>200</v>
      </c>
      <c r="AS25" s="19"/>
      <c r="AT25" s="19"/>
      <c r="AU25" s="19"/>
      <c r="AV25" s="293">
        <v>100</v>
      </c>
      <c r="AW25" s="19"/>
      <c r="AX25" s="19"/>
      <c r="AY25" s="19"/>
      <c r="AZ25" s="19"/>
      <c r="BA25" s="19"/>
      <c r="BB25" s="19"/>
      <c r="BC25" s="19">
        <v>100</v>
      </c>
      <c r="BD25" s="19"/>
      <c r="BE25" s="19"/>
      <c r="BF25" s="19"/>
      <c r="BG25" s="19"/>
      <c r="BH25" s="19"/>
      <c r="BI25" s="19"/>
      <c r="BJ25" s="19"/>
      <c r="BK25" s="19"/>
      <c r="BL25" s="19"/>
    </row>
    <row r="26" spans="1:64" ht="18.75" x14ac:dyDescent="0.25">
      <c r="A26" s="25" t="s">
        <v>438</v>
      </c>
      <c r="B26" s="135">
        <v>50</v>
      </c>
      <c r="C26" s="66">
        <v>346.84</v>
      </c>
      <c r="D26" s="234">
        <v>10</v>
      </c>
      <c r="F26" s="39">
        <v>4</v>
      </c>
      <c r="G26" s="39">
        <v>3</v>
      </c>
      <c r="H26" s="39">
        <v>2</v>
      </c>
      <c r="I26" s="39">
        <v>2</v>
      </c>
      <c r="J26" s="39">
        <v>2</v>
      </c>
      <c r="K26" s="39">
        <v>1</v>
      </c>
      <c r="L26" s="39">
        <v>1</v>
      </c>
      <c r="M26" s="39">
        <v>1</v>
      </c>
      <c r="N26" s="39">
        <v>1</v>
      </c>
      <c r="O26" s="39">
        <v>1</v>
      </c>
      <c r="P26" s="39">
        <v>1</v>
      </c>
      <c r="Q26" s="39">
        <v>0</v>
      </c>
      <c r="R26" s="39">
        <v>0</v>
      </c>
      <c r="S26" s="39">
        <v>0</v>
      </c>
      <c r="T26" s="39">
        <v>0</v>
      </c>
      <c r="U26" s="39"/>
      <c r="V26" s="39"/>
      <c r="W26" s="39"/>
      <c r="X26" s="39"/>
      <c r="Y26" s="39"/>
      <c r="Z26" s="39">
        <v>0</v>
      </c>
      <c r="AA26" s="39">
        <v>0</v>
      </c>
      <c r="AB26" s="6">
        <v>0</v>
      </c>
      <c r="AC26" s="6">
        <v>0</v>
      </c>
      <c r="AD26" s="6">
        <v>0</v>
      </c>
      <c r="AE26" s="6">
        <v>0</v>
      </c>
      <c r="AF26" s="372">
        <f ca="1">AD26+IF(NOT(ISBLANK(OFFSET(AF26,0,6))),N(OFFSET(AF26,0,6)),N(OFFSET(AF26,0,7)))-AE26</f>
        <v>0</v>
      </c>
      <c r="AH26" s="78"/>
      <c r="AI26" s="78"/>
      <c r="AJ26" s="1"/>
      <c r="AK26" s="32"/>
      <c r="AL26" s="445">
        <v>0</v>
      </c>
      <c r="AM26" s="19">
        <v>0</v>
      </c>
      <c r="AN26" s="19">
        <v>0</v>
      </c>
      <c r="AO26" s="19"/>
      <c r="AP26" s="19"/>
      <c r="AQ26" s="19"/>
      <c r="AR26" s="244">
        <v>150</v>
      </c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273"/>
      <c r="BJ26" s="19"/>
      <c r="BK26" s="19"/>
      <c r="BL26" s="19"/>
    </row>
    <row r="27" spans="1:64" s="3" customFormat="1" ht="21" customHeight="1" x14ac:dyDescent="0.3">
      <c r="A27" s="23"/>
      <c r="B27" s="1"/>
      <c r="C27" s="64"/>
      <c r="D27" s="64"/>
      <c r="E27" s="11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1"/>
      <c r="AC27" s="1"/>
      <c r="AD27" s="1"/>
      <c r="AE27" s="1"/>
      <c r="AG27" s="11"/>
      <c r="AH27" s="10"/>
      <c r="AI27" s="10"/>
      <c r="AJ27" s="1"/>
      <c r="AK27" s="10"/>
      <c r="AL27" s="388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5"/>
      <c r="BA27" s="75"/>
      <c r="BB27" s="75"/>
      <c r="BC27" s="75"/>
      <c r="BD27" s="75"/>
      <c r="BE27" s="75"/>
      <c r="BF27" s="75"/>
      <c r="BG27" s="75"/>
      <c r="BH27" s="75"/>
      <c r="BI27" s="75"/>
      <c r="BJ27" s="75"/>
      <c r="BK27" s="75"/>
      <c r="BL27" s="75"/>
    </row>
    <row r="28" spans="1:64" ht="18.75" x14ac:dyDescent="0.3">
      <c r="A28" s="24" t="s">
        <v>439</v>
      </c>
      <c r="B28" s="12" t="s">
        <v>151</v>
      </c>
      <c r="C28" s="12" t="s">
        <v>152</v>
      </c>
      <c r="D28" s="12" t="s">
        <v>125</v>
      </c>
      <c r="E28" s="1"/>
      <c r="F28" s="13">
        <v>46013</v>
      </c>
      <c r="G28" s="13">
        <v>46020</v>
      </c>
      <c r="H28" s="13">
        <v>46027</v>
      </c>
      <c r="I28" s="13">
        <v>46034</v>
      </c>
      <c r="J28" s="13">
        <v>46041</v>
      </c>
      <c r="K28" s="13">
        <v>46048</v>
      </c>
      <c r="L28" s="13">
        <v>46055</v>
      </c>
      <c r="M28" s="13">
        <v>46062</v>
      </c>
      <c r="N28" s="13">
        <v>46069</v>
      </c>
      <c r="O28" s="13">
        <v>46076</v>
      </c>
      <c r="P28" s="13">
        <v>46083</v>
      </c>
      <c r="Q28" s="13">
        <v>46090</v>
      </c>
      <c r="R28" s="13">
        <v>46097</v>
      </c>
      <c r="S28" s="13">
        <v>46104</v>
      </c>
      <c r="T28" s="13">
        <v>46111</v>
      </c>
      <c r="U28" s="13">
        <v>46118</v>
      </c>
      <c r="V28" s="13">
        <v>46125</v>
      </c>
      <c r="W28" s="13">
        <v>46132</v>
      </c>
      <c r="X28" s="13">
        <v>46139</v>
      </c>
      <c r="Y28" s="13">
        <v>46146</v>
      </c>
      <c r="Z28" s="13">
        <v>46154</v>
      </c>
      <c r="AA28" s="13">
        <v>46160</v>
      </c>
      <c r="AB28" s="13">
        <v>46161.480133611112</v>
      </c>
      <c r="AC28" s="13">
        <v>46161.480807268519</v>
      </c>
      <c r="AD28" s="13">
        <v>46161.482964305556</v>
      </c>
      <c r="AE28" s="13">
        <v>46161.483293018267</v>
      </c>
      <c r="AF28" s="35" t="s">
        <v>129</v>
      </c>
      <c r="AG28" s="41"/>
      <c r="AH28" s="29" t="s">
        <v>126</v>
      </c>
      <c r="AI28" s="29" t="s">
        <v>126</v>
      </c>
      <c r="AK28" s="9" t="s">
        <v>127</v>
      </c>
      <c r="AL28" s="17">
        <v>46161.483292307879</v>
      </c>
      <c r="AM28" s="17">
        <v>46149</v>
      </c>
      <c r="AN28" s="17">
        <v>46142</v>
      </c>
      <c r="AO28" s="17">
        <v>46114</v>
      </c>
      <c r="AP28" s="17">
        <v>46107</v>
      </c>
      <c r="AQ28" s="17">
        <v>46099</v>
      </c>
      <c r="AR28" s="294">
        <v>46065</v>
      </c>
      <c r="AS28" s="17">
        <v>46092</v>
      </c>
      <c r="AT28" s="17">
        <v>46084</v>
      </c>
      <c r="AU28" s="294">
        <v>46065</v>
      </c>
      <c r="AV28" s="292">
        <v>46045</v>
      </c>
      <c r="AW28" s="17">
        <v>46077</v>
      </c>
      <c r="AX28" s="17">
        <v>46071</v>
      </c>
      <c r="AY28" s="17">
        <v>46056</v>
      </c>
      <c r="AZ28" s="17">
        <v>46048</v>
      </c>
      <c r="BA28" s="17">
        <v>46029</v>
      </c>
      <c r="BB28" s="17">
        <v>46029</v>
      </c>
      <c r="BC28" s="17">
        <v>46043</v>
      </c>
      <c r="BD28" s="17">
        <v>46029</v>
      </c>
      <c r="BE28" s="17">
        <v>46017</v>
      </c>
      <c r="BF28" s="17">
        <v>46007</v>
      </c>
      <c r="BG28" s="17">
        <v>46001</v>
      </c>
      <c r="BH28" s="17">
        <v>46001</v>
      </c>
      <c r="BI28" s="207">
        <v>46014</v>
      </c>
      <c r="BJ28" s="17">
        <v>45994</v>
      </c>
      <c r="BK28" s="17">
        <v>45986</v>
      </c>
      <c r="BL28" s="17">
        <v>45986</v>
      </c>
    </row>
    <row r="29" spans="1:64" ht="18.75" x14ac:dyDescent="0.3">
      <c r="A29" s="25" t="s">
        <v>440</v>
      </c>
      <c r="B29" s="6">
        <v>25</v>
      </c>
      <c r="C29" s="66">
        <v>41.75</v>
      </c>
      <c r="D29" s="234">
        <v>20</v>
      </c>
      <c r="E29" s="1"/>
      <c r="F29" s="72">
        <v>0</v>
      </c>
      <c r="G29" s="72">
        <v>0</v>
      </c>
      <c r="H29" s="72">
        <v>0</v>
      </c>
      <c r="I29" s="72">
        <v>0</v>
      </c>
      <c r="J29" s="72">
        <v>0</v>
      </c>
      <c r="K29" s="72">
        <v>0</v>
      </c>
      <c r="L29" s="72">
        <v>0</v>
      </c>
      <c r="M29" s="72">
        <v>0</v>
      </c>
      <c r="N29" s="72">
        <v>0</v>
      </c>
      <c r="O29" s="72">
        <v>0</v>
      </c>
      <c r="P29" s="72">
        <v>0</v>
      </c>
      <c r="Q29" s="72">
        <v>0</v>
      </c>
      <c r="R29" s="72">
        <v>0</v>
      </c>
      <c r="S29" s="72">
        <v>0</v>
      </c>
      <c r="T29" s="72">
        <v>0</v>
      </c>
      <c r="U29" s="72">
        <v>0</v>
      </c>
      <c r="V29" s="72">
        <v>0</v>
      </c>
      <c r="W29" s="72">
        <v>0</v>
      </c>
      <c r="X29" s="72">
        <v>0</v>
      </c>
      <c r="Y29" s="72">
        <v>0</v>
      </c>
      <c r="Z29" s="72">
        <v>0</v>
      </c>
      <c r="AA29" s="72">
        <v>0</v>
      </c>
      <c r="AB29" s="72"/>
      <c r="AC29" s="72"/>
      <c r="AD29" s="72"/>
      <c r="AE29" s="72"/>
      <c r="AF29" s="26">
        <v>0</v>
      </c>
      <c r="AG29" s="41"/>
      <c r="AH29" s="78"/>
      <c r="AI29" s="78"/>
      <c r="AJ29" s="7"/>
      <c r="AK29" s="32"/>
      <c r="AL29" s="445">
        <v>0</v>
      </c>
      <c r="AM29" s="19">
        <v>0</v>
      </c>
      <c r="AN29" s="19">
        <v>0</v>
      </c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17"/>
      <c r="BJ29" s="19"/>
      <c r="BK29" s="19"/>
      <c r="BL29" s="19"/>
    </row>
    <row r="30" spans="1:64" ht="18.75" x14ac:dyDescent="0.3">
      <c r="A30" s="25" t="s">
        <v>441</v>
      </c>
      <c r="B30" s="6">
        <v>25</v>
      </c>
      <c r="C30" s="66">
        <v>57</v>
      </c>
      <c r="D30" s="234">
        <v>20</v>
      </c>
      <c r="E30" s="1"/>
      <c r="F30" s="72">
        <v>3</v>
      </c>
      <c r="G30" s="72">
        <v>3</v>
      </c>
      <c r="H30" s="72">
        <v>2</v>
      </c>
      <c r="I30" s="72">
        <v>2</v>
      </c>
      <c r="J30" s="72">
        <v>2</v>
      </c>
      <c r="K30" s="72">
        <v>2</v>
      </c>
      <c r="L30" s="72">
        <v>2</v>
      </c>
      <c r="M30" s="72">
        <v>0</v>
      </c>
      <c r="N30" s="72">
        <v>0</v>
      </c>
      <c r="O30" s="72">
        <v>0</v>
      </c>
      <c r="P30" s="72">
        <v>0</v>
      </c>
      <c r="Q30" s="72">
        <v>0</v>
      </c>
      <c r="R30" s="72">
        <v>0</v>
      </c>
      <c r="S30" s="72">
        <v>0</v>
      </c>
      <c r="T30" s="72">
        <v>0</v>
      </c>
      <c r="U30" s="72">
        <v>0</v>
      </c>
      <c r="V30" s="72">
        <v>0</v>
      </c>
      <c r="W30" s="72">
        <v>0</v>
      </c>
      <c r="X30" s="72">
        <v>0</v>
      </c>
      <c r="Y30" s="72">
        <v>0</v>
      </c>
      <c r="Z30" s="72">
        <v>0</v>
      </c>
      <c r="AA30" s="72">
        <v>0</v>
      </c>
      <c r="AB30" s="72">
        <v>0</v>
      </c>
      <c r="AC30" s="72">
        <v>0</v>
      </c>
      <c r="AD30" s="72">
        <v>0</v>
      </c>
      <c r="AE30" s="72">
        <v>0</v>
      </c>
      <c r="AF30" s="26">
        <v>0</v>
      </c>
      <c r="AG30" s="41"/>
      <c r="AH30" s="78"/>
      <c r="AI30" s="78"/>
      <c r="AJ30" s="7"/>
      <c r="AK30" s="32"/>
      <c r="AL30" s="445">
        <v>0</v>
      </c>
      <c r="AM30" s="19">
        <v>0</v>
      </c>
      <c r="AN30" s="19">
        <v>0</v>
      </c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17"/>
      <c r="BJ30" s="19"/>
      <c r="BK30" s="19"/>
      <c r="BL30" s="19"/>
    </row>
    <row r="31" spans="1:64" ht="18.75" x14ac:dyDescent="0.3"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J31" s="41"/>
      <c r="AL31" s="41"/>
    </row>
    <row r="32" spans="1:64" ht="18.75" x14ac:dyDescent="0.3">
      <c r="A32" s="143" t="s">
        <v>442</v>
      </c>
      <c r="B32" s="144" t="s">
        <v>151</v>
      </c>
      <c r="C32" s="144" t="s">
        <v>152</v>
      </c>
      <c r="D32" s="144" t="s">
        <v>125</v>
      </c>
      <c r="E32" s="1"/>
      <c r="F32" s="13">
        <v>46013</v>
      </c>
      <c r="G32" s="13">
        <v>46020</v>
      </c>
      <c r="H32" s="13">
        <v>46027</v>
      </c>
      <c r="I32" s="13">
        <v>46034</v>
      </c>
      <c r="J32" s="13">
        <v>46041</v>
      </c>
      <c r="K32" s="13">
        <v>46048</v>
      </c>
      <c r="L32" s="13">
        <v>46055</v>
      </c>
      <c r="M32" s="13">
        <v>46062</v>
      </c>
      <c r="N32" s="13">
        <v>46069</v>
      </c>
      <c r="O32" s="13">
        <v>46076</v>
      </c>
      <c r="P32" s="13">
        <v>46083</v>
      </c>
      <c r="Q32" s="13">
        <v>46090</v>
      </c>
      <c r="R32" s="13">
        <v>46097</v>
      </c>
      <c r="S32" s="13">
        <v>46104</v>
      </c>
      <c r="T32" s="13">
        <v>46111</v>
      </c>
      <c r="U32" s="13">
        <v>46118</v>
      </c>
      <c r="V32" s="13">
        <v>46125</v>
      </c>
      <c r="W32" s="13">
        <v>46132</v>
      </c>
      <c r="X32" s="13">
        <v>46139</v>
      </c>
      <c r="Y32" s="13">
        <v>46146</v>
      </c>
      <c r="Z32" s="13">
        <v>46154</v>
      </c>
      <c r="AA32" s="13">
        <v>46160</v>
      </c>
      <c r="AB32" s="13">
        <v>46161.480133611112</v>
      </c>
      <c r="AC32" s="13">
        <v>46161.480807268519</v>
      </c>
      <c r="AD32" s="13">
        <v>46161.482964305556</v>
      </c>
      <c r="AE32" s="13">
        <v>46161.483293018377</v>
      </c>
      <c r="AF32" s="35" t="s">
        <v>129</v>
      </c>
      <c r="AG32" s="41"/>
      <c r="AH32" s="29" t="s">
        <v>126</v>
      </c>
      <c r="AI32" s="29" t="s">
        <v>126</v>
      </c>
      <c r="AK32" s="9" t="s">
        <v>127</v>
      </c>
      <c r="AL32" s="17">
        <v>46161.48329230809</v>
      </c>
      <c r="AM32" s="17">
        <v>46149</v>
      </c>
      <c r="AN32" s="17">
        <v>46142</v>
      </c>
      <c r="AO32" s="17">
        <v>46114</v>
      </c>
      <c r="AP32" s="17">
        <v>46107</v>
      </c>
      <c r="AQ32" s="17">
        <v>46099</v>
      </c>
      <c r="AR32" s="294">
        <v>46065</v>
      </c>
      <c r="AS32" s="17">
        <v>46092</v>
      </c>
      <c r="AT32" s="17">
        <v>46084</v>
      </c>
      <c r="AU32" s="294">
        <v>46065</v>
      </c>
      <c r="AV32" s="292">
        <v>46045</v>
      </c>
      <c r="AW32" s="17">
        <v>46077</v>
      </c>
      <c r="AX32" s="17">
        <v>46071</v>
      </c>
      <c r="AY32" s="17">
        <v>46056</v>
      </c>
      <c r="AZ32" s="17">
        <v>46048</v>
      </c>
      <c r="BA32" s="17">
        <v>46029</v>
      </c>
      <c r="BB32" s="17">
        <v>46029</v>
      </c>
      <c r="BC32" s="17">
        <v>46043</v>
      </c>
      <c r="BD32" s="17">
        <v>46029</v>
      </c>
      <c r="BE32" s="17">
        <v>46017</v>
      </c>
      <c r="BF32" s="17">
        <v>46007</v>
      </c>
      <c r="BG32" s="17">
        <v>46001</v>
      </c>
      <c r="BH32" s="17">
        <v>46001</v>
      </c>
      <c r="BI32" s="207">
        <v>46014</v>
      </c>
      <c r="BJ32" s="17">
        <v>45994</v>
      </c>
      <c r="BK32" s="17">
        <v>45986</v>
      </c>
      <c r="BL32" s="17">
        <v>45986</v>
      </c>
    </row>
    <row r="33" spans="1:64" ht="18.75" x14ac:dyDescent="0.3">
      <c r="A33" s="25" t="s">
        <v>443</v>
      </c>
      <c r="B33" s="72">
        <v>150</v>
      </c>
      <c r="C33" s="77">
        <v>453.38</v>
      </c>
      <c r="D33" s="234">
        <v>10</v>
      </c>
      <c r="E33" s="41"/>
      <c r="F33" s="72">
        <v>144</v>
      </c>
      <c r="G33" s="72">
        <v>144</v>
      </c>
      <c r="H33" s="72">
        <v>144</v>
      </c>
      <c r="I33" s="72">
        <v>143</v>
      </c>
      <c r="J33" s="72">
        <v>143</v>
      </c>
      <c r="K33" s="72">
        <v>141</v>
      </c>
      <c r="L33" s="72">
        <v>139</v>
      </c>
      <c r="M33" s="72">
        <v>134</v>
      </c>
      <c r="N33" s="72">
        <v>133</v>
      </c>
      <c r="O33" s="72">
        <v>132</v>
      </c>
      <c r="P33" s="72">
        <v>132</v>
      </c>
      <c r="Q33" s="72">
        <v>132</v>
      </c>
      <c r="R33" s="72">
        <v>131</v>
      </c>
      <c r="S33" s="72">
        <v>128</v>
      </c>
      <c r="T33" s="72">
        <v>128</v>
      </c>
      <c r="U33" s="72"/>
      <c r="V33" s="72"/>
      <c r="W33" s="72"/>
      <c r="X33" s="72"/>
      <c r="Y33" s="72"/>
      <c r="Z33" s="72">
        <v>116</v>
      </c>
      <c r="AA33" s="72">
        <v>116</v>
      </c>
      <c r="AB33" s="72">
        <v>116</v>
      </c>
      <c r="AC33" s="72">
        <v>116</v>
      </c>
      <c r="AD33" s="72">
        <v>116</v>
      </c>
      <c r="AE33" s="72">
        <v>116</v>
      </c>
      <c r="AF33" s="372">
        <f ca="1">AD33+IF(NOT(ISBLANK(OFFSET(AF33,0,6))),N(OFFSET(AF33,0,6)),N(OFFSET(AF33,0,7)))-AE33</f>
        <v>0</v>
      </c>
      <c r="AG33" s="41"/>
      <c r="AH33" s="134"/>
      <c r="AI33" s="134"/>
      <c r="AJ33" s="1"/>
      <c r="AK33" s="32"/>
      <c r="AL33" s="445">
        <v>0</v>
      </c>
      <c r="AM33" s="19">
        <v>0</v>
      </c>
      <c r="AN33" s="19">
        <v>0</v>
      </c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>
        <v>150</v>
      </c>
      <c r="BL33" s="19"/>
    </row>
    <row r="34" spans="1:64" ht="18.75" x14ac:dyDescent="0.3">
      <c r="A34" s="25" t="s">
        <v>444</v>
      </c>
      <c r="B34" s="72">
        <v>100</v>
      </c>
      <c r="C34" s="77">
        <v>355.78</v>
      </c>
      <c r="D34" s="234">
        <v>10</v>
      </c>
      <c r="E34" s="41"/>
      <c r="F34" s="72">
        <v>96</v>
      </c>
      <c r="G34" s="72">
        <v>95</v>
      </c>
      <c r="H34" s="72">
        <v>94</v>
      </c>
      <c r="I34" s="72">
        <v>93</v>
      </c>
      <c r="J34" s="72">
        <v>93</v>
      </c>
      <c r="K34" s="72">
        <v>92</v>
      </c>
      <c r="L34" s="72">
        <v>90</v>
      </c>
      <c r="M34" s="72">
        <v>90</v>
      </c>
      <c r="N34" s="72">
        <v>90</v>
      </c>
      <c r="O34" s="72">
        <v>90</v>
      </c>
      <c r="P34" s="72">
        <v>90</v>
      </c>
      <c r="Q34" s="72">
        <v>89</v>
      </c>
      <c r="R34" s="72">
        <v>88</v>
      </c>
      <c r="S34" s="72">
        <v>86</v>
      </c>
      <c r="T34" s="72">
        <v>86</v>
      </c>
      <c r="U34" s="72"/>
      <c r="V34" s="72"/>
      <c r="W34" s="72"/>
      <c r="X34" s="72"/>
      <c r="Y34" s="72"/>
      <c r="Z34" s="72">
        <v>79</v>
      </c>
      <c r="AA34" s="72">
        <v>79</v>
      </c>
      <c r="AB34" s="72">
        <v>79</v>
      </c>
      <c r="AC34" s="72">
        <v>79</v>
      </c>
      <c r="AD34" s="72">
        <v>79</v>
      </c>
      <c r="AE34" s="72">
        <v>79</v>
      </c>
      <c r="AF34" s="372">
        <f ca="1">AD34+IF(NOT(ISBLANK(OFFSET(AF34,0,6))),N(OFFSET(AF34,0,6)),N(OFFSET(AF34,0,7)))-AE34</f>
        <v>0</v>
      </c>
      <c r="AG34" s="41"/>
      <c r="AH34" s="78"/>
      <c r="AI34" s="78"/>
      <c r="AJ34" s="1"/>
      <c r="AK34" s="32"/>
      <c r="AL34" s="445">
        <v>0</v>
      </c>
      <c r="AM34" s="19">
        <v>0</v>
      </c>
      <c r="AN34" s="19">
        <v>0</v>
      </c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>
        <v>100</v>
      </c>
      <c r="BL34" s="19"/>
    </row>
    <row r="35" spans="1:64" ht="18.75" x14ac:dyDescent="0.3">
      <c r="A35" s="25" t="s">
        <v>445</v>
      </c>
      <c r="B35" s="72">
        <v>50</v>
      </c>
      <c r="C35" s="77">
        <v>249.26</v>
      </c>
      <c r="D35" s="234">
        <v>5</v>
      </c>
      <c r="E35" s="41"/>
      <c r="F35" s="72">
        <v>7</v>
      </c>
      <c r="G35" s="72">
        <v>7</v>
      </c>
      <c r="H35" s="72">
        <v>7</v>
      </c>
      <c r="I35" s="72">
        <v>7</v>
      </c>
      <c r="J35" s="72">
        <v>7</v>
      </c>
      <c r="K35" s="72">
        <v>7</v>
      </c>
      <c r="L35" s="72">
        <v>7</v>
      </c>
      <c r="M35" s="72">
        <v>7</v>
      </c>
      <c r="N35" s="72">
        <v>7</v>
      </c>
      <c r="O35" s="72">
        <v>7</v>
      </c>
      <c r="P35" s="72">
        <v>7</v>
      </c>
      <c r="Q35" s="72">
        <v>7</v>
      </c>
      <c r="R35" s="72">
        <v>7</v>
      </c>
      <c r="S35" s="72">
        <v>7</v>
      </c>
      <c r="T35" s="72">
        <v>7</v>
      </c>
      <c r="U35" s="72"/>
      <c r="V35" s="72"/>
      <c r="W35" s="72"/>
      <c r="X35" s="72"/>
      <c r="Y35" s="72"/>
      <c r="Z35" s="72">
        <v>7</v>
      </c>
      <c r="AA35" s="72">
        <v>7</v>
      </c>
      <c r="AB35" s="72">
        <v>7</v>
      </c>
      <c r="AC35" s="72">
        <v>7</v>
      </c>
      <c r="AD35" s="72">
        <v>7</v>
      </c>
      <c r="AE35" s="72">
        <v>7</v>
      </c>
      <c r="AF35" s="372">
        <f ca="1">AD35+IF(NOT(ISBLANK(OFFSET(AF35,0,6))),N(OFFSET(AF35,0,6)),N(OFFSET(AF35,0,7)))-AE35</f>
        <v>0</v>
      </c>
      <c r="AG35" s="41"/>
      <c r="AH35" s="134"/>
      <c r="AI35" s="134"/>
      <c r="AJ35" s="3"/>
      <c r="AK35" s="32"/>
      <c r="AL35" s="445">
        <v>0</v>
      </c>
      <c r="AM35" s="19">
        <v>0</v>
      </c>
      <c r="AN35" s="19">
        <v>0</v>
      </c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</row>
    <row r="36" spans="1:64" ht="18.75" x14ac:dyDescent="0.3">
      <c r="A36" s="25" t="s">
        <v>446</v>
      </c>
      <c r="B36" s="6">
        <v>200</v>
      </c>
      <c r="C36" s="66">
        <v>249.78</v>
      </c>
      <c r="D36" s="234">
        <v>150</v>
      </c>
      <c r="E36" s="1"/>
      <c r="F36" s="72">
        <v>400</v>
      </c>
      <c r="G36" s="72">
        <v>400</v>
      </c>
      <c r="H36" s="72">
        <v>400</v>
      </c>
      <c r="I36" s="72">
        <v>400</v>
      </c>
      <c r="J36" s="72">
        <v>400</v>
      </c>
      <c r="K36" s="72">
        <v>400</v>
      </c>
      <c r="L36" s="72">
        <v>200</v>
      </c>
      <c r="M36" s="72">
        <v>200</v>
      </c>
      <c r="N36" s="72">
        <v>200</v>
      </c>
      <c r="O36" s="72">
        <v>200</v>
      </c>
      <c r="P36" s="72">
        <v>200</v>
      </c>
      <c r="Q36" s="72">
        <v>200</v>
      </c>
      <c r="R36" s="72">
        <v>200</v>
      </c>
      <c r="S36" s="72">
        <v>200</v>
      </c>
      <c r="T36" s="72">
        <v>200</v>
      </c>
      <c r="U36" s="72">
        <v>200</v>
      </c>
      <c r="V36" s="72">
        <v>0</v>
      </c>
      <c r="W36" s="72">
        <v>0</v>
      </c>
      <c r="X36" s="72">
        <v>0</v>
      </c>
      <c r="Y36" s="72">
        <f>0+AJ36</f>
        <v>0</v>
      </c>
      <c r="Z36" s="72">
        <v>200</v>
      </c>
      <c r="AA36" s="72"/>
      <c r="AB36" s="72"/>
      <c r="AC36" s="72"/>
      <c r="AD36" s="72"/>
      <c r="AE36" s="72"/>
      <c r="AF36" s="372">
        <f ca="1">AD36+IF(NOT(ISBLANK(OFFSET(AF36,0,6))),N(OFFSET(AF36,0,6)),N(OFFSET(AF36,0,7)))-AE36</f>
        <v>0</v>
      </c>
      <c r="AG36" s="41"/>
      <c r="AH36" s="78"/>
      <c r="AI36" s="78"/>
      <c r="AJ36" s="7"/>
      <c r="AK36" s="32"/>
      <c r="AL36" s="445">
        <v>0</v>
      </c>
      <c r="AM36" s="19">
        <v>0</v>
      </c>
      <c r="AN36" s="19">
        <v>200</v>
      </c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</row>
    <row r="37" spans="1:64" ht="18.75" x14ac:dyDescent="0.3">
      <c r="B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G37" s="41"/>
      <c r="AJ37" s="41"/>
      <c r="AL37" s="41"/>
    </row>
    <row r="38" spans="1:64" ht="18.75" x14ac:dyDescent="0.3">
      <c r="A38" s="143" t="s">
        <v>447</v>
      </c>
      <c r="B38" s="144" t="s">
        <v>151</v>
      </c>
      <c r="C38" s="144" t="s">
        <v>152</v>
      </c>
      <c r="D38" s="144" t="s">
        <v>125</v>
      </c>
      <c r="E38" s="1"/>
      <c r="F38" s="13">
        <v>46013</v>
      </c>
      <c r="G38" s="13">
        <v>46020</v>
      </c>
      <c r="H38" s="13">
        <v>46027</v>
      </c>
      <c r="I38" s="13">
        <v>46034</v>
      </c>
      <c r="J38" s="13">
        <v>46041</v>
      </c>
      <c r="K38" s="13">
        <v>46048</v>
      </c>
      <c r="L38" s="13">
        <v>46055</v>
      </c>
      <c r="M38" s="13">
        <v>46062</v>
      </c>
      <c r="N38" s="13">
        <v>46069</v>
      </c>
      <c r="O38" s="13">
        <v>46076</v>
      </c>
      <c r="P38" s="13">
        <v>46083</v>
      </c>
      <c r="Q38" s="13">
        <v>46090</v>
      </c>
      <c r="R38" s="13">
        <v>46097</v>
      </c>
      <c r="S38" s="13">
        <v>46104</v>
      </c>
      <c r="T38" s="13">
        <v>46111</v>
      </c>
      <c r="U38" s="13">
        <v>46118</v>
      </c>
      <c r="V38" s="13">
        <v>46125</v>
      </c>
      <c r="W38" s="13">
        <v>46132</v>
      </c>
      <c r="X38" s="13">
        <v>46139</v>
      </c>
      <c r="Y38" s="13">
        <v>46146</v>
      </c>
      <c r="Z38" s="13">
        <v>46154</v>
      </c>
      <c r="AA38" s="13">
        <v>46160</v>
      </c>
      <c r="AB38" s="13">
        <v>46161.480133611112</v>
      </c>
      <c r="AC38" s="13">
        <v>46161.480807268519</v>
      </c>
      <c r="AD38" s="13">
        <v>46161.482964305556</v>
      </c>
      <c r="AE38" s="13">
        <v>46161.483293018588</v>
      </c>
      <c r="AF38" s="35" t="s">
        <v>129</v>
      </c>
      <c r="AG38" s="41"/>
      <c r="AH38" s="29" t="s">
        <v>126</v>
      </c>
      <c r="AI38" s="29" t="s">
        <v>126</v>
      </c>
      <c r="AK38" s="9" t="s">
        <v>127</v>
      </c>
      <c r="AL38" s="17">
        <v>46161.483292308367</v>
      </c>
      <c r="AM38" s="17">
        <v>46149</v>
      </c>
      <c r="AN38" s="17">
        <v>46142</v>
      </c>
      <c r="AO38" s="17">
        <v>46114</v>
      </c>
      <c r="AP38" s="17">
        <v>46107</v>
      </c>
      <c r="AQ38" s="17">
        <v>46099</v>
      </c>
      <c r="AR38" s="294">
        <v>46065</v>
      </c>
      <c r="AS38" s="17">
        <v>46092</v>
      </c>
      <c r="AT38" s="17">
        <v>46084</v>
      </c>
      <c r="AU38" s="294">
        <v>46065</v>
      </c>
      <c r="AV38" s="292">
        <v>46045</v>
      </c>
      <c r="AW38" s="17">
        <v>46077</v>
      </c>
      <c r="AX38" s="17">
        <v>46071</v>
      </c>
      <c r="AY38" s="17">
        <v>46056</v>
      </c>
      <c r="AZ38" s="17">
        <v>46048</v>
      </c>
      <c r="BA38" s="17">
        <v>46029</v>
      </c>
      <c r="BB38" s="17">
        <v>46029</v>
      </c>
      <c r="BC38" s="17">
        <v>46043</v>
      </c>
      <c r="BD38" s="17">
        <v>46029</v>
      </c>
      <c r="BE38" s="17">
        <v>46017</v>
      </c>
      <c r="BF38" s="17">
        <v>46007</v>
      </c>
      <c r="BG38" s="17">
        <v>46001</v>
      </c>
      <c r="BH38" s="17">
        <v>46001</v>
      </c>
      <c r="BI38" s="207">
        <v>46014</v>
      </c>
      <c r="BJ38" s="17">
        <v>45994</v>
      </c>
      <c r="BK38" s="17">
        <v>45986</v>
      </c>
      <c r="BL38" s="17">
        <v>45986</v>
      </c>
    </row>
    <row r="39" spans="1:64" ht="18.75" x14ac:dyDescent="0.3">
      <c r="A39" s="25" t="s">
        <v>448</v>
      </c>
      <c r="B39" s="72">
        <v>100</v>
      </c>
      <c r="C39" s="77">
        <v>539.70000000000005</v>
      </c>
      <c r="D39" s="234">
        <v>20</v>
      </c>
      <c r="E39" s="41"/>
      <c r="F39" s="72">
        <v>43</v>
      </c>
      <c r="G39" s="72">
        <v>43</v>
      </c>
      <c r="H39" s="72">
        <v>43</v>
      </c>
      <c r="I39" s="72">
        <v>43</v>
      </c>
      <c r="J39" s="72">
        <v>43</v>
      </c>
      <c r="K39" s="72">
        <v>43</v>
      </c>
      <c r="L39" s="72">
        <v>43</v>
      </c>
      <c r="M39" s="72">
        <v>43</v>
      </c>
      <c r="N39" s="72">
        <v>43</v>
      </c>
      <c r="O39" s="72">
        <v>43</v>
      </c>
      <c r="P39" s="72">
        <v>43</v>
      </c>
      <c r="Q39" s="72">
        <v>41</v>
      </c>
      <c r="R39" s="72">
        <v>40</v>
      </c>
      <c r="S39" s="72">
        <v>40</v>
      </c>
      <c r="T39" s="72">
        <v>40</v>
      </c>
      <c r="U39" s="72"/>
      <c r="V39" s="72"/>
      <c r="W39" s="72"/>
      <c r="X39" s="72"/>
      <c r="Y39" s="72"/>
      <c r="Z39" s="72">
        <v>39</v>
      </c>
      <c r="AA39" s="72">
        <v>39</v>
      </c>
      <c r="AB39" s="72">
        <v>39</v>
      </c>
      <c r="AC39" s="72">
        <v>39</v>
      </c>
      <c r="AD39" s="72">
        <v>39</v>
      </c>
      <c r="AE39" s="72">
        <v>39</v>
      </c>
      <c r="AF39" s="372">
        <f ca="1">AD39+IF(NOT(ISBLANK(OFFSET(AF39,0,6))),N(OFFSET(AF39,0,6)),N(OFFSET(AF39,0,7)))-AE39</f>
        <v>0</v>
      </c>
      <c r="AG39" s="41"/>
      <c r="AH39" s="134"/>
      <c r="AI39" s="134"/>
      <c r="AJ39" s="7"/>
      <c r="AK39" s="32"/>
      <c r="AL39" s="445">
        <v>0</v>
      </c>
      <c r="AM39" s="19">
        <v>0</v>
      </c>
      <c r="AN39" s="19">
        <v>0</v>
      </c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</row>
    <row r="40" spans="1:64" ht="18.75" x14ac:dyDescent="0.3">
      <c r="A40" s="25" t="s">
        <v>449</v>
      </c>
      <c r="B40" s="72">
        <v>100</v>
      </c>
      <c r="C40" s="77">
        <v>652.04999999999995</v>
      </c>
      <c r="D40" s="234">
        <v>30</v>
      </c>
      <c r="E40" s="41"/>
      <c r="F40" s="72">
        <v>67</v>
      </c>
      <c r="G40" s="72">
        <v>66</v>
      </c>
      <c r="H40" s="72">
        <v>66</v>
      </c>
      <c r="I40" s="72">
        <v>66</v>
      </c>
      <c r="J40" s="72">
        <v>66</v>
      </c>
      <c r="K40" s="72">
        <v>66</v>
      </c>
      <c r="L40" s="72">
        <v>66</v>
      </c>
      <c r="M40" s="72">
        <v>66</v>
      </c>
      <c r="N40" s="72">
        <v>65</v>
      </c>
      <c r="O40" s="72">
        <v>65</v>
      </c>
      <c r="P40" s="72">
        <v>65</v>
      </c>
      <c r="Q40" s="72">
        <v>62</v>
      </c>
      <c r="R40" s="72">
        <v>61</v>
      </c>
      <c r="S40" s="72">
        <v>60</v>
      </c>
      <c r="T40" s="72">
        <v>58</v>
      </c>
      <c r="U40" s="72"/>
      <c r="V40" s="72"/>
      <c r="W40" s="72"/>
      <c r="X40" s="72"/>
      <c r="Y40" s="72"/>
      <c r="Z40" s="72">
        <v>50</v>
      </c>
      <c r="AA40" s="72">
        <v>46</v>
      </c>
      <c r="AB40" s="72">
        <v>46</v>
      </c>
      <c r="AC40" s="72">
        <v>46</v>
      </c>
      <c r="AD40" s="72">
        <v>46</v>
      </c>
      <c r="AE40" s="72">
        <v>46</v>
      </c>
      <c r="AF40" s="372">
        <f ca="1">AD40+IF(NOT(ISBLANK(OFFSET(AF40,0,6))),N(OFFSET(AF40,0,6)),N(OFFSET(AF40,0,7)))-AE40</f>
        <v>0</v>
      </c>
      <c r="AG40" s="41"/>
      <c r="AH40" s="134"/>
      <c r="AI40" s="134"/>
      <c r="AJ40" s="1"/>
      <c r="AK40" s="32"/>
      <c r="AL40" s="445">
        <v>0</v>
      </c>
      <c r="AM40" s="19">
        <v>0</v>
      </c>
      <c r="AN40" s="19">
        <v>0</v>
      </c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</row>
    <row r="41" spans="1:64" ht="18.75" x14ac:dyDescent="0.3">
      <c r="A41" s="25" t="s">
        <v>450</v>
      </c>
      <c r="B41" s="72">
        <v>50</v>
      </c>
      <c r="C41" s="77">
        <v>567.53</v>
      </c>
      <c r="D41" s="234">
        <v>10</v>
      </c>
      <c r="E41" s="41"/>
      <c r="F41" s="72">
        <v>19</v>
      </c>
      <c r="G41" s="72">
        <v>19</v>
      </c>
      <c r="H41" s="72">
        <v>19</v>
      </c>
      <c r="I41" s="72">
        <v>19</v>
      </c>
      <c r="J41" s="72">
        <v>19</v>
      </c>
      <c r="K41" s="72">
        <v>19</v>
      </c>
      <c r="L41" s="72">
        <v>19</v>
      </c>
      <c r="M41" s="72">
        <v>19</v>
      </c>
      <c r="N41" s="72">
        <v>19</v>
      </c>
      <c r="O41" s="72">
        <v>19</v>
      </c>
      <c r="P41" s="72">
        <v>19</v>
      </c>
      <c r="Q41" s="72">
        <v>19</v>
      </c>
      <c r="R41" s="72">
        <v>19</v>
      </c>
      <c r="S41" s="72">
        <v>19</v>
      </c>
      <c r="T41" s="72">
        <v>19</v>
      </c>
      <c r="U41" s="72"/>
      <c r="V41" s="72"/>
      <c r="W41" s="72"/>
      <c r="X41" s="72"/>
      <c r="Y41" s="72"/>
      <c r="Z41" s="72">
        <v>19</v>
      </c>
      <c r="AA41" s="72">
        <v>19</v>
      </c>
      <c r="AB41" s="72">
        <v>19</v>
      </c>
      <c r="AC41" s="72">
        <v>19</v>
      </c>
      <c r="AD41" s="72">
        <v>19</v>
      </c>
      <c r="AE41" s="72">
        <v>19</v>
      </c>
      <c r="AF41" s="372">
        <f ca="1">AD41+IF(NOT(ISBLANK(OFFSET(AF41,0,6))),N(OFFSET(AF41,0,6)),N(OFFSET(AF41,0,7)))-AE41</f>
        <v>0</v>
      </c>
      <c r="AG41" s="41"/>
      <c r="AH41" s="134"/>
      <c r="AI41" s="134"/>
      <c r="AJ41" s="1"/>
      <c r="AK41" s="32"/>
      <c r="AL41" s="445">
        <v>0</v>
      </c>
      <c r="AM41" s="19">
        <v>0</v>
      </c>
      <c r="AN41" s="19">
        <v>0</v>
      </c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</row>
    <row r="42" spans="1:64" ht="18.75" x14ac:dyDescent="0.3"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J42" s="41"/>
      <c r="AL42" s="116"/>
      <c r="AM42" s="116"/>
      <c r="AN42" s="116"/>
      <c r="AO42" s="116"/>
      <c r="AP42" s="116"/>
      <c r="AQ42" s="116"/>
      <c r="AR42" s="116"/>
      <c r="AS42" s="116"/>
      <c r="AT42" s="116"/>
      <c r="AU42" s="116"/>
      <c r="AV42" s="116"/>
      <c r="AW42" s="116"/>
      <c r="AX42" s="116"/>
      <c r="AY42" s="116"/>
      <c r="AZ42" s="116"/>
      <c r="BA42" s="116"/>
      <c r="BB42" s="116"/>
      <c r="BC42" s="116"/>
      <c r="BD42" s="116"/>
      <c r="BE42" s="116"/>
      <c r="BF42" s="116"/>
      <c r="BG42" s="116"/>
      <c r="BH42" s="116"/>
      <c r="BI42" s="116"/>
      <c r="BJ42" s="116"/>
      <c r="BK42" s="116"/>
      <c r="BL42" s="116"/>
    </row>
    <row r="43" spans="1:64" ht="18.75" x14ac:dyDescent="0.3">
      <c r="A43" s="145" t="s">
        <v>451</v>
      </c>
      <c r="B43" s="146" t="s">
        <v>151</v>
      </c>
      <c r="C43" s="146" t="s">
        <v>152</v>
      </c>
      <c r="D43" s="146" t="s">
        <v>125</v>
      </c>
      <c r="E43" s="1"/>
      <c r="F43" s="13">
        <v>46013</v>
      </c>
      <c r="G43" s="13">
        <v>46020</v>
      </c>
      <c r="H43" s="13">
        <v>46027</v>
      </c>
      <c r="I43" s="13">
        <v>46034</v>
      </c>
      <c r="J43" s="13">
        <v>46041</v>
      </c>
      <c r="K43" s="13">
        <v>46048</v>
      </c>
      <c r="L43" s="13">
        <v>46055</v>
      </c>
      <c r="M43" s="13">
        <v>46062</v>
      </c>
      <c r="N43" s="13">
        <v>46069</v>
      </c>
      <c r="O43" s="13">
        <v>46076</v>
      </c>
      <c r="P43" s="13">
        <v>46083</v>
      </c>
      <c r="Q43" s="13">
        <v>46090</v>
      </c>
      <c r="R43" s="13">
        <v>46097</v>
      </c>
      <c r="S43" s="13">
        <v>46104</v>
      </c>
      <c r="T43" s="13">
        <v>46111</v>
      </c>
      <c r="U43" s="13">
        <v>46118</v>
      </c>
      <c r="V43" s="13">
        <v>46125</v>
      </c>
      <c r="W43" s="13">
        <v>46132</v>
      </c>
      <c r="X43" s="13">
        <v>46139</v>
      </c>
      <c r="Y43" s="13">
        <v>46146</v>
      </c>
      <c r="Z43" s="13">
        <v>46154</v>
      </c>
      <c r="AA43" s="13">
        <v>46160</v>
      </c>
      <c r="AB43" s="13">
        <v>46161.480133611112</v>
      </c>
      <c r="AC43" s="13">
        <v>46161.480807268519</v>
      </c>
      <c r="AD43" s="13">
        <v>46161.482964305556</v>
      </c>
      <c r="AE43" s="13">
        <v>46161.483293018777</v>
      </c>
      <c r="AF43" s="35" t="s">
        <v>129</v>
      </c>
      <c r="AG43" s="41"/>
      <c r="AH43" s="29" t="s">
        <v>126</v>
      </c>
      <c r="AI43" s="29" t="s">
        <v>126</v>
      </c>
      <c r="AK43" s="9" t="s">
        <v>127</v>
      </c>
      <c r="AL43" s="17">
        <v>46161.483292308607</v>
      </c>
      <c r="AM43" s="17">
        <v>46149</v>
      </c>
      <c r="AN43" s="17">
        <v>46142</v>
      </c>
      <c r="AO43" s="17">
        <v>46114</v>
      </c>
      <c r="AP43" s="17">
        <v>46107</v>
      </c>
      <c r="AQ43" s="17">
        <v>46099</v>
      </c>
      <c r="AR43" s="294">
        <v>46065</v>
      </c>
      <c r="AS43" s="17">
        <v>46092</v>
      </c>
      <c r="AT43" s="17">
        <v>46084</v>
      </c>
      <c r="AU43" s="294">
        <v>46065</v>
      </c>
      <c r="AV43" s="292">
        <v>46045</v>
      </c>
      <c r="AW43" s="17">
        <v>46077</v>
      </c>
      <c r="AX43" s="17">
        <v>46071</v>
      </c>
      <c r="AY43" s="17">
        <v>46056</v>
      </c>
      <c r="AZ43" s="17">
        <v>46048</v>
      </c>
      <c r="BA43" s="17">
        <v>46029</v>
      </c>
      <c r="BB43" s="17">
        <v>46029</v>
      </c>
      <c r="BC43" s="17">
        <v>46043</v>
      </c>
      <c r="BD43" s="17">
        <v>46029</v>
      </c>
      <c r="BE43" s="17">
        <v>46017</v>
      </c>
      <c r="BF43" s="17">
        <v>46007</v>
      </c>
      <c r="BG43" s="17">
        <v>46001</v>
      </c>
      <c r="BH43" s="17">
        <v>46001</v>
      </c>
      <c r="BI43" s="207">
        <v>46014</v>
      </c>
      <c r="BJ43" s="17">
        <v>45994</v>
      </c>
      <c r="BK43" s="17">
        <v>45986</v>
      </c>
      <c r="BL43" s="17">
        <v>45986</v>
      </c>
    </row>
    <row r="44" spans="1:64" ht="18.75" x14ac:dyDescent="0.3">
      <c r="A44" s="25" t="s">
        <v>452</v>
      </c>
      <c r="B44" s="6">
        <v>300</v>
      </c>
      <c r="C44" s="66">
        <v>169.8</v>
      </c>
      <c r="D44" s="234">
        <v>0</v>
      </c>
      <c r="E44" s="1"/>
      <c r="F44" s="39">
        <v>0</v>
      </c>
      <c r="G44" s="39">
        <v>0</v>
      </c>
      <c r="H44" s="39">
        <v>0</v>
      </c>
      <c r="I44" s="39">
        <v>0</v>
      </c>
      <c r="J44" s="39">
        <v>0</v>
      </c>
      <c r="K44" s="39">
        <v>0</v>
      </c>
      <c r="L44" s="39">
        <v>0</v>
      </c>
      <c r="M44" s="39">
        <v>0</v>
      </c>
      <c r="N44" s="39">
        <v>0</v>
      </c>
      <c r="O44" s="39">
        <v>0</v>
      </c>
      <c r="P44" s="39">
        <v>0</v>
      </c>
      <c r="Q44" s="39">
        <v>0</v>
      </c>
      <c r="R44" s="39">
        <v>0</v>
      </c>
      <c r="S44" s="39">
        <v>0</v>
      </c>
      <c r="T44" s="39">
        <v>0</v>
      </c>
      <c r="U44" s="39">
        <v>0</v>
      </c>
      <c r="V44" s="39">
        <v>0</v>
      </c>
      <c r="W44" s="39">
        <v>0</v>
      </c>
      <c r="X44" s="39">
        <v>0</v>
      </c>
      <c r="Y44" s="39">
        <v>0</v>
      </c>
      <c r="Z44" s="39">
        <v>0</v>
      </c>
      <c r="AA44" s="39"/>
      <c r="AB44" s="6"/>
      <c r="AC44" s="6"/>
      <c r="AD44" s="6"/>
      <c r="AE44" s="6"/>
      <c r="AF44" s="372">
        <f t="shared" ref="AF44:AF49" ca="1" si="0">AD44+IF(NOT(ISBLANK(OFFSET(AF44,0,6))),N(OFFSET(AF44,0,6)),N(OFFSET(AF44,0,7)))-AE44</f>
        <v>0</v>
      </c>
      <c r="AG44" s="41"/>
      <c r="AH44" s="134"/>
      <c r="AI44" s="134"/>
      <c r="AK44" s="76"/>
      <c r="AL44" s="445">
        <v>0</v>
      </c>
      <c r="AM44" s="19">
        <v>0</v>
      </c>
      <c r="AN44" s="19">
        <v>0</v>
      </c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</row>
    <row r="45" spans="1:64" ht="18.75" x14ac:dyDescent="0.3">
      <c r="A45" s="25" t="s">
        <v>453</v>
      </c>
      <c r="B45" s="6">
        <v>200</v>
      </c>
      <c r="C45" s="66">
        <v>175.22</v>
      </c>
      <c r="D45" s="234">
        <v>0</v>
      </c>
      <c r="E45" s="1"/>
      <c r="F45" s="39">
        <v>0</v>
      </c>
      <c r="G45" s="39">
        <v>0</v>
      </c>
      <c r="H45" s="39">
        <v>0</v>
      </c>
      <c r="I45" s="39">
        <v>0</v>
      </c>
      <c r="J45" s="39">
        <v>0</v>
      </c>
      <c r="K45" s="39">
        <v>0</v>
      </c>
      <c r="L45" s="39">
        <v>0</v>
      </c>
      <c r="M45" s="39">
        <v>0</v>
      </c>
      <c r="N45" s="39">
        <v>0</v>
      </c>
      <c r="O45" s="39">
        <v>0</v>
      </c>
      <c r="P45" s="39">
        <v>0</v>
      </c>
      <c r="Q45" s="39">
        <v>0</v>
      </c>
      <c r="R45" s="39">
        <v>0</v>
      </c>
      <c r="S45" s="39">
        <v>0</v>
      </c>
      <c r="T45" s="39">
        <v>0</v>
      </c>
      <c r="U45" s="39">
        <v>0</v>
      </c>
      <c r="V45" s="39">
        <v>0</v>
      </c>
      <c r="W45" s="39">
        <v>0</v>
      </c>
      <c r="X45" s="39">
        <v>0</v>
      </c>
      <c r="Y45" s="39">
        <v>0</v>
      </c>
      <c r="Z45" s="39">
        <v>0</v>
      </c>
      <c r="AA45" s="39"/>
      <c r="AB45" s="6"/>
      <c r="AC45" s="6"/>
      <c r="AD45" s="6"/>
      <c r="AE45" s="6"/>
      <c r="AF45" s="372">
        <f t="shared" ca="1" si="0"/>
        <v>0</v>
      </c>
      <c r="AG45" s="41"/>
      <c r="AH45" s="134"/>
      <c r="AI45" s="134"/>
      <c r="AK45" s="76"/>
      <c r="AL45" s="445">
        <v>0</v>
      </c>
      <c r="AM45" s="19">
        <v>0</v>
      </c>
      <c r="AN45" s="19">
        <v>0</v>
      </c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</row>
    <row r="46" spans="1:64" ht="18.75" x14ac:dyDescent="0.3">
      <c r="A46" s="25" t="s">
        <v>454</v>
      </c>
      <c r="B46" s="6">
        <v>200</v>
      </c>
      <c r="C46" s="66">
        <v>230.34</v>
      </c>
      <c r="D46" s="234">
        <v>0</v>
      </c>
      <c r="E46" s="1"/>
      <c r="F46" s="39">
        <v>0</v>
      </c>
      <c r="G46" s="39">
        <v>0</v>
      </c>
      <c r="H46" s="39">
        <v>0</v>
      </c>
      <c r="I46" s="39">
        <v>0</v>
      </c>
      <c r="J46" s="39">
        <v>0</v>
      </c>
      <c r="K46" s="39">
        <v>0</v>
      </c>
      <c r="L46" s="39">
        <v>0</v>
      </c>
      <c r="M46" s="39">
        <v>0</v>
      </c>
      <c r="N46" s="39">
        <v>0</v>
      </c>
      <c r="O46" s="39">
        <v>0</v>
      </c>
      <c r="P46" s="39">
        <v>0</v>
      </c>
      <c r="Q46" s="39">
        <v>0</v>
      </c>
      <c r="R46" s="39">
        <v>0</v>
      </c>
      <c r="S46" s="39">
        <v>0</v>
      </c>
      <c r="T46" s="39">
        <v>0</v>
      </c>
      <c r="U46" s="39">
        <v>0</v>
      </c>
      <c r="V46" s="39">
        <v>0</v>
      </c>
      <c r="W46" s="39">
        <v>0</v>
      </c>
      <c r="X46" s="39">
        <v>0</v>
      </c>
      <c r="Y46" s="39">
        <v>0</v>
      </c>
      <c r="Z46" s="39">
        <v>0</v>
      </c>
      <c r="AA46" s="39"/>
      <c r="AB46" s="6"/>
      <c r="AC46" s="6"/>
      <c r="AD46" s="6"/>
      <c r="AE46" s="6"/>
      <c r="AF46" s="372">
        <f t="shared" ca="1" si="0"/>
        <v>0</v>
      </c>
      <c r="AG46" s="41"/>
      <c r="AH46" s="134"/>
      <c r="AI46" s="134"/>
      <c r="AK46" s="76"/>
      <c r="AL46" s="445">
        <v>0</v>
      </c>
      <c r="AM46" s="19">
        <v>0</v>
      </c>
      <c r="AN46" s="19">
        <v>0</v>
      </c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</row>
    <row r="47" spans="1:64" ht="18.75" x14ac:dyDescent="0.3">
      <c r="A47" s="25" t="s">
        <v>455</v>
      </c>
      <c r="B47" s="6">
        <v>150</v>
      </c>
      <c r="C47" s="66">
        <v>295.72000000000003</v>
      </c>
      <c r="D47" s="234">
        <v>10</v>
      </c>
      <c r="E47" s="1"/>
      <c r="F47" s="39">
        <v>0</v>
      </c>
      <c r="G47" s="39">
        <v>0</v>
      </c>
      <c r="H47" s="39">
        <v>0</v>
      </c>
      <c r="I47" s="39">
        <v>0</v>
      </c>
      <c r="J47" s="39">
        <v>0</v>
      </c>
      <c r="K47" s="39">
        <v>0</v>
      </c>
      <c r="L47" s="39">
        <v>0</v>
      </c>
      <c r="M47" s="39">
        <v>0</v>
      </c>
      <c r="N47" s="39">
        <v>0</v>
      </c>
      <c r="O47" s="39">
        <v>0</v>
      </c>
      <c r="P47" s="39">
        <v>0</v>
      </c>
      <c r="Q47" s="39">
        <v>0</v>
      </c>
      <c r="R47" s="39">
        <v>0</v>
      </c>
      <c r="S47" s="39">
        <v>0</v>
      </c>
      <c r="T47" s="39">
        <v>0</v>
      </c>
      <c r="U47" s="39">
        <v>0</v>
      </c>
      <c r="V47" s="39">
        <v>0</v>
      </c>
      <c r="W47" s="39">
        <v>0</v>
      </c>
      <c r="X47" s="39">
        <v>0</v>
      </c>
      <c r="Y47" s="39">
        <v>0</v>
      </c>
      <c r="Z47" s="39">
        <v>0</v>
      </c>
      <c r="AA47" s="39">
        <v>0</v>
      </c>
      <c r="AB47" s="6">
        <v>0</v>
      </c>
      <c r="AC47" s="6">
        <v>0</v>
      </c>
      <c r="AD47" s="6">
        <v>0</v>
      </c>
      <c r="AE47" s="6">
        <v>0</v>
      </c>
      <c r="AF47" s="372">
        <f t="shared" ca="1" si="0"/>
        <v>0</v>
      </c>
      <c r="AG47" s="41"/>
      <c r="AH47" s="134"/>
      <c r="AI47" s="134"/>
      <c r="AK47" s="76"/>
      <c r="AL47" s="445">
        <v>0</v>
      </c>
      <c r="AM47" s="19">
        <v>0</v>
      </c>
      <c r="AN47" s="19">
        <v>0</v>
      </c>
      <c r="AO47" s="159"/>
      <c r="AP47" s="159"/>
      <c r="AQ47" s="159"/>
      <c r="AR47" s="159"/>
      <c r="AS47" s="159"/>
      <c r="AT47" s="159"/>
      <c r="AU47" s="159"/>
      <c r="AV47" s="159"/>
      <c r="AW47" s="159"/>
      <c r="AX47" s="159"/>
      <c r="AY47" s="159"/>
      <c r="AZ47" s="159"/>
      <c r="BA47" s="159"/>
      <c r="BB47" s="159"/>
      <c r="BC47" s="159"/>
      <c r="BD47" s="159"/>
      <c r="BE47" s="159"/>
      <c r="BF47" s="159"/>
      <c r="BG47" s="159"/>
      <c r="BH47" s="159"/>
      <c r="BI47" s="159"/>
      <c r="BJ47" s="159"/>
      <c r="BK47" s="159"/>
      <c r="BL47" s="159"/>
    </row>
    <row r="48" spans="1:64" ht="18.75" x14ac:dyDescent="0.3">
      <c r="A48" s="25" t="s">
        <v>456</v>
      </c>
      <c r="B48" s="6">
        <v>100</v>
      </c>
      <c r="C48" s="66">
        <v>216.38</v>
      </c>
      <c r="D48" s="234">
        <v>10</v>
      </c>
      <c r="E48" s="1"/>
      <c r="F48" s="39">
        <v>22</v>
      </c>
      <c r="G48" s="39">
        <v>22</v>
      </c>
      <c r="H48" s="39">
        <v>22</v>
      </c>
      <c r="I48" s="39">
        <v>22</v>
      </c>
      <c r="J48" s="39">
        <v>22</v>
      </c>
      <c r="K48" s="39">
        <v>22</v>
      </c>
      <c r="L48" s="39">
        <v>22</v>
      </c>
      <c r="M48" s="39">
        <v>22</v>
      </c>
      <c r="N48" s="39">
        <v>22</v>
      </c>
      <c r="O48" s="39">
        <v>22</v>
      </c>
      <c r="P48" s="39">
        <v>22</v>
      </c>
      <c r="Q48" s="39">
        <v>22</v>
      </c>
      <c r="R48" s="39">
        <v>22</v>
      </c>
      <c r="S48" s="39">
        <v>22</v>
      </c>
      <c r="T48" s="39">
        <v>22</v>
      </c>
      <c r="U48" s="39"/>
      <c r="V48" s="39"/>
      <c r="W48" s="39"/>
      <c r="X48" s="39"/>
      <c r="Y48" s="39"/>
      <c r="Z48" s="39">
        <v>22</v>
      </c>
      <c r="AA48" s="39">
        <v>22</v>
      </c>
      <c r="AB48" s="6">
        <v>22</v>
      </c>
      <c r="AC48" s="6">
        <v>22</v>
      </c>
      <c r="AD48" s="6">
        <v>22</v>
      </c>
      <c r="AE48" s="6">
        <v>22</v>
      </c>
      <c r="AF48" s="372">
        <f t="shared" ca="1" si="0"/>
        <v>0</v>
      </c>
      <c r="AG48" s="41"/>
      <c r="AH48" s="134"/>
      <c r="AI48" s="134"/>
      <c r="AK48" s="76"/>
      <c r="AL48" s="445">
        <v>0</v>
      </c>
      <c r="AM48" s="19">
        <v>0</v>
      </c>
      <c r="AN48" s="19">
        <v>0</v>
      </c>
      <c r="AO48" s="159"/>
      <c r="AP48" s="159"/>
      <c r="AQ48" s="159"/>
      <c r="AR48" s="159"/>
      <c r="AS48" s="159"/>
      <c r="AT48" s="159"/>
      <c r="AU48" s="159"/>
      <c r="AV48" s="159"/>
      <c r="AW48" s="159"/>
      <c r="AX48" s="159"/>
      <c r="AY48" s="159"/>
      <c r="AZ48" s="159"/>
      <c r="BA48" s="159"/>
      <c r="BB48" s="159"/>
      <c r="BC48" s="159"/>
      <c r="BD48" s="159"/>
      <c r="BE48" s="159"/>
      <c r="BF48" s="159"/>
      <c r="BG48" s="159"/>
      <c r="BH48" s="159"/>
      <c r="BI48" s="159"/>
      <c r="BJ48" s="159"/>
      <c r="BK48" s="159"/>
      <c r="BL48" s="159"/>
    </row>
    <row r="49" spans="1:64" ht="18.75" x14ac:dyDescent="0.3">
      <c r="A49" s="25" t="s">
        <v>457</v>
      </c>
      <c r="B49" s="6">
        <v>100</v>
      </c>
      <c r="C49" s="66">
        <v>306</v>
      </c>
      <c r="D49" s="234">
        <v>10</v>
      </c>
      <c r="E49" s="1"/>
      <c r="F49" s="39">
        <v>3</v>
      </c>
      <c r="G49" s="39">
        <v>3</v>
      </c>
      <c r="H49" s="39">
        <v>3</v>
      </c>
      <c r="I49" s="39">
        <v>3</v>
      </c>
      <c r="J49" s="39">
        <v>3</v>
      </c>
      <c r="K49" s="39">
        <v>3</v>
      </c>
      <c r="L49" s="39">
        <v>3</v>
      </c>
      <c r="M49" s="39">
        <v>3</v>
      </c>
      <c r="N49" s="39">
        <v>4</v>
      </c>
      <c r="O49" s="39">
        <v>4</v>
      </c>
      <c r="P49" s="39">
        <v>4</v>
      </c>
      <c r="Q49" s="39">
        <v>3</v>
      </c>
      <c r="R49" s="39">
        <v>3</v>
      </c>
      <c r="S49" s="39">
        <v>3</v>
      </c>
      <c r="T49" s="39">
        <v>3</v>
      </c>
      <c r="U49" s="39"/>
      <c r="V49" s="39"/>
      <c r="W49" s="39"/>
      <c r="X49" s="39"/>
      <c r="Y49" s="39"/>
      <c r="Z49" s="39">
        <v>2</v>
      </c>
      <c r="AA49" s="39">
        <v>2</v>
      </c>
      <c r="AB49" s="6">
        <v>2</v>
      </c>
      <c r="AC49" s="6">
        <v>2</v>
      </c>
      <c r="AD49" s="6">
        <v>2</v>
      </c>
      <c r="AE49" s="6">
        <v>2</v>
      </c>
      <c r="AF49" s="372">
        <f t="shared" ca="1" si="0"/>
        <v>0</v>
      </c>
      <c r="AG49" s="41"/>
      <c r="AH49" s="134"/>
      <c r="AI49" s="134"/>
      <c r="AK49" s="76"/>
      <c r="AL49" s="445">
        <v>0</v>
      </c>
      <c r="AM49" s="19">
        <v>0</v>
      </c>
      <c r="AN49" s="19">
        <v>0</v>
      </c>
      <c r="AO49" s="159"/>
      <c r="AP49" s="159"/>
      <c r="AQ49" s="159"/>
      <c r="AR49" s="159"/>
      <c r="AS49" s="159"/>
      <c r="AT49" s="159"/>
      <c r="AU49" s="159"/>
      <c r="AV49" s="159"/>
      <c r="AW49" s="159"/>
      <c r="AX49" s="159"/>
      <c r="AY49" s="159"/>
      <c r="AZ49" s="159"/>
      <c r="BA49" s="159"/>
      <c r="BB49" s="159"/>
      <c r="BC49" s="159"/>
      <c r="BD49" s="159"/>
      <c r="BE49" s="159"/>
      <c r="BF49" s="159"/>
      <c r="BG49" s="159"/>
      <c r="BH49" s="159"/>
      <c r="BI49" s="159"/>
      <c r="BJ49" s="159"/>
      <c r="BK49" s="159"/>
      <c r="BL49" s="159"/>
    </row>
    <row r="50" spans="1:64" ht="18.75" x14ac:dyDescent="0.3">
      <c r="A50" s="23"/>
      <c r="B50" s="1"/>
      <c r="C50" s="64"/>
      <c r="D50" s="64"/>
      <c r="E50" s="1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1"/>
      <c r="AC50" s="1"/>
      <c r="AD50" s="1"/>
      <c r="AE50" s="1"/>
      <c r="AG50" s="41"/>
      <c r="AH50" s="214"/>
      <c r="AI50" s="214"/>
      <c r="AK50" s="205"/>
      <c r="AL50" s="341"/>
      <c r="AM50" s="341"/>
      <c r="AN50" s="341"/>
      <c r="AO50" s="341"/>
      <c r="AP50" s="341"/>
      <c r="AQ50" s="341"/>
      <c r="AR50" s="341"/>
      <c r="AS50" s="341"/>
      <c r="AT50" s="341"/>
      <c r="AU50" s="341"/>
      <c r="AV50" s="341"/>
      <c r="AW50" s="341"/>
      <c r="AX50" s="341"/>
      <c r="AY50" s="341"/>
      <c r="AZ50" s="341"/>
      <c r="BA50" s="341"/>
      <c r="BB50" s="341"/>
      <c r="BC50" s="341"/>
      <c r="BD50" s="341"/>
      <c r="BE50" s="341"/>
      <c r="BF50" s="341"/>
      <c r="BG50" s="341"/>
      <c r="BH50" s="341"/>
      <c r="BI50" s="341"/>
      <c r="BJ50" s="341"/>
      <c r="BK50" s="341"/>
      <c r="BL50" s="341"/>
    </row>
    <row r="51" spans="1:64" ht="18.75" x14ac:dyDescent="0.3">
      <c r="A51" s="215" t="s">
        <v>458</v>
      </c>
      <c r="B51" s="216" t="s">
        <v>151</v>
      </c>
      <c r="C51" s="216" t="s">
        <v>152</v>
      </c>
      <c r="D51" s="216" t="s">
        <v>125</v>
      </c>
      <c r="E51" s="1"/>
      <c r="F51" s="13">
        <v>46013</v>
      </c>
      <c r="G51" s="13">
        <v>46020</v>
      </c>
      <c r="H51" s="13">
        <v>46027</v>
      </c>
      <c r="I51" s="13">
        <v>46034</v>
      </c>
      <c r="J51" s="13">
        <v>46041</v>
      </c>
      <c r="K51" s="13">
        <v>46048</v>
      </c>
      <c r="L51" s="13">
        <v>46055</v>
      </c>
      <c r="M51" s="13">
        <v>46062</v>
      </c>
      <c r="N51" s="13">
        <v>46069</v>
      </c>
      <c r="O51" s="13">
        <v>46076</v>
      </c>
      <c r="P51" s="13">
        <v>46083</v>
      </c>
      <c r="Q51" s="13">
        <v>46090</v>
      </c>
      <c r="R51" s="13">
        <v>46097</v>
      </c>
      <c r="S51" s="13">
        <v>46104</v>
      </c>
      <c r="T51" s="13">
        <v>46111</v>
      </c>
      <c r="U51" s="13">
        <v>46118</v>
      </c>
      <c r="V51" s="13">
        <v>46125</v>
      </c>
      <c r="W51" s="13">
        <v>46132</v>
      </c>
      <c r="X51" s="13">
        <v>46139</v>
      </c>
      <c r="Y51" s="13">
        <v>46146</v>
      </c>
      <c r="Z51" s="13">
        <v>46154</v>
      </c>
      <c r="AA51" s="13">
        <v>46160</v>
      </c>
      <c r="AB51" s="13">
        <v>46161.480133611112</v>
      </c>
      <c r="AC51" s="13">
        <v>46161.480807268519</v>
      </c>
      <c r="AD51" s="13">
        <v>46161.482964305556</v>
      </c>
      <c r="AE51" s="13">
        <v>46161.48329301898</v>
      </c>
      <c r="AF51" s="35" t="s">
        <v>129</v>
      </c>
      <c r="AG51" s="41"/>
      <c r="AH51" s="29" t="s">
        <v>126</v>
      </c>
      <c r="AI51" s="29" t="s">
        <v>126</v>
      </c>
      <c r="AK51" s="9" t="s">
        <v>127</v>
      </c>
      <c r="AL51" s="17">
        <v>46161.483292308949</v>
      </c>
      <c r="AM51" s="17">
        <v>46149</v>
      </c>
      <c r="AN51" s="17">
        <v>46142</v>
      </c>
      <c r="AO51" s="17">
        <v>46114</v>
      </c>
      <c r="AP51" s="17">
        <v>46107</v>
      </c>
      <c r="AQ51" s="17">
        <v>46099</v>
      </c>
      <c r="AR51" s="294">
        <v>46065</v>
      </c>
      <c r="AS51" s="17">
        <v>46092</v>
      </c>
      <c r="AT51" s="17">
        <v>46084</v>
      </c>
      <c r="AU51" s="294">
        <v>46065</v>
      </c>
      <c r="AV51" s="292">
        <v>46045</v>
      </c>
      <c r="AW51" s="17">
        <v>46077</v>
      </c>
      <c r="AX51" s="17">
        <v>46071</v>
      </c>
      <c r="AY51" s="17">
        <v>46056</v>
      </c>
      <c r="AZ51" s="17">
        <v>46048</v>
      </c>
      <c r="BA51" s="17">
        <v>46029</v>
      </c>
      <c r="BB51" s="17">
        <v>46029</v>
      </c>
      <c r="BC51" s="17">
        <v>46043</v>
      </c>
      <c r="BD51" s="17">
        <v>46029</v>
      </c>
      <c r="BE51" s="17">
        <v>46017</v>
      </c>
      <c r="BF51" s="17">
        <v>46007</v>
      </c>
      <c r="BG51" s="17">
        <v>46001</v>
      </c>
      <c r="BH51" s="17">
        <v>46001</v>
      </c>
      <c r="BI51" s="207">
        <v>46014</v>
      </c>
      <c r="BJ51" s="17">
        <v>45994</v>
      </c>
      <c r="BK51" s="17">
        <v>45986</v>
      </c>
      <c r="BL51" s="17">
        <v>45986</v>
      </c>
    </row>
    <row r="52" spans="1:64" ht="18.75" x14ac:dyDescent="0.3">
      <c r="A52" s="25" t="s">
        <v>459</v>
      </c>
      <c r="B52" s="6">
        <v>200</v>
      </c>
      <c r="C52" s="66">
        <v>174.51</v>
      </c>
      <c r="D52" s="234" t="s">
        <v>460</v>
      </c>
      <c r="E52" s="1"/>
      <c r="F52" s="39">
        <f>1000+BB52</f>
        <v>2200</v>
      </c>
      <c r="G52" s="39">
        <v>1800</v>
      </c>
      <c r="H52" s="39">
        <v>1000</v>
      </c>
      <c r="I52" s="39">
        <v>1000</v>
      </c>
      <c r="J52" s="39">
        <v>600</v>
      </c>
      <c r="K52" s="39">
        <v>800</v>
      </c>
      <c r="L52" s="39">
        <f>800+AV52</f>
        <v>800</v>
      </c>
      <c r="M52" s="39">
        <v>2200</v>
      </c>
      <c r="N52" s="39">
        <v>2000</v>
      </c>
      <c r="O52" s="39">
        <v>1600</v>
      </c>
      <c r="P52" s="39">
        <f>1000+AS52</f>
        <v>1000</v>
      </c>
      <c r="Q52" s="39">
        <v>1400</v>
      </c>
      <c r="R52" s="39">
        <v>600</v>
      </c>
      <c r="S52" s="39">
        <f>200+AM52</f>
        <v>200</v>
      </c>
      <c r="T52" s="39">
        <f>800+AL52</f>
        <v>800</v>
      </c>
      <c r="U52" s="39">
        <v>1000</v>
      </c>
      <c r="V52" s="39">
        <v>600</v>
      </c>
      <c r="W52" s="39">
        <v>600</v>
      </c>
      <c r="X52" s="39">
        <v>0</v>
      </c>
      <c r="Y52" s="39">
        <f>0+AJ52</f>
        <v>0</v>
      </c>
      <c r="Z52" s="39">
        <v>600</v>
      </c>
      <c r="AA52" s="39"/>
      <c r="AB52" s="6"/>
      <c r="AC52" s="6"/>
      <c r="AD52" s="6"/>
      <c r="AE52" s="6"/>
      <c r="AF52" s="372">
        <f t="shared" ref="AF52:AF60" ca="1" si="1">AD52+IF(NOT(ISBLANK(OFFSET(AF52,0,6))),N(OFFSET(AF52,0,6)),N(OFFSET(AF52,0,7)))-AE52</f>
        <v>0</v>
      </c>
      <c r="AG52" s="41"/>
      <c r="AH52" s="134"/>
      <c r="AI52" s="134"/>
      <c r="AK52" s="76">
        <v>400</v>
      </c>
      <c r="AL52" s="445">
        <v>0</v>
      </c>
      <c r="AM52" s="19">
        <v>0</v>
      </c>
      <c r="AN52" s="19">
        <v>600</v>
      </c>
      <c r="AO52" s="19">
        <v>1000</v>
      </c>
      <c r="AP52" s="19">
        <v>800</v>
      </c>
      <c r="AQ52" s="19">
        <v>1000</v>
      </c>
      <c r="AR52" s="19"/>
      <c r="AS52" s="19"/>
      <c r="AT52" s="19"/>
      <c r="AU52" s="19"/>
      <c r="AV52" s="19"/>
      <c r="AW52" s="19">
        <v>800</v>
      </c>
      <c r="AX52" s="19"/>
      <c r="AY52" s="19"/>
      <c r="AZ52" s="19">
        <v>2000</v>
      </c>
      <c r="BA52" s="19">
        <v>200</v>
      </c>
      <c r="BB52" s="19">
        <v>1200</v>
      </c>
      <c r="BC52" s="19"/>
      <c r="BD52" s="19"/>
      <c r="BE52" s="19">
        <v>800</v>
      </c>
      <c r="BF52" s="19">
        <v>800</v>
      </c>
      <c r="BG52" s="19"/>
      <c r="BH52" s="19"/>
      <c r="BI52" s="19"/>
      <c r="BJ52" s="19"/>
      <c r="BK52" s="19">
        <v>2000</v>
      </c>
      <c r="BL52" s="19"/>
    </row>
    <row r="53" spans="1:64" ht="18.75" x14ac:dyDescent="0.3">
      <c r="A53" s="25" t="s">
        <v>461</v>
      </c>
      <c r="B53" s="6">
        <v>200</v>
      </c>
      <c r="C53" s="66">
        <v>229.36</v>
      </c>
      <c r="D53" s="234" t="s">
        <v>460</v>
      </c>
      <c r="E53" s="1"/>
      <c r="F53" s="39">
        <v>1200</v>
      </c>
      <c r="G53" s="39">
        <v>1200</v>
      </c>
      <c r="H53" s="39">
        <v>1000</v>
      </c>
      <c r="I53" s="39">
        <v>1000</v>
      </c>
      <c r="J53" s="39">
        <v>1000</v>
      </c>
      <c r="K53" s="39">
        <v>1000</v>
      </c>
      <c r="L53" s="39">
        <v>800</v>
      </c>
      <c r="M53" s="39">
        <v>800</v>
      </c>
      <c r="N53" s="39">
        <v>600</v>
      </c>
      <c r="O53" s="39">
        <v>600</v>
      </c>
      <c r="P53" s="39">
        <v>600</v>
      </c>
      <c r="Q53" s="39">
        <v>600</v>
      </c>
      <c r="R53" s="39">
        <v>600</v>
      </c>
      <c r="S53" s="39">
        <v>400</v>
      </c>
      <c r="T53" s="39">
        <v>400</v>
      </c>
      <c r="U53" s="39">
        <v>400</v>
      </c>
      <c r="V53" s="39">
        <v>400</v>
      </c>
      <c r="W53" s="39">
        <v>200</v>
      </c>
      <c r="X53" s="39">
        <v>200</v>
      </c>
      <c r="Y53" s="39">
        <v>0</v>
      </c>
      <c r="Z53" s="39">
        <f>0+AI53</f>
        <v>0</v>
      </c>
      <c r="AA53" s="39"/>
      <c r="AB53" s="6"/>
      <c r="AC53" s="6"/>
      <c r="AD53" s="6"/>
      <c r="AE53" s="6"/>
      <c r="AF53" s="372">
        <f t="shared" ca="1" si="1"/>
        <v>0</v>
      </c>
      <c r="AG53" s="41"/>
      <c r="AH53" s="134"/>
      <c r="AI53" s="134"/>
      <c r="AK53" s="76"/>
      <c r="AL53" s="445">
        <v>0</v>
      </c>
      <c r="AM53" s="19">
        <v>400</v>
      </c>
      <c r="AN53" s="19">
        <v>0</v>
      </c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>
        <v>1000</v>
      </c>
      <c r="BL53" s="19"/>
    </row>
    <row r="54" spans="1:64" ht="18.75" x14ac:dyDescent="0.3">
      <c r="A54" s="25" t="s">
        <v>462</v>
      </c>
      <c r="B54" s="6">
        <v>100</v>
      </c>
      <c r="C54" s="66">
        <v>166.79</v>
      </c>
      <c r="D54" s="234" t="s">
        <v>460</v>
      </c>
      <c r="E54" s="1"/>
      <c r="F54" s="39">
        <v>400</v>
      </c>
      <c r="G54" s="39">
        <v>400</v>
      </c>
      <c r="H54" s="39">
        <v>400</v>
      </c>
      <c r="I54" s="39">
        <v>400</v>
      </c>
      <c r="J54" s="39">
        <v>400</v>
      </c>
      <c r="K54" s="39">
        <v>400</v>
      </c>
      <c r="L54" s="39">
        <v>400</v>
      </c>
      <c r="M54" s="39">
        <v>400</v>
      </c>
      <c r="N54" s="39">
        <v>400</v>
      </c>
      <c r="O54" s="39">
        <v>300</v>
      </c>
      <c r="P54" s="39">
        <f>300+AS54</f>
        <v>300</v>
      </c>
      <c r="Q54" s="39">
        <v>500</v>
      </c>
      <c r="R54" s="39">
        <v>500</v>
      </c>
      <c r="S54" s="39">
        <v>600</v>
      </c>
      <c r="T54" s="39">
        <v>600</v>
      </c>
      <c r="U54" s="39">
        <v>600</v>
      </c>
      <c r="V54" s="39">
        <v>600</v>
      </c>
      <c r="W54" s="39">
        <v>600</v>
      </c>
      <c r="X54" s="39">
        <v>600</v>
      </c>
      <c r="Y54" s="39">
        <v>600</v>
      </c>
      <c r="Z54" s="39">
        <v>600</v>
      </c>
      <c r="AA54" s="39"/>
      <c r="AB54" s="6"/>
      <c r="AC54" s="6"/>
      <c r="AD54" s="6"/>
      <c r="AE54" s="6"/>
      <c r="AF54" s="372">
        <f t="shared" ca="1" si="1"/>
        <v>0</v>
      </c>
      <c r="AG54" s="41"/>
      <c r="AH54" s="134" t="s">
        <v>463</v>
      </c>
      <c r="AI54" s="134"/>
      <c r="AK54" s="76"/>
      <c r="AL54" s="445">
        <v>0</v>
      </c>
      <c r="AM54" s="19">
        <v>0</v>
      </c>
      <c r="AN54" s="19">
        <v>0</v>
      </c>
      <c r="AO54" s="19"/>
      <c r="AP54" s="19"/>
      <c r="AQ54" s="19"/>
      <c r="AR54" s="19"/>
      <c r="AS54" s="19"/>
      <c r="AT54" s="19"/>
      <c r="AU54" s="19"/>
      <c r="AV54" s="19"/>
      <c r="AW54" s="19">
        <v>300</v>
      </c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</row>
    <row r="55" spans="1:64" ht="18.75" x14ac:dyDescent="0.3">
      <c r="A55" s="95" t="s">
        <v>464</v>
      </c>
      <c r="B55" s="217">
        <v>200</v>
      </c>
      <c r="C55" s="218">
        <v>175.36</v>
      </c>
      <c r="D55" s="234">
        <v>40</v>
      </c>
      <c r="E55" s="1"/>
      <c r="F55" s="39">
        <f>2+BC55</f>
        <v>2</v>
      </c>
      <c r="G55" s="39">
        <v>41</v>
      </c>
      <c r="H55" s="39">
        <v>40</v>
      </c>
      <c r="I55" s="39">
        <v>40</v>
      </c>
      <c r="J55" s="39">
        <v>39</v>
      </c>
      <c r="K55" s="39">
        <v>38</v>
      </c>
      <c r="L55" s="39">
        <v>35</v>
      </c>
      <c r="M55" s="39">
        <v>32</v>
      </c>
      <c r="N55" s="39">
        <v>31</v>
      </c>
      <c r="O55" s="39">
        <v>31</v>
      </c>
      <c r="P55" s="39">
        <v>29</v>
      </c>
      <c r="Q55" s="39">
        <v>29</v>
      </c>
      <c r="R55" s="39">
        <v>27</v>
      </c>
      <c r="S55" s="39">
        <v>21</v>
      </c>
      <c r="T55" s="39">
        <v>20</v>
      </c>
      <c r="U55" s="39"/>
      <c r="V55" s="39"/>
      <c r="W55" s="39"/>
      <c r="X55" s="39"/>
      <c r="Y55" s="39"/>
      <c r="Z55" s="39">
        <v>17</v>
      </c>
      <c r="AA55" s="39">
        <v>17</v>
      </c>
      <c r="AB55" s="6">
        <v>17</v>
      </c>
      <c r="AC55" s="6">
        <v>17</v>
      </c>
      <c r="AD55" s="6">
        <v>17</v>
      </c>
      <c r="AE55" s="6">
        <v>17</v>
      </c>
      <c r="AF55" s="372">
        <f t="shared" ca="1" si="1"/>
        <v>0</v>
      </c>
      <c r="AG55" s="41"/>
      <c r="AH55" s="134"/>
      <c r="AI55" s="134"/>
      <c r="AK55" s="76"/>
      <c r="AL55" s="445">
        <v>0</v>
      </c>
      <c r="AM55" s="19">
        <v>0</v>
      </c>
      <c r="AN55" s="19">
        <v>0</v>
      </c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>
        <v>40</v>
      </c>
      <c r="BH55" s="19"/>
      <c r="BI55" s="19"/>
      <c r="BJ55" s="19"/>
      <c r="BK55" s="19"/>
      <c r="BL55" s="19"/>
    </row>
    <row r="56" spans="1:64" ht="18.75" x14ac:dyDescent="0.3">
      <c r="A56" s="95" t="s">
        <v>465</v>
      </c>
      <c r="B56" s="217">
        <v>150</v>
      </c>
      <c r="C56" s="218">
        <v>172.76</v>
      </c>
      <c r="D56" s="234">
        <v>40</v>
      </c>
      <c r="E56" s="1"/>
      <c r="F56" s="39">
        <v>42</v>
      </c>
      <c r="G56" s="39">
        <v>42</v>
      </c>
      <c r="H56" s="39">
        <v>42</v>
      </c>
      <c r="I56" s="39">
        <v>41</v>
      </c>
      <c r="J56" s="39">
        <v>41</v>
      </c>
      <c r="K56" s="39">
        <v>41</v>
      </c>
      <c r="L56" s="39">
        <v>41</v>
      </c>
      <c r="M56" s="39">
        <v>41</v>
      </c>
      <c r="N56" s="39">
        <v>41</v>
      </c>
      <c r="O56" s="39">
        <v>40</v>
      </c>
      <c r="P56" s="39">
        <v>40</v>
      </c>
      <c r="Q56" s="39">
        <v>39</v>
      </c>
      <c r="R56" s="39">
        <v>38</v>
      </c>
      <c r="S56" s="39">
        <v>38</v>
      </c>
      <c r="T56" s="39">
        <v>37</v>
      </c>
      <c r="U56" s="39"/>
      <c r="V56" s="39"/>
      <c r="W56" s="39"/>
      <c r="X56" s="39"/>
      <c r="Y56" s="39"/>
      <c r="Z56" s="39">
        <v>34</v>
      </c>
      <c r="AA56" s="39">
        <v>34</v>
      </c>
      <c r="AB56" s="6">
        <v>34</v>
      </c>
      <c r="AC56" s="6">
        <v>34</v>
      </c>
      <c r="AD56" s="6">
        <v>34</v>
      </c>
      <c r="AE56" s="6">
        <v>34</v>
      </c>
      <c r="AF56" s="372">
        <f t="shared" ca="1" si="1"/>
        <v>0</v>
      </c>
      <c r="AG56" s="41"/>
      <c r="AH56" s="134"/>
      <c r="AI56" s="134"/>
      <c r="AK56" s="76"/>
      <c r="AL56" s="445">
        <v>0</v>
      </c>
      <c r="AM56" s="19">
        <v>0</v>
      </c>
      <c r="AN56" s="19">
        <v>0</v>
      </c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>
        <v>30</v>
      </c>
      <c r="BH56" s="19"/>
      <c r="BI56" s="19"/>
      <c r="BJ56" s="19"/>
      <c r="BK56" s="19"/>
      <c r="BL56" s="19"/>
    </row>
    <row r="57" spans="1:64" ht="18.75" x14ac:dyDescent="0.3">
      <c r="A57" s="95" t="s">
        <v>466</v>
      </c>
      <c r="B57" s="217" t="s">
        <v>467</v>
      </c>
      <c r="C57" s="218" t="s">
        <v>467</v>
      </c>
      <c r="D57" s="234">
        <v>20</v>
      </c>
      <c r="E57" s="1"/>
      <c r="F57" s="39">
        <v>0</v>
      </c>
      <c r="G57" s="39">
        <v>0</v>
      </c>
      <c r="H57" s="39">
        <v>0</v>
      </c>
      <c r="I57" s="39">
        <v>0</v>
      </c>
      <c r="J57" s="39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/>
      <c r="V57" s="39"/>
      <c r="W57" s="39"/>
      <c r="X57" s="39"/>
      <c r="Y57" s="39"/>
      <c r="Z57" s="39">
        <v>0</v>
      </c>
      <c r="AA57" s="39">
        <v>0</v>
      </c>
      <c r="AB57" s="6">
        <v>0</v>
      </c>
      <c r="AC57" s="6">
        <v>0</v>
      </c>
      <c r="AD57" s="6">
        <v>0</v>
      </c>
      <c r="AE57" s="6">
        <v>0</v>
      </c>
      <c r="AF57" s="372">
        <f t="shared" ca="1" si="1"/>
        <v>0</v>
      </c>
      <c r="AG57" s="41"/>
      <c r="AH57" s="134"/>
      <c r="AI57" s="134"/>
      <c r="AK57" s="76"/>
      <c r="AL57" s="445">
        <v>0</v>
      </c>
      <c r="AM57" s="19">
        <v>0</v>
      </c>
      <c r="AN57" s="19">
        <v>0</v>
      </c>
      <c r="AO57" s="159"/>
      <c r="AP57" s="159"/>
      <c r="AQ57" s="159"/>
      <c r="AR57" s="159"/>
      <c r="AS57" s="159"/>
      <c r="AT57" s="159"/>
      <c r="AU57" s="159"/>
      <c r="AV57" s="159"/>
      <c r="AW57" s="159"/>
      <c r="AX57" s="159"/>
      <c r="AY57" s="159"/>
      <c r="AZ57" s="159"/>
      <c r="BA57" s="159"/>
      <c r="BB57" s="159"/>
      <c r="BC57" s="159"/>
      <c r="BD57" s="159"/>
      <c r="BE57" s="159"/>
      <c r="BF57" s="159"/>
      <c r="BG57" s="159"/>
      <c r="BH57" s="159"/>
      <c r="BI57" s="159"/>
      <c r="BJ57" s="159"/>
      <c r="BK57" s="159"/>
      <c r="BL57" s="159"/>
    </row>
    <row r="58" spans="1:64" ht="18.75" x14ac:dyDescent="0.3">
      <c r="A58" s="95" t="s">
        <v>468</v>
      </c>
      <c r="B58" s="217">
        <v>150</v>
      </c>
      <c r="C58" s="218">
        <v>400.5</v>
      </c>
      <c r="D58" s="234">
        <v>20</v>
      </c>
      <c r="E58" s="1"/>
      <c r="F58" s="39">
        <v>52</v>
      </c>
      <c r="G58" s="39">
        <v>2</v>
      </c>
      <c r="H58" s="39">
        <v>2</v>
      </c>
      <c r="I58" s="39">
        <v>0</v>
      </c>
      <c r="J58" s="39">
        <v>0</v>
      </c>
      <c r="K58" s="39">
        <f>0+AY58</f>
        <v>0</v>
      </c>
      <c r="L58" s="39">
        <v>150</v>
      </c>
      <c r="M58" s="39">
        <v>149</v>
      </c>
      <c r="N58" s="39">
        <v>149</v>
      </c>
      <c r="O58" s="39">
        <v>148</v>
      </c>
      <c r="P58" s="39">
        <v>148</v>
      </c>
      <c r="Q58" s="39">
        <v>145</v>
      </c>
      <c r="R58" s="39">
        <v>145</v>
      </c>
      <c r="S58" s="39">
        <v>145</v>
      </c>
      <c r="T58" s="39">
        <v>145</v>
      </c>
      <c r="U58" s="39"/>
      <c r="V58" s="39"/>
      <c r="W58" s="39"/>
      <c r="X58" s="39"/>
      <c r="Y58" s="39"/>
      <c r="Z58" s="39">
        <v>142</v>
      </c>
      <c r="AA58" s="39">
        <v>142</v>
      </c>
      <c r="AB58" s="6">
        <v>142</v>
      </c>
      <c r="AC58" s="6">
        <v>142</v>
      </c>
      <c r="AD58" s="6">
        <v>142</v>
      </c>
      <c r="AE58" s="6">
        <v>142</v>
      </c>
      <c r="AF58" s="372">
        <f t="shared" ca="1" si="1"/>
        <v>0</v>
      </c>
      <c r="AG58" s="41"/>
      <c r="AH58" s="134"/>
      <c r="AI58" s="134"/>
      <c r="AK58" s="76"/>
      <c r="AL58" s="445">
        <v>0</v>
      </c>
      <c r="AM58" s="19">
        <v>0</v>
      </c>
      <c r="AN58" s="19">
        <v>0</v>
      </c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>
        <v>150</v>
      </c>
      <c r="BD58" s="19"/>
      <c r="BE58" s="19"/>
      <c r="BF58" s="19"/>
      <c r="BG58" s="19">
        <v>150</v>
      </c>
      <c r="BH58" s="19"/>
      <c r="BI58" s="19"/>
      <c r="BJ58" s="19"/>
      <c r="BK58" s="19"/>
      <c r="BL58" s="19"/>
    </row>
    <row r="59" spans="1:64" ht="18.75" x14ac:dyDescent="0.3">
      <c r="A59" s="95" t="s">
        <v>469</v>
      </c>
      <c r="B59" s="217">
        <v>100</v>
      </c>
      <c r="C59" s="218">
        <v>365</v>
      </c>
      <c r="D59" s="234">
        <v>20</v>
      </c>
      <c r="E59" s="1"/>
      <c r="F59" s="39">
        <v>4</v>
      </c>
      <c r="G59" s="39">
        <v>4</v>
      </c>
      <c r="H59" s="39">
        <v>4</v>
      </c>
      <c r="I59" s="39">
        <v>4</v>
      </c>
      <c r="J59" s="39">
        <v>4</v>
      </c>
      <c r="K59" s="39">
        <v>3</v>
      </c>
      <c r="L59" s="39">
        <v>3</v>
      </c>
      <c r="M59" s="39">
        <v>3</v>
      </c>
      <c r="N59" s="39">
        <v>3</v>
      </c>
      <c r="O59" s="39">
        <v>3</v>
      </c>
      <c r="P59" s="39">
        <v>3</v>
      </c>
      <c r="Q59" s="39">
        <v>0</v>
      </c>
      <c r="R59" s="39">
        <v>0</v>
      </c>
      <c r="S59" s="39">
        <v>0</v>
      </c>
      <c r="T59" s="39">
        <v>0</v>
      </c>
      <c r="U59" s="39"/>
      <c r="V59" s="39"/>
      <c r="W59" s="39"/>
      <c r="X59" s="39"/>
      <c r="Y59" s="39"/>
      <c r="Z59" s="39">
        <v>0</v>
      </c>
      <c r="AA59" s="39">
        <v>0</v>
      </c>
      <c r="AB59" s="6">
        <v>0</v>
      </c>
      <c r="AC59" s="6">
        <v>0</v>
      </c>
      <c r="AD59" s="6">
        <v>0</v>
      </c>
      <c r="AE59" s="6">
        <v>0</v>
      </c>
      <c r="AF59" s="372">
        <f t="shared" ca="1" si="1"/>
        <v>0</v>
      </c>
      <c r="AG59" s="41"/>
      <c r="AH59" s="134"/>
      <c r="AI59" s="134"/>
      <c r="AK59" s="76"/>
      <c r="AL59" s="445">
        <v>0</v>
      </c>
      <c r="AM59" s="19">
        <v>0</v>
      </c>
      <c r="AN59" s="19">
        <v>0</v>
      </c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17"/>
      <c r="BJ59" s="19"/>
      <c r="BK59" s="19"/>
      <c r="BL59" s="19"/>
    </row>
    <row r="60" spans="1:64" ht="18.75" x14ac:dyDescent="0.3">
      <c r="A60" s="95" t="s">
        <v>470</v>
      </c>
      <c r="B60" s="217">
        <v>75</v>
      </c>
      <c r="C60" s="218">
        <v>438.75</v>
      </c>
      <c r="D60" s="234">
        <v>10</v>
      </c>
      <c r="E60" s="1"/>
      <c r="F60" s="39">
        <v>30</v>
      </c>
      <c r="G60" s="39">
        <v>30</v>
      </c>
      <c r="H60" s="39">
        <v>30</v>
      </c>
      <c r="I60" s="39">
        <v>30</v>
      </c>
      <c r="J60" s="39">
        <v>30</v>
      </c>
      <c r="K60" s="39">
        <v>30</v>
      </c>
      <c r="L60" s="39">
        <v>30</v>
      </c>
      <c r="M60" s="39">
        <v>30</v>
      </c>
      <c r="N60" s="39">
        <v>30</v>
      </c>
      <c r="O60" s="39">
        <v>30</v>
      </c>
      <c r="P60" s="39">
        <v>30</v>
      </c>
      <c r="Q60" s="39">
        <v>30</v>
      </c>
      <c r="R60" s="39">
        <v>30</v>
      </c>
      <c r="S60" s="39">
        <v>30</v>
      </c>
      <c r="T60" s="39">
        <v>30</v>
      </c>
      <c r="U60" s="39"/>
      <c r="V60" s="39"/>
      <c r="W60" s="39"/>
      <c r="X60" s="39"/>
      <c r="Y60" s="39"/>
      <c r="Z60" s="39">
        <v>30</v>
      </c>
      <c r="AA60" s="39">
        <v>30</v>
      </c>
      <c r="AB60" s="6">
        <v>30</v>
      </c>
      <c r="AC60" s="6">
        <v>30</v>
      </c>
      <c r="AD60" s="6">
        <v>30</v>
      </c>
      <c r="AE60" s="6">
        <v>30</v>
      </c>
      <c r="AF60" s="372">
        <f t="shared" ca="1" si="1"/>
        <v>0</v>
      </c>
      <c r="AG60" s="41"/>
      <c r="AH60" s="134"/>
      <c r="AI60" s="134"/>
      <c r="AK60" s="76"/>
      <c r="AL60" s="445">
        <v>0</v>
      </c>
      <c r="AM60" s="19">
        <v>0</v>
      </c>
      <c r="AN60" s="19">
        <v>0</v>
      </c>
      <c r="AO60" s="159"/>
      <c r="AP60" s="159"/>
      <c r="AQ60" s="159"/>
      <c r="AR60" s="159"/>
      <c r="AS60" s="159"/>
      <c r="AT60" s="159"/>
      <c r="AU60" s="159"/>
      <c r="AV60" s="159"/>
      <c r="AW60" s="159"/>
      <c r="AX60" s="159"/>
      <c r="AY60" s="159"/>
      <c r="AZ60" s="159"/>
      <c r="BA60" s="159"/>
      <c r="BB60" s="159"/>
      <c r="BC60" s="159"/>
      <c r="BD60" s="159"/>
      <c r="BE60" s="159"/>
      <c r="BF60" s="159"/>
      <c r="BG60" s="159"/>
      <c r="BH60" s="159"/>
      <c r="BI60" s="159"/>
      <c r="BJ60" s="159"/>
      <c r="BK60" s="159"/>
      <c r="BL60" s="159"/>
    </row>
    <row r="61" spans="1:64" ht="18.75" x14ac:dyDescent="0.3">
      <c r="B61" s="41"/>
      <c r="C61" s="120"/>
      <c r="D61" s="120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1"/>
      <c r="AC61" s="1"/>
      <c r="AD61" s="1"/>
      <c r="AE61" s="1"/>
      <c r="AF61" s="2"/>
      <c r="AH61" s="75"/>
      <c r="AI61" s="75"/>
      <c r="AJ61" s="1"/>
      <c r="AK61" s="15"/>
      <c r="AL61" s="388"/>
      <c r="AM61" s="75"/>
      <c r="AN61" s="75"/>
      <c r="AO61" s="75"/>
      <c r="AP61" s="75"/>
      <c r="AQ61" s="75"/>
      <c r="AR61" s="75"/>
      <c r="AS61" s="75"/>
      <c r="AT61" s="75"/>
      <c r="AU61" s="75"/>
      <c r="AV61" s="75"/>
      <c r="AW61" s="75"/>
      <c r="AX61" s="75"/>
      <c r="AY61" s="75"/>
      <c r="AZ61" s="75"/>
      <c r="BA61" s="75"/>
      <c r="BB61" s="75"/>
      <c r="BC61" s="75"/>
      <c r="BD61" s="75"/>
      <c r="BE61" s="75"/>
      <c r="BF61" s="75"/>
      <c r="BG61" s="75"/>
      <c r="BH61" s="75"/>
      <c r="BI61" s="75"/>
      <c r="BJ61" s="75"/>
      <c r="BK61" s="75"/>
      <c r="BL61" s="75"/>
    </row>
    <row r="62" spans="1:64" ht="18.75" x14ac:dyDescent="0.25">
      <c r="A62" s="377" t="s">
        <v>471</v>
      </c>
      <c r="B62" s="403" t="s">
        <v>151</v>
      </c>
      <c r="C62" s="403" t="s">
        <v>152</v>
      </c>
      <c r="D62" s="403" t="s">
        <v>125</v>
      </c>
      <c r="E62" s="1"/>
      <c r="F62" s="13">
        <v>46013</v>
      </c>
      <c r="G62" s="13">
        <v>46020</v>
      </c>
      <c r="H62" s="13">
        <v>46027</v>
      </c>
      <c r="I62" s="13">
        <v>46034</v>
      </c>
      <c r="J62" s="13">
        <v>46041</v>
      </c>
      <c r="K62" s="13">
        <v>46048</v>
      </c>
      <c r="L62" s="13">
        <v>46055</v>
      </c>
      <c r="M62" s="13">
        <v>46062</v>
      </c>
      <c r="N62" s="13">
        <v>46069</v>
      </c>
      <c r="O62" s="13">
        <v>46076</v>
      </c>
      <c r="P62" s="13">
        <v>46083</v>
      </c>
      <c r="Q62" s="13">
        <v>46090</v>
      </c>
      <c r="R62" s="13">
        <v>46097</v>
      </c>
      <c r="S62" s="13">
        <v>46104</v>
      </c>
      <c r="T62" s="13">
        <v>46111</v>
      </c>
      <c r="U62" s="13">
        <v>46118</v>
      </c>
      <c r="V62" s="13">
        <v>46125</v>
      </c>
      <c r="W62" s="13">
        <v>46132</v>
      </c>
      <c r="X62" s="13">
        <v>46139</v>
      </c>
      <c r="Y62" s="13">
        <v>46146</v>
      </c>
      <c r="Z62" s="13">
        <v>46154</v>
      </c>
      <c r="AA62" s="13">
        <v>46160</v>
      </c>
      <c r="AB62" s="13">
        <v>46161.480133611112</v>
      </c>
      <c r="AC62" s="13">
        <v>46161.480807268519</v>
      </c>
      <c r="AD62" s="13">
        <v>46161.482964305556</v>
      </c>
      <c r="AE62" s="13">
        <v>46161.48329301925</v>
      </c>
      <c r="AF62" s="35" t="s">
        <v>129</v>
      </c>
      <c r="AH62" s="29" t="s">
        <v>126</v>
      </c>
      <c r="AI62" s="29" t="s">
        <v>126</v>
      </c>
      <c r="AK62" s="9" t="s">
        <v>127</v>
      </c>
      <c r="AL62" s="17">
        <v>46161.48329230948</v>
      </c>
      <c r="AM62" s="17">
        <v>46149</v>
      </c>
      <c r="AN62" s="17">
        <v>46142</v>
      </c>
      <c r="AO62" s="17">
        <v>46114</v>
      </c>
      <c r="AP62" s="17">
        <v>46107</v>
      </c>
      <c r="AQ62" s="17">
        <v>46099</v>
      </c>
      <c r="AR62" s="294">
        <v>46065</v>
      </c>
      <c r="AS62" s="17">
        <v>46092</v>
      </c>
      <c r="AT62" s="17">
        <v>46084</v>
      </c>
      <c r="AU62" s="294">
        <v>46065</v>
      </c>
      <c r="AV62" s="292">
        <v>46045</v>
      </c>
      <c r="AW62" s="17">
        <v>46077</v>
      </c>
      <c r="AX62" s="17">
        <v>46071</v>
      </c>
      <c r="AY62" s="17">
        <v>46056</v>
      </c>
      <c r="AZ62" s="17">
        <v>46048</v>
      </c>
      <c r="BA62" s="17">
        <v>46029</v>
      </c>
      <c r="BB62" s="17">
        <v>46029</v>
      </c>
      <c r="BC62" s="17">
        <v>46043</v>
      </c>
      <c r="BD62" s="17">
        <v>46029</v>
      </c>
      <c r="BE62" s="17">
        <v>46017</v>
      </c>
      <c r="BF62" s="17">
        <v>46007</v>
      </c>
      <c r="BG62" s="17">
        <v>46001</v>
      </c>
      <c r="BH62" s="17">
        <v>46001</v>
      </c>
      <c r="BI62" s="207">
        <v>46014</v>
      </c>
      <c r="BJ62" s="17">
        <v>45994</v>
      </c>
      <c r="BK62" s="17">
        <v>45986</v>
      </c>
      <c r="BL62" s="17">
        <v>45986</v>
      </c>
    </row>
    <row r="63" spans="1:64" ht="18.75" x14ac:dyDescent="0.3">
      <c r="A63" s="25" t="s">
        <v>154</v>
      </c>
      <c r="B63" s="72">
        <v>25</v>
      </c>
      <c r="C63" s="242">
        <v>49.75</v>
      </c>
      <c r="D63" s="234">
        <v>500</v>
      </c>
      <c r="E63" s="41"/>
      <c r="F63" s="39">
        <v>2675</v>
      </c>
      <c r="G63" s="39">
        <v>2550</v>
      </c>
      <c r="H63" s="39">
        <v>2475</v>
      </c>
      <c r="I63" s="39">
        <v>2400</v>
      </c>
      <c r="J63" s="39">
        <v>2050</v>
      </c>
      <c r="K63" s="39">
        <v>1625</v>
      </c>
      <c r="L63" s="39">
        <v>1600</v>
      </c>
      <c r="M63" s="39">
        <v>1525</v>
      </c>
      <c r="N63" s="39">
        <v>1325</v>
      </c>
      <c r="O63" s="39">
        <v>1250</v>
      </c>
      <c r="P63" s="39">
        <v>1100</v>
      </c>
      <c r="Q63" s="39">
        <v>925</v>
      </c>
      <c r="R63" s="39">
        <v>775</v>
      </c>
      <c r="S63" s="39">
        <v>575</v>
      </c>
      <c r="T63" s="39">
        <v>400</v>
      </c>
      <c r="U63" s="39">
        <v>1275</v>
      </c>
      <c r="V63" s="39">
        <v>1075</v>
      </c>
      <c r="W63" s="39">
        <v>900</v>
      </c>
      <c r="X63" s="39">
        <v>750</v>
      </c>
      <c r="Y63" s="39">
        <v>525</v>
      </c>
      <c r="Z63" s="39">
        <v>325</v>
      </c>
      <c r="AA63" s="39"/>
      <c r="AB63" s="6"/>
      <c r="AC63" s="6"/>
      <c r="AD63" s="6"/>
      <c r="AE63" s="6"/>
      <c r="AF63" s="372">
        <f ca="1">AD63+IF(NOT(ISBLANK(OFFSET(AF63,0,6))),N(OFFSET(AF63,0,6)),N(OFFSET(AF63,0,7)))-AE63</f>
        <v>0</v>
      </c>
      <c r="AG63" s="41"/>
      <c r="AH63" s="78"/>
      <c r="AI63" s="78"/>
      <c r="AJ63" s="7"/>
      <c r="AK63" s="32"/>
      <c r="AL63" s="445">
        <v>0</v>
      </c>
      <c r="AM63" s="112">
        <v>0</v>
      </c>
      <c r="AN63" s="112">
        <v>0</v>
      </c>
      <c r="AO63" s="112">
        <v>1000</v>
      </c>
      <c r="AP63" s="112"/>
      <c r="AQ63" s="112"/>
      <c r="AR63" s="112"/>
      <c r="AS63" s="112"/>
      <c r="AT63" s="112"/>
      <c r="AU63" s="112"/>
      <c r="AV63" s="112"/>
      <c r="AW63" s="112"/>
      <c r="AX63" s="112"/>
      <c r="AY63" s="112"/>
      <c r="AZ63" s="112"/>
      <c r="BA63" s="112"/>
      <c r="BB63" s="112"/>
      <c r="BC63" s="112"/>
      <c r="BD63" s="112"/>
      <c r="BE63" s="112"/>
      <c r="BF63" s="112">
        <v>2000</v>
      </c>
      <c r="BG63" s="112"/>
      <c r="BH63" s="112">
        <v>500</v>
      </c>
      <c r="BI63" s="112"/>
      <c r="BJ63" s="112"/>
      <c r="BK63" s="112"/>
      <c r="BL63" s="112">
        <v>500</v>
      </c>
    </row>
    <row r="64" spans="1:64" ht="18.75" x14ac:dyDescent="0.3">
      <c r="A64" s="25" t="s">
        <v>156</v>
      </c>
      <c r="B64" s="72">
        <v>25</v>
      </c>
      <c r="C64" s="242">
        <v>72</v>
      </c>
      <c r="D64" s="234">
        <v>500</v>
      </c>
      <c r="F64" s="39">
        <v>2650</v>
      </c>
      <c r="G64" s="39">
        <v>2350</v>
      </c>
      <c r="H64" s="39">
        <v>2300</v>
      </c>
      <c r="I64" s="39">
        <v>2125</v>
      </c>
      <c r="J64" s="39">
        <v>1850</v>
      </c>
      <c r="K64" s="39">
        <v>1600</v>
      </c>
      <c r="L64" s="39">
        <v>1325</v>
      </c>
      <c r="M64" s="39">
        <v>1075</v>
      </c>
      <c r="N64" s="39">
        <v>725</v>
      </c>
      <c r="O64" s="39">
        <v>525</v>
      </c>
      <c r="P64" s="39">
        <v>1250</v>
      </c>
      <c r="Q64" s="39">
        <v>1000</v>
      </c>
      <c r="R64" s="39">
        <v>725</v>
      </c>
      <c r="S64" s="39">
        <v>475</v>
      </c>
      <c r="T64" s="39">
        <v>250</v>
      </c>
      <c r="U64" s="39">
        <v>1050</v>
      </c>
      <c r="V64" s="39">
        <v>775</v>
      </c>
      <c r="W64" s="39">
        <v>450</v>
      </c>
      <c r="X64" s="39">
        <v>275</v>
      </c>
      <c r="Y64" s="39">
        <v>0</v>
      </c>
      <c r="Z64" s="39">
        <f>0+AI64</f>
        <v>0</v>
      </c>
      <c r="AA64" s="39"/>
      <c r="AB64" s="6"/>
      <c r="AC64" s="6"/>
      <c r="AD64" s="6"/>
      <c r="AE64" s="6"/>
      <c r="AF64" s="372">
        <f ca="1">AD64+IF(NOT(ISBLANK(OFFSET(AF64,0,6))),N(OFFSET(AF64,0,6)),N(OFFSET(AF64,0,7)))-AE64</f>
        <v>0</v>
      </c>
      <c r="AH64" s="78"/>
      <c r="AI64" s="78"/>
      <c r="AK64" s="32"/>
      <c r="AL64" s="445">
        <v>0</v>
      </c>
      <c r="AM64" s="112">
        <v>500</v>
      </c>
      <c r="AN64" s="112">
        <v>0</v>
      </c>
      <c r="AO64" s="112">
        <v>1000</v>
      </c>
      <c r="AP64" s="112"/>
      <c r="AQ64" s="112"/>
      <c r="AR64" s="112"/>
      <c r="AS64" s="112"/>
      <c r="AT64" s="112"/>
      <c r="AU64" s="112"/>
      <c r="AV64" s="112"/>
      <c r="AW64" s="112">
        <v>1000</v>
      </c>
      <c r="AX64" s="112"/>
      <c r="AY64" s="112"/>
      <c r="AZ64" s="112"/>
      <c r="BA64" s="112"/>
      <c r="BB64" s="112"/>
      <c r="BC64" s="112"/>
      <c r="BD64" s="112"/>
      <c r="BE64" s="112"/>
      <c r="BF64" s="112">
        <v>1925</v>
      </c>
      <c r="BG64" s="112"/>
      <c r="BH64" s="112">
        <v>1000</v>
      </c>
      <c r="BI64" s="112"/>
      <c r="BJ64" s="112"/>
      <c r="BK64" s="112"/>
      <c r="BL64" s="112"/>
    </row>
    <row r="65" spans="1:64" ht="18.75" x14ac:dyDescent="0.3">
      <c r="A65" s="25" t="s">
        <v>472</v>
      </c>
      <c r="B65" s="72">
        <v>25</v>
      </c>
      <c r="C65" s="242">
        <v>93.75</v>
      </c>
      <c r="D65" s="234">
        <v>300</v>
      </c>
      <c r="F65" s="39">
        <v>650</v>
      </c>
      <c r="G65" s="39">
        <v>600</v>
      </c>
      <c r="H65" s="39">
        <v>550</v>
      </c>
      <c r="I65" s="39">
        <v>475</v>
      </c>
      <c r="J65" s="39">
        <v>425</v>
      </c>
      <c r="K65" s="39">
        <v>350</v>
      </c>
      <c r="L65" s="39">
        <v>300</v>
      </c>
      <c r="M65" s="39">
        <v>200</v>
      </c>
      <c r="N65" s="39">
        <v>150</v>
      </c>
      <c r="O65" s="39">
        <v>75</v>
      </c>
      <c r="P65" s="39">
        <v>25</v>
      </c>
      <c r="Q65" s="39">
        <v>250</v>
      </c>
      <c r="R65" s="39">
        <f>125+AO65</f>
        <v>725</v>
      </c>
      <c r="S65" s="39">
        <v>325</v>
      </c>
      <c r="T65" s="39">
        <v>300</v>
      </c>
      <c r="U65" s="39">
        <v>850</v>
      </c>
      <c r="V65" s="39">
        <v>775</v>
      </c>
      <c r="W65" s="39">
        <v>675</v>
      </c>
      <c r="X65" s="39">
        <v>600</v>
      </c>
      <c r="Y65" s="39">
        <v>450</v>
      </c>
      <c r="Z65" s="39">
        <f>125+AI65</f>
        <v>125</v>
      </c>
      <c r="AA65" s="39"/>
      <c r="AB65" s="6"/>
      <c r="AC65" s="6"/>
      <c r="AD65" s="6"/>
      <c r="AE65" s="6"/>
      <c r="AF65" s="372">
        <f ca="1">AD65+IF(NOT(ISBLANK(OFFSET(AF65,0,6))),N(OFFSET(AF65,0,6)),N(OFFSET(AF65,0,7)))-AE65</f>
        <v>0</v>
      </c>
      <c r="AH65" s="78"/>
      <c r="AI65" s="78"/>
      <c r="AK65" s="32"/>
      <c r="AL65" s="445">
        <v>0</v>
      </c>
      <c r="AM65" s="112">
        <v>300</v>
      </c>
      <c r="AN65" s="112">
        <v>0</v>
      </c>
      <c r="AO65" s="112">
        <v>600</v>
      </c>
      <c r="AP65" s="112"/>
      <c r="AQ65" s="112"/>
      <c r="AR65" s="112"/>
      <c r="AS65" s="112">
        <v>300</v>
      </c>
      <c r="AT65" s="112">
        <v>300</v>
      </c>
      <c r="AU65" s="112"/>
      <c r="AV65" s="112"/>
      <c r="AW65" s="112"/>
      <c r="AX65" s="112"/>
      <c r="AY65" s="112"/>
      <c r="AZ65" s="112"/>
      <c r="BA65" s="112"/>
      <c r="BB65" s="112"/>
      <c r="BC65" s="112"/>
      <c r="BD65" s="112"/>
      <c r="BE65" s="112"/>
      <c r="BF65" s="112">
        <v>500</v>
      </c>
      <c r="BG65" s="112"/>
      <c r="BH65" s="112">
        <v>200</v>
      </c>
      <c r="BI65" s="112"/>
      <c r="BJ65" s="112"/>
      <c r="BK65" s="112"/>
      <c r="BL65" s="112"/>
    </row>
    <row r="67" spans="1:64" ht="18.75" hidden="1" x14ac:dyDescent="0.25">
      <c r="A67" s="256" t="s">
        <v>473</v>
      </c>
      <c r="B67" s="257" t="s">
        <v>151</v>
      </c>
      <c r="C67" s="257" t="s">
        <v>152</v>
      </c>
      <c r="D67" s="257"/>
      <c r="F67" s="13">
        <v>46013</v>
      </c>
      <c r="G67" s="13">
        <v>46020</v>
      </c>
      <c r="H67" s="13">
        <v>46027</v>
      </c>
      <c r="I67" s="13">
        <v>46034</v>
      </c>
      <c r="J67" s="13">
        <v>46041</v>
      </c>
      <c r="K67" s="13">
        <v>46048</v>
      </c>
      <c r="L67" s="13">
        <v>46055</v>
      </c>
      <c r="M67" s="13">
        <v>46062</v>
      </c>
      <c r="N67" s="13">
        <v>46069</v>
      </c>
      <c r="O67" s="13">
        <v>46076</v>
      </c>
      <c r="P67" s="13">
        <v>46083</v>
      </c>
      <c r="Q67" s="13">
        <v>46090</v>
      </c>
      <c r="R67" s="13">
        <v>46097</v>
      </c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35" t="s">
        <v>129</v>
      </c>
    </row>
    <row r="68" spans="1:64" ht="18.75" hidden="1" x14ac:dyDescent="0.25">
      <c r="A68" s="25" t="s">
        <v>474</v>
      </c>
      <c r="B68" s="6">
        <v>100</v>
      </c>
      <c r="C68" s="66">
        <v>316</v>
      </c>
      <c r="D68" s="234"/>
      <c r="F68" s="39">
        <v>0</v>
      </c>
      <c r="G68" s="39">
        <v>0</v>
      </c>
      <c r="H68" s="39">
        <v>0</v>
      </c>
      <c r="I68" s="39">
        <v>0</v>
      </c>
      <c r="J68" s="39">
        <v>0</v>
      </c>
      <c r="K68" s="39">
        <v>0</v>
      </c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6"/>
      <c r="AC68" s="6"/>
      <c r="AD68" s="6"/>
      <c r="AE68" s="6"/>
      <c r="AF68" s="26">
        <f ca="1">AD68+IF(NOT(ISBLANK(OFFSET(AF68,0,6))),N(OFFSET(AF68,0,6)),N(OFFSET(AF68,0,7)))-AE68</f>
        <v>0</v>
      </c>
    </row>
    <row r="69" spans="1:64" ht="18.75" hidden="1" x14ac:dyDescent="0.25">
      <c r="A69" s="25" t="s">
        <v>475</v>
      </c>
      <c r="B69" s="6">
        <v>100</v>
      </c>
      <c r="C69" s="66">
        <v>41</v>
      </c>
      <c r="D69" s="234"/>
      <c r="F69" s="39">
        <v>0</v>
      </c>
      <c r="G69" s="39">
        <v>0</v>
      </c>
      <c r="H69" s="39">
        <v>0</v>
      </c>
      <c r="I69" s="39">
        <v>0</v>
      </c>
      <c r="J69" s="39">
        <v>0</v>
      </c>
      <c r="K69" s="39">
        <v>0</v>
      </c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6"/>
      <c r="AC69" s="6"/>
      <c r="AD69" s="6"/>
      <c r="AE69" s="6"/>
      <c r="AF69" s="26">
        <f ca="1">AD69+IF(NOT(ISBLANK(OFFSET(AF69,0,6))),N(OFFSET(AF69,0,6)),N(OFFSET(AF69,0,7)))-AE69</f>
        <v>0</v>
      </c>
    </row>
    <row r="70" spans="1:64" ht="18.75" hidden="1" x14ac:dyDescent="0.25">
      <c r="A70" s="25" t="s">
        <v>476</v>
      </c>
      <c r="B70" s="6">
        <v>150</v>
      </c>
      <c r="C70" s="66">
        <v>478.5</v>
      </c>
      <c r="D70" s="234"/>
      <c r="F70" s="39">
        <v>54</v>
      </c>
      <c r="G70" s="39">
        <v>54</v>
      </c>
      <c r="H70" s="39">
        <v>54</v>
      </c>
      <c r="I70" s="39">
        <v>54</v>
      </c>
      <c r="J70" s="39">
        <v>54</v>
      </c>
      <c r="K70" s="39">
        <v>54</v>
      </c>
      <c r="L70" s="39">
        <v>54</v>
      </c>
      <c r="M70" s="206">
        <v>0</v>
      </c>
      <c r="N70" s="39">
        <v>0</v>
      </c>
      <c r="O70" s="39">
        <v>0</v>
      </c>
      <c r="P70" s="39">
        <v>0</v>
      </c>
      <c r="Q70" s="39">
        <v>0</v>
      </c>
      <c r="R70" s="39">
        <v>0</v>
      </c>
      <c r="S70" s="39"/>
      <c r="T70" s="39"/>
      <c r="U70" s="39"/>
      <c r="V70" s="39"/>
      <c r="W70" s="39"/>
      <c r="X70" s="39"/>
      <c r="Y70" s="39"/>
      <c r="Z70" s="39"/>
      <c r="AA70" s="39"/>
      <c r="AB70" s="6"/>
      <c r="AC70" s="6"/>
      <c r="AD70" s="6"/>
      <c r="AE70" s="6"/>
      <c r="AF70" s="26">
        <v>0</v>
      </c>
    </row>
    <row r="71" spans="1:64" ht="18.75" hidden="1" x14ac:dyDescent="0.25"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1"/>
      <c r="AC71" s="1"/>
      <c r="AD71" s="1"/>
      <c r="AE71" s="1"/>
    </row>
    <row r="72" spans="1:64" ht="18.75" hidden="1" x14ac:dyDescent="0.25">
      <c r="A72" s="407" t="s">
        <v>477</v>
      </c>
      <c r="B72" s="408" t="s">
        <v>151</v>
      </c>
      <c r="C72" s="408" t="s">
        <v>152</v>
      </c>
      <c r="D72" s="408"/>
      <c r="F72" s="13">
        <v>46013</v>
      </c>
      <c r="G72" s="13">
        <v>46020</v>
      </c>
      <c r="H72" s="13">
        <v>46027</v>
      </c>
      <c r="I72" s="13">
        <v>46034</v>
      </c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35" t="s">
        <v>129</v>
      </c>
    </row>
    <row r="73" spans="1:64" ht="18.75" hidden="1" x14ac:dyDescent="0.25">
      <c r="A73" s="25" t="s">
        <v>421</v>
      </c>
      <c r="B73" s="6">
        <v>200</v>
      </c>
      <c r="C73" s="66">
        <v>479.2</v>
      </c>
      <c r="D73" s="234"/>
      <c r="F73" s="39">
        <v>0</v>
      </c>
      <c r="G73" s="39">
        <v>0</v>
      </c>
      <c r="H73" s="39">
        <v>0</v>
      </c>
      <c r="I73" s="39">
        <v>0</v>
      </c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6"/>
      <c r="AC73" s="6"/>
      <c r="AD73" s="6"/>
      <c r="AE73" s="6"/>
      <c r="AF73" s="26">
        <v>0</v>
      </c>
    </row>
    <row r="74" spans="1:64" ht="18.75" hidden="1" x14ac:dyDescent="0.25">
      <c r="A74" s="25" t="s">
        <v>143</v>
      </c>
      <c r="B74" s="6">
        <v>200</v>
      </c>
      <c r="C74" s="66">
        <v>45.47</v>
      </c>
      <c r="D74" s="234"/>
      <c r="F74" s="39">
        <v>0</v>
      </c>
      <c r="G74" s="39">
        <v>0</v>
      </c>
      <c r="H74" s="39">
        <v>0</v>
      </c>
      <c r="I74" s="39">
        <v>0</v>
      </c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6"/>
      <c r="AC74" s="6"/>
      <c r="AD74" s="6"/>
      <c r="AE74" s="6"/>
      <c r="AF74" s="26">
        <v>0</v>
      </c>
    </row>
    <row r="75" spans="1:64" ht="18.75" hidden="1" x14ac:dyDescent="0.25">
      <c r="A75" s="25" t="s">
        <v>156</v>
      </c>
      <c r="B75" s="6">
        <v>100</v>
      </c>
      <c r="C75" s="66">
        <v>1490</v>
      </c>
      <c r="D75" s="234"/>
      <c r="F75" s="39">
        <v>0</v>
      </c>
      <c r="G75" s="39">
        <v>0</v>
      </c>
      <c r="H75" s="39">
        <v>0</v>
      </c>
      <c r="I75" s="39">
        <v>0</v>
      </c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6"/>
      <c r="AC75" s="6"/>
      <c r="AD75" s="6"/>
      <c r="AE75" s="6"/>
      <c r="AF75" s="26">
        <v>0</v>
      </c>
    </row>
    <row r="76" spans="1:64" ht="18.75" hidden="1" x14ac:dyDescent="0.25"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1"/>
      <c r="AC76" s="1"/>
      <c r="AD76" s="1"/>
      <c r="AE76" s="1"/>
    </row>
    <row r="77" spans="1:64" ht="18.75" x14ac:dyDescent="0.25">
      <c r="A77" s="270" t="s">
        <v>478</v>
      </c>
      <c r="B77" s="271" t="s">
        <v>151</v>
      </c>
      <c r="C77" s="271" t="s">
        <v>152</v>
      </c>
      <c r="D77" s="271"/>
      <c r="F77" s="13">
        <v>46013</v>
      </c>
      <c r="G77" s="13">
        <v>46020</v>
      </c>
      <c r="H77" s="13">
        <v>46027</v>
      </c>
      <c r="I77" s="13">
        <v>46034</v>
      </c>
      <c r="J77" s="13">
        <v>46041</v>
      </c>
      <c r="K77" s="13">
        <v>46048</v>
      </c>
      <c r="L77" s="13">
        <v>46055</v>
      </c>
      <c r="M77" s="13">
        <v>46062</v>
      </c>
      <c r="N77" s="13">
        <v>46069</v>
      </c>
      <c r="O77" s="13">
        <v>46076</v>
      </c>
      <c r="P77" s="13">
        <v>46083</v>
      </c>
      <c r="Q77" s="13">
        <v>46090</v>
      </c>
      <c r="R77" s="13">
        <v>46097</v>
      </c>
      <c r="S77" s="13">
        <v>46104</v>
      </c>
      <c r="T77" s="13">
        <v>46111</v>
      </c>
      <c r="U77" s="13">
        <v>46118</v>
      </c>
      <c r="V77" s="13">
        <v>46125</v>
      </c>
      <c r="W77" s="13">
        <v>46132</v>
      </c>
      <c r="X77" s="13">
        <v>46139</v>
      </c>
      <c r="Y77" s="13">
        <v>46146</v>
      </c>
      <c r="Z77" s="13">
        <v>46154</v>
      </c>
      <c r="AA77" s="13">
        <v>46160</v>
      </c>
      <c r="AB77" s="13">
        <v>46161.480133611112</v>
      </c>
      <c r="AC77" s="13">
        <v>46161.480807268519</v>
      </c>
      <c r="AD77" s="13">
        <v>46161.482964317132</v>
      </c>
      <c r="AE77" s="13">
        <v>46161.483293019453</v>
      </c>
      <c r="AF77" s="35" t="s">
        <v>129</v>
      </c>
    </row>
    <row r="78" spans="1:64" ht="18.75" hidden="1" x14ac:dyDescent="0.25">
      <c r="A78" s="25" t="s">
        <v>138</v>
      </c>
      <c r="B78" s="6">
        <v>200</v>
      </c>
      <c r="C78" s="66">
        <v>336</v>
      </c>
      <c r="D78" s="234"/>
      <c r="F78" s="39">
        <v>0</v>
      </c>
      <c r="G78" s="39">
        <v>0</v>
      </c>
      <c r="H78" s="39">
        <v>0</v>
      </c>
      <c r="I78" s="39">
        <v>0</v>
      </c>
      <c r="J78" s="39">
        <v>0</v>
      </c>
      <c r="K78" s="39">
        <v>0</v>
      </c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6"/>
      <c r="AC78" s="6"/>
      <c r="AD78" s="6"/>
      <c r="AE78" s="6"/>
      <c r="AF78" s="26">
        <f ca="1">AD78+IF(NOT(ISBLANK(OFFSET(AF78,0,6))),N(OFFSET(AF78,0,6)),N(OFFSET(AF78,0,7)))-AE78</f>
        <v>0</v>
      </c>
    </row>
    <row r="79" spans="1:64" ht="18.75" hidden="1" x14ac:dyDescent="0.25">
      <c r="A79" s="25" t="s">
        <v>143</v>
      </c>
      <c r="B79" s="6">
        <v>200</v>
      </c>
      <c r="C79" s="66">
        <v>54</v>
      </c>
      <c r="D79" s="234"/>
      <c r="F79" s="39">
        <v>0</v>
      </c>
      <c r="G79" s="39">
        <v>1</v>
      </c>
      <c r="H79" s="39">
        <v>1</v>
      </c>
      <c r="I79" s="39">
        <v>0</v>
      </c>
      <c r="J79" s="39">
        <v>0</v>
      </c>
      <c r="K79" s="39">
        <v>0</v>
      </c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6"/>
      <c r="AC79" s="6"/>
      <c r="AD79" s="6"/>
      <c r="AE79" s="6"/>
      <c r="AF79" s="26">
        <f ca="1">AD79+IF(NOT(ISBLANK(OFFSET(AF79,0,6))),N(OFFSET(AF79,0,6)),N(OFFSET(AF79,0,7)))-AE79</f>
        <v>0</v>
      </c>
    </row>
    <row r="80" spans="1:64" ht="18.75" x14ac:dyDescent="0.25">
      <c r="A80" s="25" t="s">
        <v>479</v>
      </c>
      <c r="B80" s="6">
        <v>200</v>
      </c>
      <c r="C80" s="66">
        <v>40</v>
      </c>
      <c r="D80" s="234"/>
      <c r="F80" s="39">
        <v>0</v>
      </c>
      <c r="G80" s="39">
        <v>0</v>
      </c>
      <c r="H80" s="39">
        <v>0</v>
      </c>
      <c r="I80" s="39">
        <v>3</v>
      </c>
      <c r="J80" s="39">
        <v>3</v>
      </c>
      <c r="K80" s="39">
        <v>3</v>
      </c>
      <c r="L80" s="39">
        <v>3</v>
      </c>
      <c r="M80" s="39">
        <v>1</v>
      </c>
      <c r="N80" s="39">
        <v>1</v>
      </c>
      <c r="O80" s="39">
        <v>1</v>
      </c>
      <c r="P80" s="39">
        <v>0</v>
      </c>
      <c r="Q80" s="39">
        <v>0</v>
      </c>
      <c r="R80" s="39">
        <v>0</v>
      </c>
      <c r="S80" s="39">
        <v>0</v>
      </c>
      <c r="T80" s="39">
        <v>0</v>
      </c>
      <c r="U80" s="39"/>
      <c r="V80" s="39"/>
      <c r="W80" s="39"/>
      <c r="X80" s="39"/>
      <c r="Y80" s="39"/>
      <c r="Z80" s="39">
        <v>0</v>
      </c>
      <c r="AA80" s="39">
        <v>0</v>
      </c>
      <c r="AB80" s="6">
        <v>0</v>
      </c>
      <c r="AC80" s="6">
        <v>0</v>
      </c>
      <c r="AD80" s="6">
        <v>0</v>
      </c>
      <c r="AE80" s="6">
        <v>0</v>
      </c>
      <c r="AF80" s="372">
        <f ca="1">AD80+IF(NOT(ISBLANK(OFFSET(AF80,0,6))),N(OFFSET(AF80,0,6)),N(OFFSET(AF80,0,7)))-AE80</f>
        <v>0</v>
      </c>
    </row>
    <row r="81" spans="1:32" ht="18.75" x14ac:dyDescent="0.3">
      <c r="A81" s="153" t="s">
        <v>156</v>
      </c>
      <c r="B81" s="72">
        <v>100</v>
      </c>
      <c r="C81" s="77">
        <v>904</v>
      </c>
      <c r="D81" s="72"/>
      <c r="F81" s="39">
        <v>44</v>
      </c>
      <c r="G81" s="39">
        <v>44</v>
      </c>
      <c r="H81" s="39">
        <v>44</v>
      </c>
      <c r="I81" s="39">
        <v>44</v>
      </c>
      <c r="J81" s="39">
        <v>44</v>
      </c>
      <c r="K81" s="39">
        <v>44</v>
      </c>
      <c r="L81" s="39">
        <v>44</v>
      </c>
      <c r="M81" s="39">
        <v>44</v>
      </c>
      <c r="N81" s="39">
        <v>42</v>
      </c>
      <c r="O81" s="39">
        <v>42</v>
      </c>
      <c r="P81" s="39">
        <v>42</v>
      </c>
      <c r="Q81" s="39">
        <v>40</v>
      </c>
      <c r="R81" s="39">
        <v>40</v>
      </c>
      <c r="S81" s="39">
        <v>40</v>
      </c>
      <c r="T81" s="39">
        <v>40</v>
      </c>
      <c r="U81" s="39"/>
      <c r="V81" s="39"/>
      <c r="W81" s="39"/>
      <c r="X81" s="39"/>
      <c r="Y81" s="39"/>
      <c r="Z81" s="39">
        <v>39</v>
      </c>
      <c r="AA81" s="39">
        <v>39</v>
      </c>
      <c r="AB81" s="6">
        <v>39</v>
      </c>
      <c r="AC81" s="6">
        <v>39</v>
      </c>
      <c r="AD81" s="6">
        <v>39</v>
      </c>
      <c r="AE81" s="6">
        <v>39</v>
      </c>
      <c r="AF81" s="372">
        <f ca="1">AD81+IF(NOT(ISBLANK(OFFSET(AF81,0,6))),N(OFFSET(AF81,0,6)),N(OFFSET(AF81,0,7)))-AE81</f>
        <v>0</v>
      </c>
    </row>
    <row r="82" spans="1:32" ht="18.75" x14ac:dyDescent="0.3">
      <c r="A82" s="153" t="s">
        <v>158</v>
      </c>
      <c r="B82" s="72">
        <v>200</v>
      </c>
      <c r="C82" s="77">
        <v>464</v>
      </c>
      <c r="D82" s="72"/>
      <c r="F82" s="39">
        <v>88</v>
      </c>
      <c r="G82" s="39">
        <v>88</v>
      </c>
      <c r="H82" s="39">
        <v>88</v>
      </c>
      <c r="I82" s="39">
        <v>86</v>
      </c>
      <c r="J82" s="39">
        <v>84</v>
      </c>
      <c r="K82" s="39">
        <v>84</v>
      </c>
      <c r="L82" s="39">
        <v>84</v>
      </c>
      <c r="M82" s="39">
        <v>84</v>
      </c>
      <c r="N82" s="39">
        <v>83</v>
      </c>
      <c r="O82" s="39">
        <v>82</v>
      </c>
      <c r="P82" s="39">
        <v>80</v>
      </c>
      <c r="Q82" s="39">
        <v>80</v>
      </c>
      <c r="R82" s="39">
        <v>80</v>
      </c>
      <c r="S82" s="39">
        <v>80</v>
      </c>
      <c r="T82" s="39">
        <v>80</v>
      </c>
      <c r="U82" s="39"/>
      <c r="V82" s="39"/>
      <c r="W82" s="39"/>
      <c r="X82" s="39"/>
      <c r="Y82" s="39"/>
      <c r="Z82" s="39">
        <v>75</v>
      </c>
      <c r="AA82" s="39">
        <v>75</v>
      </c>
      <c r="AB82" s="6">
        <v>75</v>
      </c>
      <c r="AC82" s="6">
        <v>75</v>
      </c>
      <c r="AD82" s="6">
        <v>75</v>
      </c>
      <c r="AE82" s="6">
        <v>75</v>
      </c>
      <c r="AF82" s="372">
        <f ca="1">AD82+IF(NOT(ISBLANK(OFFSET(AF82,0,6))),N(OFFSET(AF82,0,6)),N(OFFSET(AF82,0,7)))-AE82</f>
        <v>0</v>
      </c>
    </row>
    <row r="83" spans="1:32" ht="18.75" x14ac:dyDescent="0.25"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1"/>
      <c r="AC83" s="1"/>
      <c r="AD83" s="1"/>
      <c r="AE83" s="1"/>
    </row>
    <row r="84" spans="1:32" ht="18.75" x14ac:dyDescent="0.25">
      <c r="A84" s="272" t="s">
        <v>480</v>
      </c>
      <c r="B84" s="248" t="s">
        <v>151</v>
      </c>
      <c r="C84" s="248" t="s">
        <v>152</v>
      </c>
      <c r="D84" s="248"/>
      <c r="F84" s="13">
        <v>46013</v>
      </c>
      <c r="G84" s="13">
        <v>46020</v>
      </c>
      <c r="H84" s="13">
        <v>46027</v>
      </c>
      <c r="I84" s="13">
        <v>46034</v>
      </c>
      <c r="J84" s="13">
        <v>46041</v>
      </c>
      <c r="K84" s="13">
        <v>46048</v>
      </c>
      <c r="L84" s="13">
        <v>46055</v>
      </c>
      <c r="M84" s="13">
        <v>46062</v>
      </c>
      <c r="N84" s="13">
        <v>46069</v>
      </c>
      <c r="O84" s="13">
        <v>46076</v>
      </c>
      <c r="P84" s="13">
        <v>46083</v>
      </c>
      <c r="Q84" s="13">
        <v>46090</v>
      </c>
      <c r="R84" s="13">
        <v>46097</v>
      </c>
      <c r="S84" s="13">
        <v>46104</v>
      </c>
      <c r="T84" s="13">
        <v>46111</v>
      </c>
      <c r="U84" s="13">
        <v>46118</v>
      </c>
      <c r="V84" s="13">
        <v>46125</v>
      </c>
      <c r="W84" s="13">
        <v>46132</v>
      </c>
      <c r="X84" s="13">
        <v>46139</v>
      </c>
      <c r="Y84" s="13">
        <v>46146</v>
      </c>
      <c r="Z84" s="13">
        <v>46154</v>
      </c>
      <c r="AA84" s="13">
        <v>46160</v>
      </c>
      <c r="AB84" s="13">
        <v>46161.480133611112</v>
      </c>
      <c r="AC84" s="13">
        <v>46161.480807268519</v>
      </c>
      <c r="AD84" s="13">
        <v>46161.482964317132</v>
      </c>
      <c r="AE84" s="13">
        <v>46161.483293019643</v>
      </c>
      <c r="AF84" s="35" t="s">
        <v>129</v>
      </c>
    </row>
    <row r="85" spans="1:32" ht="18.75" hidden="1" x14ac:dyDescent="0.25">
      <c r="A85" s="25" t="s">
        <v>419</v>
      </c>
      <c r="B85" s="6">
        <v>200</v>
      </c>
      <c r="C85" s="66">
        <v>274.2</v>
      </c>
      <c r="D85" s="234"/>
      <c r="F85" s="39">
        <v>59</v>
      </c>
      <c r="G85" s="39">
        <v>59</v>
      </c>
      <c r="H85" s="39">
        <v>58</v>
      </c>
      <c r="I85" s="39">
        <v>47</v>
      </c>
      <c r="J85" s="39">
        <v>47</v>
      </c>
      <c r="K85" s="39">
        <v>46</v>
      </c>
      <c r="L85" s="39">
        <v>46</v>
      </c>
      <c r="M85" s="39">
        <v>26</v>
      </c>
      <c r="N85" s="39">
        <v>0</v>
      </c>
      <c r="O85" s="39">
        <v>0</v>
      </c>
      <c r="P85" s="39">
        <v>0</v>
      </c>
      <c r="Q85" s="39">
        <v>0</v>
      </c>
      <c r="R85" s="39">
        <v>0</v>
      </c>
      <c r="S85" s="39"/>
      <c r="T85" s="39"/>
      <c r="U85" s="39"/>
      <c r="V85" s="39"/>
      <c r="W85" s="39"/>
      <c r="X85" s="39"/>
      <c r="Y85" s="39"/>
      <c r="Z85" s="39"/>
      <c r="AA85" s="39"/>
      <c r="AB85" s="6"/>
      <c r="AC85" s="6"/>
      <c r="AD85" s="6"/>
      <c r="AE85" s="6"/>
      <c r="AF85" s="26">
        <f t="shared" ref="AF85:AF92" ca="1" si="2">AD85+IF(NOT(ISBLANK(OFFSET(AF85,0,6))),N(OFFSET(AF85,0,6)),N(OFFSET(AF85,0,7)))-AE85</f>
        <v>0</v>
      </c>
    </row>
    <row r="86" spans="1:32" ht="18.75" hidden="1" x14ac:dyDescent="0.25">
      <c r="A86" s="25" t="s">
        <v>421</v>
      </c>
      <c r="B86" s="6">
        <v>200</v>
      </c>
      <c r="C86" s="66">
        <v>347.8</v>
      </c>
      <c r="D86" s="234"/>
      <c r="F86" s="39">
        <v>160</v>
      </c>
      <c r="G86" s="39">
        <v>160</v>
      </c>
      <c r="H86" s="39">
        <v>160</v>
      </c>
      <c r="I86" s="39">
        <v>131</v>
      </c>
      <c r="J86" s="39">
        <v>0</v>
      </c>
      <c r="K86" s="39">
        <v>0</v>
      </c>
      <c r="L86" s="39">
        <v>0</v>
      </c>
      <c r="M86" s="39">
        <v>0</v>
      </c>
      <c r="N86" s="39">
        <v>0</v>
      </c>
      <c r="O86" s="39">
        <v>0</v>
      </c>
      <c r="P86" s="39">
        <v>0</v>
      </c>
      <c r="Q86" s="39">
        <v>0</v>
      </c>
      <c r="R86" s="39">
        <v>0</v>
      </c>
      <c r="S86" s="39"/>
      <c r="T86" s="39"/>
      <c r="U86" s="39"/>
      <c r="V86" s="39"/>
      <c r="W86" s="39"/>
      <c r="X86" s="39"/>
      <c r="Y86" s="39"/>
      <c r="Z86" s="39"/>
      <c r="AA86" s="39"/>
      <c r="AB86" s="6"/>
      <c r="AC86" s="6"/>
      <c r="AD86" s="6"/>
      <c r="AE86" s="6"/>
      <c r="AF86" s="26">
        <f t="shared" ca="1" si="2"/>
        <v>0</v>
      </c>
    </row>
    <row r="87" spans="1:32" ht="18.75" hidden="1" x14ac:dyDescent="0.25">
      <c r="A87" s="25" t="s">
        <v>422</v>
      </c>
      <c r="B87" s="6">
        <v>100</v>
      </c>
      <c r="C87" s="66">
        <v>267</v>
      </c>
      <c r="D87" s="234"/>
      <c r="F87" s="39">
        <v>37</v>
      </c>
      <c r="G87" s="39">
        <v>37</v>
      </c>
      <c r="H87" s="39">
        <v>37</v>
      </c>
      <c r="I87" s="39">
        <v>16</v>
      </c>
      <c r="J87" s="39">
        <v>0</v>
      </c>
      <c r="K87" s="39">
        <v>0</v>
      </c>
      <c r="L87" s="39">
        <v>0</v>
      </c>
      <c r="M87" s="39">
        <v>0</v>
      </c>
      <c r="N87" s="39">
        <v>0</v>
      </c>
      <c r="O87" s="39">
        <v>0</v>
      </c>
      <c r="P87" s="39">
        <v>0</v>
      </c>
      <c r="Q87" s="39">
        <v>0</v>
      </c>
      <c r="R87" s="39">
        <v>0</v>
      </c>
      <c r="S87" s="39"/>
      <c r="T87" s="39"/>
      <c r="U87" s="39"/>
      <c r="V87" s="39"/>
      <c r="W87" s="39"/>
      <c r="X87" s="39"/>
      <c r="Y87" s="39"/>
      <c r="Z87" s="39"/>
      <c r="AA87" s="39"/>
      <c r="AB87" s="6"/>
      <c r="AC87" s="6"/>
      <c r="AD87" s="6"/>
      <c r="AE87" s="6"/>
      <c r="AF87" s="26">
        <f t="shared" ca="1" si="2"/>
        <v>0</v>
      </c>
    </row>
    <row r="88" spans="1:32" ht="18.75" hidden="1" x14ac:dyDescent="0.3">
      <c r="A88" s="153" t="s">
        <v>481</v>
      </c>
      <c r="B88" s="72">
        <v>200</v>
      </c>
      <c r="C88" s="77">
        <v>44.4</v>
      </c>
      <c r="D88" s="72"/>
      <c r="F88" s="39">
        <v>0</v>
      </c>
      <c r="G88" s="39">
        <v>0</v>
      </c>
      <c r="H88" s="39">
        <v>0</v>
      </c>
      <c r="I88" s="39">
        <v>0</v>
      </c>
      <c r="J88" s="39">
        <v>0</v>
      </c>
      <c r="K88" s="39">
        <v>0</v>
      </c>
      <c r="L88" s="39">
        <v>0</v>
      </c>
      <c r="M88" s="39">
        <v>0</v>
      </c>
      <c r="N88" s="39">
        <v>0</v>
      </c>
      <c r="O88" s="39">
        <v>0</v>
      </c>
      <c r="P88" s="39">
        <v>0</v>
      </c>
      <c r="Q88" s="39">
        <v>0</v>
      </c>
      <c r="R88" s="39">
        <v>0</v>
      </c>
      <c r="S88" s="39"/>
      <c r="T88" s="39"/>
      <c r="U88" s="39"/>
      <c r="V88" s="39"/>
      <c r="W88" s="39"/>
      <c r="X88" s="39"/>
      <c r="Y88" s="39"/>
      <c r="Z88" s="39"/>
      <c r="AA88" s="39"/>
      <c r="AB88" s="6"/>
      <c r="AC88" s="6"/>
      <c r="AD88" s="6"/>
      <c r="AE88" s="6"/>
      <c r="AF88" s="26">
        <f t="shared" ca="1" si="2"/>
        <v>0</v>
      </c>
    </row>
    <row r="89" spans="1:32" ht="18.75" x14ac:dyDescent="0.3">
      <c r="A89" s="153" t="s">
        <v>154</v>
      </c>
      <c r="B89" s="72">
        <v>150</v>
      </c>
      <c r="C89" s="77">
        <v>805.35</v>
      </c>
      <c r="D89" s="72"/>
      <c r="F89" s="39">
        <v>60</v>
      </c>
      <c r="G89" s="39">
        <v>60</v>
      </c>
      <c r="H89" s="39">
        <v>60</v>
      </c>
      <c r="I89" s="39">
        <v>59</v>
      </c>
      <c r="J89" s="39">
        <v>59</v>
      </c>
      <c r="K89" s="39">
        <v>59</v>
      </c>
      <c r="L89" s="39">
        <v>59</v>
      </c>
      <c r="M89" s="39">
        <v>59</v>
      </c>
      <c r="N89" s="39">
        <v>59</v>
      </c>
      <c r="O89" s="39">
        <v>59</v>
      </c>
      <c r="P89" s="39">
        <v>59</v>
      </c>
      <c r="Q89" s="39">
        <v>59</v>
      </c>
      <c r="R89" s="39">
        <v>55</v>
      </c>
      <c r="S89" s="39">
        <v>53</v>
      </c>
      <c r="T89" s="39">
        <v>53</v>
      </c>
      <c r="U89" s="39"/>
      <c r="V89" s="39"/>
      <c r="W89" s="39"/>
      <c r="X89" s="39"/>
      <c r="Y89" s="39"/>
      <c r="Z89" s="39">
        <v>49</v>
      </c>
      <c r="AA89" s="39">
        <v>49</v>
      </c>
      <c r="AB89" s="6">
        <v>49</v>
      </c>
      <c r="AC89" s="6">
        <v>49</v>
      </c>
      <c r="AD89" s="6">
        <v>49</v>
      </c>
      <c r="AE89" s="6">
        <v>49</v>
      </c>
      <c r="AF89" s="372">
        <f t="shared" ca="1" si="2"/>
        <v>0</v>
      </c>
    </row>
    <row r="90" spans="1:32" ht="18.75" x14ac:dyDescent="0.3">
      <c r="A90" s="153" t="s">
        <v>156</v>
      </c>
      <c r="B90" s="72">
        <v>100</v>
      </c>
      <c r="C90" s="77">
        <v>792.2</v>
      </c>
      <c r="D90" s="72"/>
      <c r="F90" s="39">
        <v>1</v>
      </c>
      <c r="G90" s="39">
        <v>1</v>
      </c>
      <c r="H90" s="39">
        <v>1</v>
      </c>
      <c r="I90" s="39">
        <v>1</v>
      </c>
      <c r="J90" s="39">
        <v>1</v>
      </c>
      <c r="K90" s="39">
        <v>0</v>
      </c>
      <c r="L90" s="39">
        <v>0</v>
      </c>
      <c r="M90" s="39">
        <v>0</v>
      </c>
      <c r="N90" s="39">
        <v>0</v>
      </c>
      <c r="O90" s="39">
        <v>0</v>
      </c>
      <c r="P90" s="39">
        <v>0</v>
      </c>
      <c r="Q90" s="39">
        <v>0</v>
      </c>
      <c r="R90" s="39">
        <v>0</v>
      </c>
      <c r="S90" s="39">
        <v>0</v>
      </c>
      <c r="T90" s="39">
        <v>0</v>
      </c>
      <c r="U90" s="39"/>
      <c r="V90" s="39"/>
      <c r="W90" s="39"/>
      <c r="X90" s="39"/>
      <c r="Y90" s="39"/>
      <c r="Z90" s="39">
        <v>0</v>
      </c>
      <c r="AA90" s="39">
        <v>0</v>
      </c>
      <c r="AB90" s="6">
        <v>0</v>
      </c>
      <c r="AC90" s="6">
        <v>0</v>
      </c>
      <c r="AD90" s="6">
        <v>0</v>
      </c>
      <c r="AE90" s="6">
        <v>0</v>
      </c>
      <c r="AF90" s="372">
        <f t="shared" ca="1" si="2"/>
        <v>0</v>
      </c>
    </row>
    <row r="91" spans="1:32" ht="18.75" x14ac:dyDescent="0.3">
      <c r="A91" s="153" t="s">
        <v>158</v>
      </c>
      <c r="B91" s="72">
        <v>200</v>
      </c>
      <c r="C91" s="77">
        <v>487.2</v>
      </c>
      <c r="D91" s="72"/>
      <c r="F91" s="39">
        <v>6</v>
      </c>
      <c r="G91" s="39">
        <v>6</v>
      </c>
      <c r="H91" s="39">
        <v>6</v>
      </c>
      <c r="I91" s="39">
        <v>6</v>
      </c>
      <c r="J91" s="39">
        <v>6</v>
      </c>
      <c r="K91" s="39">
        <v>6</v>
      </c>
      <c r="L91" s="39">
        <v>6</v>
      </c>
      <c r="M91" s="39">
        <v>6</v>
      </c>
      <c r="N91" s="39">
        <v>6</v>
      </c>
      <c r="O91" s="39">
        <v>6</v>
      </c>
      <c r="P91" s="39">
        <v>6</v>
      </c>
      <c r="Q91" s="39">
        <v>6</v>
      </c>
      <c r="R91" s="39">
        <v>6</v>
      </c>
      <c r="S91" s="39">
        <v>6</v>
      </c>
      <c r="T91" s="39">
        <v>6</v>
      </c>
      <c r="U91" s="39"/>
      <c r="V91" s="39"/>
      <c r="W91" s="39"/>
      <c r="X91" s="39"/>
      <c r="Y91" s="39"/>
      <c r="Z91" s="39">
        <v>6</v>
      </c>
      <c r="AA91" s="39">
        <v>3</v>
      </c>
      <c r="AB91" s="6">
        <v>3</v>
      </c>
      <c r="AC91" s="6">
        <v>3</v>
      </c>
      <c r="AD91" s="6">
        <v>3</v>
      </c>
      <c r="AE91" s="6">
        <v>3</v>
      </c>
      <c r="AF91" s="372">
        <f t="shared" ca="1" si="2"/>
        <v>0</v>
      </c>
    </row>
    <row r="92" spans="1:32" ht="18.75" x14ac:dyDescent="0.3">
      <c r="A92" s="153" t="s">
        <v>160</v>
      </c>
      <c r="B92" s="72">
        <v>150</v>
      </c>
      <c r="C92" s="77">
        <v>460.35</v>
      </c>
      <c r="D92" s="72"/>
      <c r="F92" s="39">
        <v>11</v>
      </c>
      <c r="G92" s="39">
        <v>11</v>
      </c>
      <c r="H92" s="39">
        <v>11</v>
      </c>
      <c r="I92" s="39">
        <v>11</v>
      </c>
      <c r="J92" s="39">
        <v>11</v>
      </c>
      <c r="K92" s="39">
        <v>11</v>
      </c>
      <c r="L92" s="39">
        <v>11</v>
      </c>
      <c r="M92" s="39">
        <v>11</v>
      </c>
      <c r="N92" s="39">
        <v>11</v>
      </c>
      <c r="O92" s="39">
        <v>11</v>
      </c>
      <c r="P92" s="39">
        <v>11</v>
      </c>
      <c r="Q92" s="39">
        <v>11</v>
      </c>
      <c r="R92" s="39">
        <v>11</v>
      </c>
      <c r="S92" s="39">
        <v>11</v>
      </c>
      <c r="T92" s="39">
        <v>11</v>
      </c>
      <c r="U92" s="39"/>
      <c r="V92" s="39"/>
      <c r="W92" s="39"/>
      <c r="X92" s="39"/>
      <c r="Y92" s="39"/>
      <c r="Z92" s="39">
        <v>11</v>
      </c>
      <c r="AA92" s="39">
        <v>11</v>
      </c>
      <c r="AB92" s="6">
        <v>11</v>
      </c>
      <c r="AC92" s="6">
        <v>11</v>
      </c>
      <c r="AD92" s="6">
        <v>11</v>
      </c>
      <c r="AE92" s="6">
        <v>11</v>
      </c>
      <c r="AF92" s="372">
        <f t="shared" ca="1" si="2"/>
        <v>0</v>
      </c>
    </row>
    <row r="93" spans="1:32" ht="18.75" x14ac:dyDescent="0.25"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1"/>
      <c r="AC93" s="1"/>
      <c r="AD93" s="1"/>
      <c r="AE93" s="1"/>
    </row>
    <row r="94" spans="1:32" ht="18.75" x14ac:dyDescent="0.25">
      <c r="A94" s="407" t="s">
        <v>482</v>
      </c>
      <c r="B94" s="408" t="s">
        <v>151</v>
      </c>
      <c r="C94" s="408" t="s">
        <v>152</v>
      </c>
      <c r="D94" s="408"/>
      <c r="F94" s="2"/>
      <c r="G94" s="2"/>
      <c r="H94" s="2"/>
      <c r="I94" s="2"/>
      <c r="J94" s="13">
        <v>46041</v>
      </c>
      <c r="K94" s="13">
        <v>46048</v>
      </c>
      <c r="L94" s="13">
        <v>46055</v>
      </c>
      <c r="M94" s="13">
        <v>46062</v>
      </c>
      <c r="N94" s="13">
        <v>46069</v>
      </c>
      <c r="O94" s="13">
        <v>46076</v>
      </c>
      <c r="P94" s="13">
        <v>46083</v>
      </c>
      <c r="Q94" s="13">
        <v>46090</v>
      </c>
      <c r="R94" s="13">
        <v>46097</v>
      </c>
      <c r="S94" s="13">
        <v>46104</v>
      </c>
      <c r="T94" s="13">
        <v>46111</v>
      </c>
      <c r="U94" s="13">
        <v>46118</v>
      </c>
      <c r="V94" s="13">
        <v>46125</v>
      </c>
      <c r="W94" s="13">
        <v>46132</v>
      </c>
      <c r="X94" s="13">
        <v>46139</v>
      </c>
      <c r="Y94" s="13">
        <v>46146</v>
      </c>
      <c r="Z94" s="13">
        <v>46154</v>
      </c>
      <c r="AA94" s="13">
        <v>46160</v>
      </c>
      <c r="AB94" s="13">
        <v>46161.480133622688</v>
      </c>
      <c r="AC94" s="13">
        <v>46161.480807268519</v>
      </c>
      <c r="AD94" s="13">
        <v>46161.482964317132</v>
      </c>
      <c r="AE94" s="13">
        <v>46161.483293019861</v>
      </c>
      <c r="AF94" s="35" t="s">
        <v>129</v>
      </c>
    </row>
    <row r="95" spans="1:32" ht="18.75" x14ac:dyDescent="0.25">
      <c r="A95" s="25" t="s">
        <v>483</v>
      </c>
      <c r="B95" s="6">
        <v>1</v>
      </c>
      <c r="C95" s="66">
        <v>25.9</v>
      </c>
      <c r="D95" s="234"/>
      <c r="F95" s="2"/>
      <c r="G95" s="2"/>
      <c r="H95" s="2"/>
      <c r="I95" s="2"/>
      <c r="J95" s="39">
        <v>14</v>
      </c>
      <c r="K95" s="39">
        <v>14</v>
      </c>
      <c r="L95" s="39">
        <v>12</v>
      </c>
      <c r="M95" s="39">
        <v>12</v>
      </c>
      <c r="N95" s="39">
        <v>12</v>
      </c>
      <c r="O95" s="39">
        <v>10</v>
      </c>
      <c r="P95" s="39">
        <v>9</v>
      </c>
      <c r="Q95" s="39"/>
      <c r="R95" s="39"/>
      <c r="S95" s="39"/>
      <c r="T95" s="39"/>
      <c r="U95" s="39"/>
      <c r="V95" s="39"/>
      <c r="W95" s="39">
        <v>8</v>
      </c>
      <c r="X95" s="39">
        <v>8</v>
      </c>
      <c r="Y95" s="39">
        <v>8</v>
      </c>
      <c r="Z95" s="39">
        <v>7</v>
      </c>
      <c r="AA95" s="39"/>
      <c r="AB95" s="6"/>
      <c r="AC95" s="6"/>
      <c r="AD95" s="6"/>
      <c r="AE95" s="6"/>
      <c r="AF95" s="372">
        <f ca="1">AD95+IF(NOT(ISBLANK(OFFSET(AF95,0,6))),N(OFFSET(AF95,0,6)),N(OFFSET(AF95,0,7)))-AE95</f>
        <v>0</v>
      </c>
    </row>
    <row r="96" spans="1:32" ht="18.75" x14ac:dyDescent="0.25">
      <c r="A96" s="25" t="s">
        <v>484</v>
      </c>
      <c r="B96" s="6">
        <v>1</v>
      </c>
      <c r="C96" s="66">
        <v>7.9</v>
      </c>
      <c r="D96" s="234"/>
      <c r="F96" s="2"/>
      <c r="G96" s="2"/>
      <c r="H96" s="2"/>
      <c r="I96" s="2"/>
      <c r="J96" s="39">
        <v>21</v>
      </c>
      <c r="K96" s="39">
        <v>21</v>
      </c>
      <c r="L96" s="39">
        <v>20</v>
      </c>
      <c r="M96" s="39">
        <v>20</v>
      </c>
      <c r="N96" s="39">
        <v>20</v>
      </c>
      <c r="O96" s="39">
        <v>19</v>
      </c>
      <c r="P96" s="39">
        <v>19</v>
      </c>
      <c r="Q96" s="39"/>
      <c r="R96" s="39"/>
      <c r="S96" s="39"/>
      <c r="T96" s="39"/>
      <c r="U96" s="39"/>
      <c r="V96" s="39"/>
      <c r="W96" s="39">
        <v>19</v>
      </c>
      <c r="X96" s="39">
        <v>18</v>
      </c>
      <c r="Y96" s="39">
        <v>18</v>
      </c>
      <c r="Z96" s="39">
        <v>18</v>
      </c>
      <c r="AA96" s="39"/>
      <c r="AB96" s="6"/>
      <c r="AC96" s="6"/>
      <c r="AD96" s="6"/>
      <c r="AE96" s="6"/>
      <c r="AF96" s="372">
        <f ca="1">AD96+IF(NOT(ISBLANK(OFFSET(AF96,0,6))),N(OFFSET(AF96,0,6)),N(OFFSET(AF96,0,7)))-AE96</f>
        <v>0</v>
      </c>
    </row>
    <row r="97" spans="1:32" ht="19.5" customHeight="1" thickBot="1" x14ac:dyDescent="0.3"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1"/>
      <c r="AC97" s="1"/>
      <c r="AD97" s="1"/>
      <c r="AE97" s="1"/>
    </row>
    <row r="98" spans="1:32" ht="24" customHeight="1" thickBot="1" x14ac:dyDescent="0.4">
      <c r="A98" s="496">
        <v>2026</v>
      </c>
      <c r="B98" s="497"/>
      <c r="C98" s="497"/>
      <c r="D98" s="497"/>
      <c r="E98" s="497"/>
      <c r="F98" s="497"/>
      <c r="G98" s="497"/>
      <c r="H98" s="497"/>
      <c r="I98" s="497"/>
      <c r="J98" s="497"/>
      <c r="K98" s="497"/>
      <c r="L98" s="497"/>
      <c r="M98" s="497"/>
      <c r="N98" s="497"/>
      <c r="O98" s="497"/>
      <c r="P98" s="497"/>
      <c r="Q98" s="497"/>
      <c r="R98" s="497"/>
      <c r="S98" s="497"/>
      <c r="T98" s="497"/>
      <c r="U98" s="497"/>
      <c r="V98" s="497"/>
      <c r="W98" s="497"/>
      <c r="X98" s="497"/>
      <c r="Y98" s="497"/>
      <c r="Z98" s="497"/>
      <c r="AA98" s="497"/>
      <c r="AB98" s="459"/>
      <c r="AC98" s="459"/>
      <c r="AD98" s="459"/>
      <c r="AE98" s="459"/>
      <c r="AF98" s="415"/>
    </row>
    <row r="99" spans="1:32" ht="23.25" customHeight="1" x14ac:dyDescent="0.35">
      <c r="A99" s="291"/>
      <c r="B99" s="291"/>
      <c r="C99" s="291"/>
      <c r="D99" s="291"/>
      <c r="E99" s="291"/>
      <c r="F99" s="291"/>
      <c r="G99" s="291"/>
      <c r="H99" s="291"/>
      <c r="I99" s="291"/>
      <c r="J99" s="291"/>
      <c r="K99" s="291"/>
      <c r="L99" s="291"/>
      <c r="M99" s="291"/>
      <c r="N99" s="291"/>
      <c r="O99" s="291"/>
      <c r="P99" s="291"/>
      <c r="Q99" s="291"/>
      <c r="R99" s="291"/>
      <c r="S99" s="291"/>
      <c r="T99" s="291"/>
      <c r="U99" s="291"/>
      <c r="V99" s="291"/>
      <c r="W99" s="291"/>
      <c r="X99" s="291"/>
      <c r="Y99" s="291"/>
      <c r="Z99" s="291"/>
      <c r="AA99" s="291"/>
      <c r="AB99" s="291"/>
      <c r="AC99" s="291"/>
      <c r="AD99" s="291"/>
      <c r="AE99" s="291"/>
      <c r="AF99" s="291"/>
    </row>
    <row r="100" spans="1:32" ht="18.75" x14ac:dyDescent="0.25">
      <c r="A100" s="270" t="s">
        <v>485</v>
      </c>
      <c r="B100" s="271" t="s">
        <v>151</v>
      </c>
      <c r="C100" s="271" t="s">
        <v>152</v>
      </c>
      <c r="D100" s="271"/>
      <c r="F100" s="391">
        <v>46013</v>
      </c>
      <c r="G100" s="391">
        <v>46020</v>
      </c>
      <c r="H100" s="391">
        <v>46027</v>
      </c>
      <c r="I100" s="391">
        <v>46034</v>
      </c>
      <c r="J100" s="391">
        <v>46041</v>
      </c>
      <c r="K100" s="391">
        <v>46048</v>
      </c>
      <c r="L100" s="391">
        <v>46055</v>
      </c>
      <c r="M100" s="13">
        <v>46062</v>
      </c>
      <c r="N100" s="13">
        <v>46069</v>
      </c>
      <c r="O100" s="13">
        <v>46076</v>
      </c>
      <c r="P100" s="13">
        <v>46083</v>
      </c>
      <c r="Q100" s="13">
        <v>46090</v>
      </c>
      <c r="R100" s="13">
        <v>46097</v>
      </c>
      <c r="S100" s="13">
        <v>46104</v>
      </c>
      <c r="T100" s="13">
        <v>46111</v>
      </c>
      <c r="U100" s="13">
        <v>46118</v>
      </c>
      <c r="V100" s="13">
        <v>46125</v>
      </c>
      <c r="W100" s="13">
        <v>46132</v>
      </c>
      <c r="X100" s="13">
        <v>46139</v>
      </c>
      <c r="Y100" s="13">
        <v>46146</v>
      </c>
      <c r="Z100" s="13">
        <v>46154</v>
      </c>
      <c r="AA100" s="13">
        <v>46160</v>
      </c>
      <c r="AB100" s="13">
        <v>46161.480133622688</v>
      </c>
      <c r="AC100" s="13">
        <v>46161.480807268519</v>
      </c>
      <c r="AD100" s="13">
        <v>46161.482964317132</v>
      </c>
      <c r="AE100" s="13">
        <v>46161.483293019992</v>
      </c>
      <c r="AF100" s="35" t="s">
        <v>129</v>
      </c>
    </row>
    <row r="101" spans="1:32" ht="18.75" x14ac:dyDescent="0.25">
      <c r="A101" s="25" t="s">
        <v>138</v>
      </c>
      <c r="B101" s="6">
        <v>150</v>
      </c>
      <c r="C101" s="66"/>
      <c r="D101" s="234"/>
      <c r="F101" s="39">
        <v>0</v>
      </c>
      <c r="G101" s="39">
        <v>0</v>
      </c>
      <c r="H101" s="39">
        <v>0</v>
      </c>
      <c r="I101" s="39">
        <v>0</v>
      </c>
      <c r="J101" s="39">
        <v>0</v>
      </c>
      <c r="K101" s="39">
        <v>0</v>
      </c>
      <c r="L101" s="39"/>
      <c r="M101" s="39">
        <v>0</v>
      </c>
      <c r="N101" s="39">
        <v>0</v>
      </c>
      <c r="O101" s="39">
        <v>0</v>
      </c>
      <c r="P101" s="39">
        <f>AR10</f>
        <v>2200</v>
      </c>
      <c r="Q101" s="39">
        <v>2100</v>
      </c>
      <c r="R101" s="39">
        <v>1950</v>
      </c>
      <c r="S101" s="39">
        <v>1650</v>
      </c>
      <c r="T101" s="39">
        <v>1600</v>
      </c>
      <c r="U101" s="39">
        <v>1400</v>
      </c>
      <c r="V101" s="39">
        <v>900</v>
      </c>
      <c r="W101" s="39">
        <v>600</v>
      </c>
      <c r="X101" s="39">
        <v>300</v>
      </c>
      <c r="Y101" s="39">
        <v>0</v>
      </c>
      <c r="Z101" s="39">
        <v>0</v>
      </c>
      <c r="AA101" s="39"/>
      <c r="AB101" s="6"/>
      <c r="AC101" s="6"/>
      <c r="AD101" s="6"/>
      <c r="AE101" s="6"/>
      <c r="AF101" s="372">
        <f t="shared" ref="AF101:AF107" ca="1" si="3">AD101+IF(NOT(ISBLANK(OFFSET(AF101,0,6))),N(OFFSET(AF101,0,6)),N(OFFSET(AF101,0,7)))-AE101</f>
        <v>0</v>
      </c>
    </row>
    <row r="102" spans="1:32" ht="18.75" x14ac:dyDescent="0.25">
      <c r="A102" s="25" t="s">
        <v>486</v>
      </c>
      <c r="B102" s="6">
        <v>1000</v>
      </c>
      <c r="C102" s="66"/>
      <c r="D102" s="234"/>
      <c r="F102" s="39"/>
      <c r="G102" s="39"/>
      <c r="H102" s="39"/>
      <c r="I102" s="39"/>
      <c r="J102" s="39"/>
      <c r="K102" s="39"/>
      <c r="L102" s="39"/>
      <c r="M102" s="39">
        <v>0</v>
      </c>
      <c r="N102" s="39">
        <v>0</v>
      </c>
      <c r="O102" s="39">
        <v>0</v>
      </c>
      <c r="P102" s="39">
        <f>AR20</f>
        <v>0</v>
      </c>
      <c r="Q102" s="39">
        <v>3</v>
      </c>
      <c r="R102" s="39">
        <v>2</v>
      </c>
      <c r="S102" s="39">
        <v>2</v>
      </c>
      <c r="T102" s="39">
        <v>2</v>
      </c>
      <c r="U102" s="39">
        <v>2</v>
      </c>
      <c r="V102" s="39">
        <v>1</v>
      </c>
      <c r="W102" s="39">
        <v>1</v>
      </c>
      <c r="X102" s="39">
        <v>0</v>
      </c>
      <c r="Y102" s="39">
        <v>0</v>
      </c>
      <c r="Z102" s="39">
        <v>0</v>
      </c>
      <c r="AA102" s="39"/>
      <c r="AB102" s="6"/>
      <c r="AC102" s="6"/>
      <c r="AD102" s="6"/>
      <c r="AE102" s="6"/>
      <c r="AF102" s="372">
        <f t="shared" ca="1" si="3"/>
        <v>0</v>
      </c>
    </row>
    <row r="103" spans="1:32" ht="18.75" x14ac:dyDescent="0.25">
      <c r="A103" s="25" t="s">
        <v>143</v>
      </c>
      <c r="B103" s="6">
        <v>200</v>
      </c>
      <c r="C103" s="66"/>
      <c r="D103" s="234"/>
      <c r="F103" s="39">
        <v>0</v>
      </c>
      <c r="G103" s="39">
        <v>1</v>
      </c>
      <c r="H103" s="39">
        <v>1</v>
      </c>
      <c r="I103" s="39">
        <v>0</v>
      </c>
      <c r="J103" s="39">
        <v>0</v>
      </c>
      <c r="K103" s="39">
        <v>0</v>
      </c>
      <c r="L103" s="39"/>
      <c r="M103" s="39">
        <v>0</v>
      </c>
      <c r="N103" s="39">
        <v>0</v>
      </c>
      <c r="O103" s="39">
        <v>0</v>
      </c>
      <c r="P103" s="39">
        <f>AR19</f>
        <v>10</v>
      </c>
      <c r="Q103" s="39">
        <v>200</v>
      </c>
      <c r="R103" s="39">
        <v>200</v>
      </c>
      <c r="S103" s="39">
        <v>200</v>
      </c>
      <c r="T103" s="39">
        <v>200</v>
      </c>
      <c r="U103" s="39">
        <v>200</v>
      </c>
      <c r="V103" s="39">
        <v>200</v>
      </c>
      <c r="W103" s="39">
        <v>200</v>
      </c>
      <c r="X103" s="39">
        <v>200</v>
      </c>
      <c r="Y103" s="39">
        <v>200</v>
      </c>
      <c r="Z103" s="39">
        <v>200</v>
      </c>
      <c r="AA103" s="39"/>
      <c r="AB103" s="6"/>
      <c r="AC103" s="6"/>
      <c r="AD103" s="6"/>
      <c r="AE103" s="6"/>
      <c r="AF103" s="372">
        <f t="shared" ca="1" si="3"/>
        <v>0</v>
      </c>
    </row>
    <row r="104" spans="1:32" ht="18.75" x14ac:dyDescent="0.25">
      <c r="A104" s="25" t="s">
        <v>487</v>
      </c>
      <c r="B104" s="6">
        <v>150</v>
      </c>
      <c r="C104" s="66"/>
      <c r="D104" s="234"/>
      <c r="F104" s="39"/>
      <c r="G104" s="39"/>
      <c r="H104" s="39"/>
      <c r="I104" s="39"/>
      <c r="J104" s="39"/>
      <c r="K104" s="39"/>
      <c r="L104" s="39"/>
      <c r="M104" s="39">
        <v>0</v>
      </c>
      <c r="N104" s="39">
        <v>0</v>
      </c>
      <c r="O104" s="39">
        <v>0</v>
      </c>
      <c r="P104" s="39">
        <f>AR16</f>
        <v>200</v>
      </c>
      <c r="Q104" s="39">
        <v>598</v>
      </c>
      <c r="R104" s="39">
        <v>462</v>
      </c>
      <c r="S104" s="39">
        <v>266</v>
      </c>
      <c r="T104" s="39">
        <v>206</v>
      </c>
      <c r="U104" s="39"/>
      <c r="V104" s="39"/>
      <c r="W104" s="39"/>
      <c r="X104" s="39"/>
      <c r="Y104" s="39"/>
      <c r="Z104" s="39">
        <v>0</v>
      </c>
      <c r="AA104" s="39">
        <v>0</v>
      </c>
      <c r="AB104" s="6">
        <v>0</v>
      </c>
      <c r="AC104" s="6">
        <v>0</v>
      </c>
      <c r="AD104" s="6">
        <v>0</v>
      </c>
      <c r="AE104" s="6">
        <v>0</v>
      </c>
      <c r="AF104" s="372">
        <f t="shared" ca="1" si="3"/>
        <v>0</v>
      </c>
    </row>
    <row r="105" spans="1:32" ht="18.75" x14ac:dyDescent="0.25">
      <c r="A105" s="25" t="s">
        <v>479</v>
      </c>
      <c r="B105" s="6">
        <v>200</v>
      </c>
      <c r="C105" s="66"/>
      <c r="D105" s="234"/>
      <c r="F105" s="39">
        <v>0</v>
      </c>
      <c r="G105" s="39">
        <v>0</v>
      </c>
      <c r="H105" s="39">
        <v>0</v>
      </c>
      <c r="I105" s="39">
        <v>3</v>
      </c>
      <c r="J105" s="39">
        <v>3</v>
      </c>
      <c r="K105" s="39">
        <v>3</v>
      </c>
      <c r="L105" s="39">
        <v>3</v>
      </c>
      <c r="M105" s="39">
        <v>0</v>
      </c>
      <c r="N105" s="39">
        <v>0</v>
      </c>
      <c r="O105" s="39">
        <v>0</v>
      </c>
      <c r="P105" s="39">
        <f>AR21</f>
        <v>0</v>
      </c>
      <c r="Q105" s="39">
        <v>5</v>
      </c>
      <c r="R105" s="39">
        <v>5</v>
      </c>
      <c r="S105" s="39">
        <v>5</v>
      </c>
      <c r="T105" s="39">
        <v>5</v>
      </c>
      <c r="U105" s="39"/>
      <c r="V105" s="39"/>
      <c r="W105" s="39"/>
      <c r="X105" s="39"/>
      <c r="Y105" s="39"/>
      <c r="Z105" s="39">
        <v>5</v>
      </c>
      <c r="AA105" s="39">
        <v>5</v>
      </c>
      <c r="AB105" s="6">
        <v>5</v>
      </c>
      <c r="AC105" s="6">
        <v>5</v>
      </c>
      <c r="AD105" s="6">
        <v>5</v>
      </c>
      <c r="AE105" s="6">
        <v>5</v>
      </c>
      <c r="AF105" s="372">
        <f t="shared" ca="1" si="3"/>
        <v>0</v>
      </c>
    </row>
    <row r="106" spans="1:32" ht="18.75" x14ac:dyDescent="0.3">
      <c r="A106" s="153" t="s">
        <v>156</v>
      </c>
      <c r="B106" s="72">
        <v>100</v>
      </c>
      <c r="C106" s="77"/>
      <c r="D106" s="72"/>
      <c r="F106" s="39">
        <v>44</v>
      </c>
      <c r="G106" s="39">
        <v>44</v>
      </c>
      <c r="H106" s="39">
        <v>44</v>
      </c>
      <c r="I106" s="39">
        <v>44</v>
      </c>
      <c r="J106" s="39">
        <v>44</v>
      </c>
      <c r="K106" s="39">
        <v>44</v>
      </c>
      <c r="L106" s="39">
        <v>44</v>
      </c>
      <c r="M106" s="39">
        <v>0</v>
      </c>
      <c r="N106" s="39">
        <v>0</v>
      </c>
      <c r="O106" s="39">
        <v>0</v>
      </c>
      <c r="P106" s="39">
        <f>AR25</f>
        <v>200</v>
      </c>
      <c r="Q106" s="39">
        <v>100</v>
      </c>
      <c r="R106" s="39">
        <v>99</v>
      </c>
      <c r="S106" s="39">
        <v>99</v>
      </c>
      <c r="T106" s="39">
        <v>99</v>
      </c>
      <c r="U106" s="39"/>
      <c r="V106" s="39"/>
      <c r="W106" s="39"/>
      <c r="X106" s="39"/>
      <c r="Y106" s="39"/>
      <c r="Z106" s="39">
        <v>96</v>
      </c>
      <c r="AA106" s="39">
        <v>96</v>
      </c>
      <c r="AB106" s="6">
        <v>96</v>
      </c>
      <c r="AC106" s="6">
        <v>96</v>
      </c>
      <c r="AD106" s="6">
        <v>96</v>
      </c>
      <c r="AE106" s="6">
        <v>96</v>
      </c>
      <c r="AF106" s="372">
        <f t="shared" ca="1" si="3"/>
        <v>0</v>
      </c>
    </row>
    <row r="107" spans="1:32" ht="18.75" x14ac:dyDescent="0.3">
      <c r="A107" s="153" t="s">
        <v>158</v>
      </c>
      <c r="B107" s="72">
        <v>200</v>
      </c>
      <c r="C107" s="77"/>
      <c r="D107" s="72"/>
      <c r="F107" s="39">
        <v>88</v>
      </c>
      <c r="G107" s="39">
        <v>88</v>
      </c>
      <c r="H107" s="39">
        <v>88</v>
      </c>
      <c r="I107" s="39">
        <v>86</v>
      </c>
      <c r="J107" s="39">
        <v>84</v>
      </c>
      <c r="K107" s="39">
        <v>84</v>
      </c>
      <c r="L107" s="39">
        <v>84</v>
      </c>
      <c r="M107" s="39">
        <v>0</v>
      </c>
      <c r="N107" s="39">
        <v>0</v>
      </c>
      <c r="O107" s="39">
        <v>0</v>
      </c>
      <c r="P107" s="39">
        <v>0</v>
      </c>
      <c r="Q107" s="206">
        <v>50</v>
      </c>
      <c r="R107" s="39">
        <v>47</v>
      </c>
      <c r="S107" s="39">
        <v>47</v>
      </c>
      <c r="T107" s="39">
        <v>45</v>
      </c>
      <c r="U107" s="39"/>
      <c r="V107" s="39"/>
      <c r="W107" s="39"/>
      <c r="X107" s="39"/>
      <c r="Y107" s="39"/>
      <c r="Z107" s="39">
        <v>36</v>
      </c>
      <c r="AA107" s="39">
        <v>21</v>
      </c>
      <c r="AB107" s="6">
        <v>21</v>
      </c>
      <c r="AC107" s="6">
        <v>21</v>
      </c>
      <c r="AD107" s="6">
        <v>21</v>
      </c>
      <c r="AE107" s="6">
        <v>21</v>
      </c>
      <c r="AF107" s="372">
        <f t="shared" ca="1" si="3"/>
        <v>0</v>
      </c>
    </row>
    <row r="108" spans="1:32" ht="18.75" x14ac:dyDescent="0.25"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1"/>
      <c r="AC108" s="1"/>
      <c r="AD108" s="1"/>
      <c r="AE108" s="1"/>
    </row>
    <row r="109" spans="1:32" ht="18.75" x14ac:dyDescent="0.25">
      <c r="A109" s="272" t="s">
        <v>488</v>
      </c>
      <c r="B109" s="248" t="s">
        <v>151</v>
      </c>
      <c r="C109" s="248" t="s">
        <v>152</v>
      </c>
      <c r="D109" s="248"/>
      <c r="F109" s="13">
        <v>46013</v>
      </c>
      <c r="G109" s="13">
        <v>46020</v>
      </c>
      <c r="H109" s="13">
        <v>46027</v>
      </c>
      <c r="I109" s="13">
        <v>46034</v>
      </c>
      <c r="J109" s="13">
        <v>46041</v>
      </c>
      <c r="K109" s="13">
        <v>46048</v>
      </c>
      <c r="L109" s="13">
        <v>46055</v>
      </c>
      <c r="M109" s="13">
        <v>46062</v>
      </c>
      <c r="N109" s="13">
        <v>46069</v>
      </c>
      <c r="O109" s="13">
        <v>46076</v>
      </c>
      <c r="P109" s="13">
        <v>46083</v>
      </c>
      <c r="Q109" s="13">
        <v>46090</v>
      </c>
      <c r="R109" s="13">
        <v>46097</v>
      </c>
      <c r="S109" s="13">
        <v>46104</v>
      </c>
      <c r="T109" s="13">
        <v>46111</v>
      </c>
      <c r="U109" s="13">
        <v>46118</v>
      </c>
      <c r="V109" s="13">
        <v>46125</v>
      </c>
      <c r="W109" s="13">
        <v>46132</v>
      </c>
      <c r="X109" s="13">
        <v>46139</v>
      </c>
      <c r="Y109" s="13">
        <v>46146</v>
      </c>
      <c r="Z109" s="13">
        <v>46154</v>
      </c>
      <c r="AA109" s="13">
        <v>46160</v>
      </c>
      <c r="AB109" s="13">
        <v>46161.480133622688</v>
      </c>
      <c r="AC109" s="13">
        <v>46161.480807268519</v>
      </c>
      <c r="AD109" s="13">
        <v>46161.482964317132</v>
      </c>
      <c r="AE109" s="13">
        <v>46161.483293020188</v>
      </c>
      <c r="AF109" s="35" t="s">
        <v>129</v>
      </c>
    </row>
    <row r="110" spans="1:32" ht="18.75" x14ac:dyDescent="0.25">
      <c r="A110" s="25" t="s">
        <v>419</v>
      </c>
      <c r="B110" s="6">
        <v>200</v>
      </c>
      <c r="C110" s="66"/>
      <c r="D110" s="234"/>
      <c r="F110" s="39">
        <v>59</v>
      </c>
      <c r="G110" s="39">
        <v>59</v>
      </c>
      <c r="H110" s="39">
        <v>58</v>
      </c>
      <c r="I110" s="39">
        <v>47</v>
      </c>
      <c r="J110" s="39">
        <v>47</v>
      </c>
      <c r="K110" s="39">
        <v>46</v>
      </c>
      <c r="L110" s="39">
        <v>46</v>
      </c>
      <c r="M110" s="39">
        <v>0</v>
      </c>
      <c r="N110" s="39">
        <v>0</v>
      </c>
      <c r="O110" s="39">
        <v>0</v>
      </c>
      <c r="P110" s="39">
        <v>0</v>
      </c>
      <c r="Q110" s="39">
        <v>0</v>
      </c>
      <c r="R110" s="39">
        <v>0</v>
      </c>
      <c r="S110" s="39">
        <f>AN9</f>
        <v>0</v>
      </c>
      <c r="T110" s="39">
        <v>4000</v>
      </c>
      <c r="U110" s="39">
        <v>4000</v>
      </c>
      <c r="V110" s="39">
        <v>4000</v>
      </c>
      <c r="W110" s="39">
        <v>4000</v>
      </c>
      <c r="X110" s="39">
        <v>3000</v>
      </c>
      <c r="Y110" s="39">
        <v>1600</v>
      </c>
      <c r="Z110" s="206">
        <v>600</v>
      </c>
      <c r="AA110" s="206"/>
      <c r="AB110" s="373"/>
      <c r="AC110" s="373"/>
      <c r="AD110" s="373"/>
      <c r="AE110" s="373"/>
      <c r="AF110" s="372">
        <f t="shared" ref="AF110:AF118" ca="1" si="4">AD110+IF(NOT(ISBLANK(OFFSET(AF110,0,6))),N(OFFSET(AF110,0,6)),N(OFFSET(AF110,0,7)))-AE110</f>
        <v>0</v>
      </c>
    </row>
    <row r="111" spans="1:32" ht="18.75" x14ac:dyDescent="0.25">
      <c r="A111" s="25" t="s">
        <v>421</v>
      </c>
      <c r="B111" s="6">
        <v>200</v>
      </c>
      <c r="C111" s="66"/>
      <c r="D111" s="234"/>
      <c r="F111" s="39">
        <v>160</v>
      </c>
      <c r="G111" s="39">
        <v>160</v>
      </c>
      <c r="H111" s="39">
        <v>160</v>
      </c>
      <c r="I111" s="39">
        <v>131</v>
      </c>
      <c r="J111" s="39">
        <v>0</v>
      </c>
      <c r="K111" s="39">
        <v>0</v>
      </c>
      <c r="L111" s="39">
        <v>0</v>
      </c>
      <c r="M111" s="39">
        <v>0</v>
      </c>
      <c r="N111" s="39">
        <v>0</v>
      </c>
      <c r="O111" s="39">
        <v>0</v>
      </c>
      <c r="P111" s="39">
        <v>0</v>
      </c>
      <c r="Q111" s="39">
        <v>0</v>
      </c>
      <c r="R111" s="39">
        <v>0</v>
      </c>
      <c r="S111" s="39">
        <f>AN10</f>
        <v>0</v>
      </c>
      <c r="T111" s="39">
        <v>2200</v>
      </c>
      <c r="U111" s="39">
        <v>2200</v>
      </c>
      <c r="V111" s="39">
        <v>2200</v>
      </c>
      <c r="W111" s="39">
        <v>2200</v>
      </c>
      <c r="X111" s="39">
        <v>1800</v>
      </c>
      <c r="Y111" s="39">
        <v>1400</v>
      </c>
      <c r="Z111" s="206">
        <v>0</v>
      </c>
      <c r="AA111" s="206"/>
      <c r="AB111" s="373"/>
      <c r="AC111" s="373"/>
      <c r="AD111" s="373"/>
      <c r="AE111" s="373"/>
      <c r="AF111" s="372">
        <f t="shared" ca="1" si="4"/>
        <v>0</v>
      </c>
    </row>
    <row r="112" spans="1:32" ht="18.75" x14ac:dyDescent="0.25">
      <c r="A112" s="25" t="s">
        <v>422</v>
      </c>
      <c r="B112" s="6">
        <v>100</v>
      </c>
      <c r="C112" s="66"/>
      <c r="D112" s="234"/>
      <c r="F112" s="39">
        <v>37</v>
      </c>
      <c r="G112" s="39">
        <v>37</v>
      </c>
      <c r="H112" s="39">
        <v>37</v>
      </c>
      <c r="I112" s="39">
        <v>16</v>
      </c>
      <c r="J112" s="39">
        <v>0</v>
      </c>
      <c r="K112" s="39">
        <v>0</v>
      </c>
      <c r="L112" s="39">
        <v>0</v>
      </c>
      <c r="M112" s="39">
        <v>0</v>
      </c>
      <c r="N112" s="39">
        <v>0</v>
      </c>
      <c r="O112" s="39">
        <v>0</v>
      </c>
      <c r="P112" s="39">
        <v>0</v>
      </c>
      <c r="Q112" s="39">
        <v>0</v>
      </c>
      <c r="R112" s="39">
        <v>0</v>
      </c>
      <c r="S112" s="39">
        <f>AN11</f>
        <v>0</v>
      </c>
      <c r="T112" s="39">
        <v>800</v>
      </c>
      <c r="U112" s="39">
        <v>800</v>
      </c>
      <c r="V112" s="39">
        <v>800</v>
      </c>
      <c r="W112" s="39">
        <v>800</v>
      </c>
      <c r="X112" s="39">
        <v>700</v>
      </c>
      <c r="Y112" s="39">
        <v>600</v>
      </c>
      <c r="Z112" s="206">
        <v>300</v>
      </c>
      <c r="AA112" s="206"/>
      <c r="AB112" s="373"/>
      <c r="AC112" s="373"/>
      <c r="AD112" s="373"/>
      <c r="AE112" s="373"/>
      <c r="AF112" s="372">
        <f t="shared" ca="1" si="4"/>
        <v>0</v>
      </c>
    </row>
    <row r="113" spans="1:64" ht="18.75" x14ac:dyDescent="0.25">
      <c r="A113" s="25" t="s">
        <v>489</v>
      </c>
      <c r="B113" s="6">
        <v>200</v>
      </c>
      <c r="C113" s="66"/>
      <c r="D113" s="234"/>
      <c r="F113" s="39"/>
      <c r="G113" s="39"/>
      <c r="H113" s="39"/>
      <c r="I113" s="39"/>
      <c r="J113" s="39"/>
      <c r="K113" s="39"/>
      <c r="L113" s="39"/>
      <c r="M113" s="39">
        <v>0</v>
      </c>
      <c r="N113" s="39">
        <v>0</v>
      </c>
      <c r="O113" s="39">
        <v>0</v>
      </c>
      <c r="P113" s="39">
        <v>0</v>
      </c>
      <c r="Q113" s="39">
        <v>0</v>
      </c>
      <c r="R113" s="39">
        <v>0</v>
      </c>
      <c r="S113" s="39">
        <f>AN15</f>
        <v>0</v>
      </c>
      <c r="T113" s="39">
        <v>334</v>
      </c>
      <c r="U113" s="39"/>
      <c r="V113" s="39"/>
      <c r="W113" s="39"/>
      <c r="X113" s="39"/>
      <c r="Y113" s="39"/>
      <c r="Z113" s="39">
        <v>0</v>
      </c>
      <c r="AA113" s="39">
        <v>0</v>
      </c>
      <c r="AB113" s="6">
        <v>0</v>
      </c>
      <c r="AC113" s="6">
        <v>0</v>
      </c>
      <c r="AD113" s="6">
        <v>0</v>
      </c>
      <c r="AE113" s="6">
        <v>0</v>
      </c>
      <c r="AF113" s="372">
        <f t="shared" ca="1" si="4"/>
        <v>0</v>
      </c>
    </row>
    <row r="114" spans="1:64" ht="18.75" x14ac:dyDescent="0.25">
      <c r="A114" s="25" t="s">
        <v>487</v>
      </c>
      <c r="B114" s="6">
        <v>200</v>
      </c>
      <c r="C114" s="66"/>
      <c r="D114" s="234"/>
      <c r="F114" s="39"/>
      <c r="G114" s="39"/>
      <c r="H114" s="39"/>
      <c r="I114" s="39"/>
      <c r="J114" s="39"/>
      <c r="K114" s="39"/>
      <c r="L114" s="39"/>
      <c r="M114" s="39">
        <v>0</v>
      </c>
      <c r="N114" s="39">
        <v>0</v>
      </c>
      <c r="O114" s="39">
        <v>0</v>
      </c>
      <c r="P114" s="39">
        <v>0</v>
      </c>
      <c r="Q114" s="39">
        <v>0</v>
      </c>
      <c r="R114" s="39">
        <v>0</v>
      </c>
      <c r="S114" s="39">
        <f>AN16</f>
        <v>0</v>
      </c>
      <c r="T114" s="39">
        <v>154</v>
      </c>
      <c r="U114" s="39"/>
      <c r="V114" s="39"/>
      <c r="W114" s="39"/>
      <c r="X114" s="39"/>
      <c r="Y114" s="39"/>
      <c r="Z114" s="39">
        <v>0</v>
      </c>
      <c r="AA114" s="39">
        <v>0</v>
      </c>
      <c r="AB114" s="6">
        <v>0</v>
      </c>
      <c r="AC114" s="6">
        <v>0</v>
      </c>
      <c r="AD114" s="6">
        <v>0</v>
      </c>
      <c r="AE114" s="6">
        <v>0</v>
      </c>
      <c r="AF114" s="372">
        <f t="shared" ca="1" si="4"/>
        <v>0</v>
      </c>
    </row>
    <row r="115" spans="1:64" ht="18.75" x14ac:dyDescent="0.3">
      <c r="A115" s="153" t="s">
        <v>481</v>
      </c>
      <c r="B115" s="72">
        <v>200</v>
      </c>
      <c r="C115" s="77"/>
      <c r="D115" s="72"/>
      <c r="F115" s="39">
        <v>0</v>
      </c>
      <c r="G115" s="39">
        <v>0</v>
      </c>
      <c r="H115" s="39">
        <v>0</v>
      </c>
      <c r="I115" s="39">
        <v>0</v>
      </c>
      <c r="J115" s="39">
        <v>0</v>
      </c>
      <c r="K115" s="39">
        <v>0</v>
      </c>
      <c r="L115" s="39">
        <v>0</v>
      </c>
      <c r="M115" s="39">
        <v>0</v>
      </c>
      <c r="N115" s="39">
        <v>0</v>
      </c>
      <c r="O115" s="39">
        <v>0</v>
      </c>
      <c r="P115" s="39">
        <v>0</v>
      </c>
      <c r="Q115" s="39">
        <v>0</v>
      </c>
      <c r="R115" s="39">
        <v>0</v>
      </c>
      <c r="S115" s="39">
        <f>AN19</f>
        <v>0</v>
      </c>
      <c r="T115" s="39">
        <v>5</v>
      </c>
      <c r="U115" s="39"/>
      <c r="V115" s="39"/>
      <c r="W115" s="39"/>
      <c r="X115" s="39"/>
      <c r="Y115" s="39"/>
      <c r="Z115" s="39">
        <v>0</v>
      </c>
      <c r="AA115" s="39">
        <v>0</v>
      </c>
      <c r="AB115" s="6">
        <v>0</v>
      </c>
      <c r="AC115" s="6">
        <v>0</v>
      </c>
      <c r="AD115" s="6">
        <v>0</v>
      </c>
      <c r="AE115" s="6">
        <v>0</v>
      </c>
      <c r="AF115" s="372">
        <f t="shared" ca="1" si="4"/>
        <v>0</v>
      </c>
    </row>
    <row r="116" spans="1:64" ht="18.75" x14ac:dyDescent="0.3">
      <c r="A116" s="153" t="s">
        <v>154</v>
      </c>
      <c r="B116" s="72">
        <v>150</v>
      </c>
      <c r="C116" s="77"/>
      <c r="D116" s="72"/>
      <c r="F116" s="39">
        <v>60</v>
      </c>
      <c r="G116" s="39">
        <v>60</v>
      </c>
      <c r="H116" s="39">
        <v>60</v>
      </c>
      <c r="I116" s="39">
        <v>59</v>
      </c>
      <c r="J116" s="39">
        <v>59</v>
      </c>
      <c r="K116" s="39">
        <v>59</v>
      </c>
      <c r="L116" s="39">
        <v>59</v>
      </c>
      <c r="M116" s="39">
        <v>0</v>
      </c>
      <c r="N116" s="39">
        <v>0</v>
      </c>
      <c r="O116" s="39">
        <v>0</v>
      </c>
      <c r="P116" s="39">
        <f>AQ24</f>
        <v>0</v>
      </c>
      <c r="Q116" s="39">
        <v>150</v>
      </c>
      <c r="R116" s="39">
        <v>150</v>
      </c>
      <c r="S116" s="39">
        <v>150</v>
      </c>
      <c r="T116" s="39">
        <v>68</v>
      </c>
      <c r="U116" s="39"/>
      <c r="V116" s="39"/>
      <c r="W116" s="39"/>
      <c r="X116" s="39"/>
      <c r="Y116" s="39"/>
      <c r="Z116" s="39">
        <v>0</v>
      </c>
      <c r="AA116" s="39">
        <v>0</v>
      </c>
      <c r="AB116" s="6">
        <v>0</v>
      </c>
      <c r="AC116" s="6">
        <v>0</v>
      </c>
      <c r="AD116" s="6">
        <v>0</v>
      </c>
      <c r="AE116" s="6">
        <v>0</v>
      </c>
      <c r="AF116" s="372">
        <f t="shared" ca="1" si="4"/>
        <v>0</v>
      </c>
    </row>
    <row r="117" spans="1:64" ht="18.75" x14ac:dyDescent="0.3">
      <c r="A117" s="153" t="s">
        <v>156</v>
      </c>
      <c r="B117" s="72">
        <v>100</v>
      </c>
      <c r="C117" s="77"/>
      <c r="D117" s="72"/>
      <c r="F117" s="39">
        <v>1</v>
      </c>
      <c r="G117" s="39">
        <v>1</v>
      </c>
      <c r="H117" s="39">
        <v>1</v>
      </c>
      <c r="I117" s="39">
        <v>1</v>
      </c>
      <c r="J117" s="39">
        <v>1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f>AN25</f>
        <v>0</v>
      </c>
      <c r="T117" s="39">
        <v>78</v>
      </c>
      <c r="U117" s="39"/>
      <c r="V117" s="39"/>
      <c r="W117" s="39"/>
      <c r="X117" s="39"/>
      <c r="Y117" s="39"/>
      <c r="Z117" s="39">
        <v>0</v>
      </c>
      <c r="AA117" s="39">
        <v>0</v>
      </c>
      <c r="AB117" s="6">
        <v>0</v>
      </c>
      <c r="AC117" s="6">
        <v>0</v>
      </c>
      <c r="AD117" s="6">
        <v>0</v>
      </c>
      <c r="AE117" s="6">
        <v>0</v>
      </c>
      <c r="AF117" s="372">
        <f t="shared" ca="1" si="4"/>
        <v>0</v>
      </c>
    </row>
    <row r="118" spans="1:64" ht="18.75" x14ac:dyDescent="0.3">
      <c r="A118" s="153" t="s">
        <v>160</v>
      </c>
      <c r="B118" s="72">
        <v>150</v>
      </c>
      <c r="C118" s="77"/>
      <c r="D118" s="72"/>
      <c r="F118" s="39">
        <v>11</v>
      </c>
      <c r="G118" s="39">
        <v>11</v>
      </c>
      <c r="H118" s="39">
        <v>11</v>
      </c>
      <c r="I118" s="39">
        <v>11</v>
      </c>
      <c r="J118" s="39">
        <v>11</v>
      </c>
      <c r="K118" s="39">
        <v>11</v>
      </c>
      <c r="L118" s="39">
        <v>11</v>
      </c>
      <c r="M118" s="39">
        <v>0</v>
      </c>
      <c r="N118" s="39">
        <v>0</v>
      </c>
      <c r="O118" s="39">
        <v>0</v>
      </c>
      <c r="P118" s="39">
        <v>0</v>
      </c>
      <c r="Q118" s="39">
        <v>0</v>
      </c>
      <c r="R118" s="39">
        <v>0</v>
      </c>
      <c r="S118" s="39">
        <f>AN26</f>
        <v>0</v>
      </c>
      <c r="T118" s="39">
        <v>88</v>
      </c>
      <c r="U118" s="39"/>
      <c r="V118" s="39"/>
      <c r="W118" s="39"/>
      <c r="X118" s="39"/>
      <c r="Y118" s="39"/>
      <c r="Z118" s="39">
        <v>0</v>
      </c>
      <c r="AA118" s="39">
        <v>0</v>
      </c>
      <c r="AB118" s="6">
        <v>0</v>
      </c>
      <c r="AC118" s="6">
        <v>0</v>
      </c>
      <c r="AD118" s="6">
        <v>0</v>
      </c>
      <c r="AE118" s="6">
        <v>0</v>
      </c>
      <c r="AF118" s="372">
        <f t="shared" ca="1" si="4"/>
        <v>0</v>
      </c>
    </row>
    <row r="119" spans="1:64" ht="18.75" x14ac:dyDescent="0.25"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1"/>
      <c r="AC119" s="1"/>
      <c r="AD119" s="1"/>
      <c r="AE119" s="1"/>
    </row>
    <row r="120" spans="1:64" ht="18.75" x14ac:dyDescent="0.25"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1"/>
      <c r="AC120" s="1"/>
      <c r="AD120" s="1"/>
      <c r="AE120" s="1"/>
    </row>
    <row r="121" spans="1:64" ht="18.75" x14ac:dyDescent="0.25"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</row>
    <row r="122" spans="1:64" ht="18.75" x14ac:dyDescent="0.25"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</row>
    <row r="123" spans="1:64" ht="18.75" x14ac:dyDescent="0.25"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1"/>
      <c r="AC123" s="1"/>
      <c r="AD123" s="1"/>
      <c r="AE123" s="1"/>
      <c r="AK123" s="15"/>
      <c r="AL123" s="388"/>
      <c r="AM123" s="75"/>
      <c r="AN123" s="75"/>
      <c r="AO123" s="75"/>
    </row>
    <row r="124" spans="1:64" ht="18.75" x14ac:dyDescent="0.25"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1"/>
      <c r="AC124" s="1"/>
      <c r="AD124" s="1"/>
      <c r="AE124" s="1"/>
      <c r="AK124" s="15"/>
      <c r="AL124" s="388"/>
      <c r="AM124" s="75"/>
      <c r="AN124" s="75"/>
      <c r="AO124" s="75"/>
    </row>
    <row r="125" spans="1:64" ht="21" customHeight="1" x14ac:dyDescent="0.25">
      <c r="A125" s="394" t="s">
        <v>174</v>
      </c>
      <c r="B125" s="394"/>
      <c r="C125" s="394"/>
    </row>
    <row r="126" spans="1:64" ht="37.5" customHeight="1" x14ac:dyDescent="0.25">
      <c r="A126" s="361" t="s">
        <v>175</v>
      </c>
      <c r="B126" s="361"/>
      <c r="C126" s="361" t="s">
        <v>342</v>
      </c>
    </row>
    <row r="127" spans="1:64" ht="18.75" x14ac:dyDescent="0.3">
      <c r="A127" s="165"/>
      <c r="B127" s="370"/>
      <c r="C127" s="357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AF127" s="2"/>
      <c r="AH127" s="75"/>
      <c r="AI127" s="75"/>
      <c r="AJ127" s="1"/>
      <c r="AL127" s="41"/>
      <c r="AP127" s="75"/>
      <c r="AQ127" s="75"/>
      <c r="AR127" s="75"/>
      <c r="AS127" s="75"/>
      <c r="AT127" s="75"/>
      <c r="AU127" s="75"/>
      <c r="AV127" s="75"/>
      <c r="AW127" s="75"/>
      <c r="AX127" s="75"/>
      <c r="AY127" s="75"/>
      <c r="AZ127" s="75"/>
      <c r="BA127" s="75"/>
      <c r="BB127" s="75"/>
      <c r="BC127" s="75"/>
      <c r="BD127" s="75"/>
      <c r="BE127" s="75"/>
      <c r="BF127" s="75"/>
      <c r="BG127" s="75"/>
      <c r="BH127" s="75"/>
      <c r="BI127" s="75"/>
      <c r="BJ127" s="75"/>
      <c r="BK127" s="75"/>
      <c r="BL127" s="75"/>
    </row>
    <row r="128" spans="1:64" ht="18.75" x14ac:dyDescent="0.3">
      <c r="A128" s="181"/>
      <c r="B128" s="367"/>
      <c r="C128" s="368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AF128" s="2"/>
      <c r="AH128" s="75"/>
      <c r="AI128" s="75"/>
      <c r="AJ128" s="1"/>
      <c r="AL128" s="41"/>
      <c r="AP128" s="75"/>
      <c r="AQ128" s="75"/>
      <c r="AR128" s="75"/>
      <c r="AS128" s="75"/>
      <c r="AT128" s="75"/>
      <c r="AU128" s="75"/>
      <c r="AV128" s="75"/>
      <c r="AW128" s="75"/>
      <c r="AX128" s="75"/>
      <c r="AY128" s="75"/>
      <c r="AZ128" s="75"/>
      <c r="BA128" s="75"/>
      <c r="BB128" s="75"/>
      <c r="BC128" s="75"/>
      <c r="BD128" s="75"/>
      <c r="BE128" s="75"/>
      <c r="BF128" s="75"/>
      <c r="BG128" s="75"/>
      <c r="BH128" s="75"/>
      <c r="BI128" s="75"/>
      <c r="BJ128" s="75"/>
      <c r="BK128" s="75"/>
      <c r="BL128" s="75"/>
    </row>
    <row r="129" spans="2:64" ht="18.75" x14ac:dyDescent="0.3"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71"/>
      <c r="AI129" s="71"/>
      <c r="AJ129" s="11"/>
      <c r="AK129" s="34"/>
      <c r="AL129" s="11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</row>
    <row r="130" spans="2:64" ht="18.75" x14ac:dyDescent="0.3"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71"/>
      <c r="AI130" s="71"/>
      <c r="AJ130" s="11"/>
      <c r="AK130" s="34"/>
      <c r="AL130" s="11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</row>
    <row r="131" spans="2:64" ht="18.75" x14ac:dyDescent="0.3"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71"/>
      <c r="AI131" s="71"/>
      <c r="AJ131" s="11"/>
      <c r="AK131" s="34"/>
      <c r="AL131" s="11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</row>
    <row r="132" spans="2:64" ht="18.75" x14ac:dyDescent="0.3">
      <c r="B132" s="41"/>
      <c r="C132" s="120"/>
      <c r="D132" s="120"/>
    </row>
    <row r="133" spans="2:64" ht="18.75" x14ac:dyDescent="0.3">
      <c r="B133" s="41"/>
      <c r="C133" s="120"/>
      <c r="D133" s="120"/>
    </row>
  </sheetData>
  <mergeCells count="9">
    <mergeCell ref="A5:A6"/>
    <mergeCell ref="B3:D3"/>
    <mergeCell ref="F5:AA5"/>
    <mergeCell ref="A1:AB1"/>
    <mergeCell ref="A98:AA98"/>
    <mergeCell ref="C5:C6"/>
    <mergeCell ref="B5:B6"/>
    <mergeCell ref="B2:D2"/>
    <mergeCell ref="D5:D6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53" orientation="landscape" horizontalDpi="4294967295" verticalDpi="4294967295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23">
    <tabColor theme="9"/>
    <pageSetUpPr fitToPage="1"/>
  </sheetPr>
  <dimension ref="A1:BD123"/>
  <sheetViews>
    <sheetView showGridLines="0" topLeftCell="A54" zoomScale="80" zoomScaleNormal="80" zoomScaleSheetLayoutView="50" workbookViewId="0">
      <selection activeCell="AA2" sqref="AA1:AA1048576"/>
    </sheetView>
  </sheetViews>
  <sheetFormatPr defaultColWidth="9.140625" defaultRowHeight="18.75" x14ac:dyDescent="0.3"/>
  <cols>
    <col min="1" max="1" width="38.42578125" style="62" customWidth="1"/>
    <col min="2" max="2" width="8.140625" style="11" customWidth="1"/>
    <col min="3" max="3" width="14.7109375" style="11" customWidth="1"/>
    <col min="4" max="4" width="16.85546875" style="11" customWidth="1"/>
    <col min="5" max="5" width="2" style="11" customWidth="1"/>
    <col min="6" max="18" width="8.28515625" style="11" hidden="1" customWidth="1"/>
    <col min="19" max="26" width="8.28515625" style="11" customWidth="1"/>
    <col min="27" max="27" width="9.5703125" style="11" bestFit="1" customWidth="1"/>
    <col min="28" max="28" width="1.42578125" style="11" customWidth="1"/>
    <col min="29" max="30" width="14.28515625" style="71" bestFit="1" customWidth="1"/>
    <col min="31" max="31" width="1.7109375" style="11" customWidth="1"/>
    <col min="32" max="32" width="15.85546875" style="34" bestFit="1" customWidth="1"/>
    <col min="33" max="33" width="1.28515625" style="11" customWidth="1"/>
    <col min="34" max="40" width="9.140625" style="34" customWidth="1"/>
    <col min="41" max="49" width="9.140625" style="34" hidden="1" customWidth="1"/>
    <col min="50" max="51" width="13.5703125" style="202" hidden="1" customWidth="1"/>
    <col min="52" max="52" width="14.28515625" style="202" hidden="1" customWidth="1"/>
    <col min="53" max="54" width="12.28515625" style="34" hidden="1" customWidth="1"/>
    <col min="55" max="55" width="14.28515625" style="202" hidden="1" customWidth="1"/>
    <col min="56" max="56" width="18.85546875" style="34" hidden="1" customWidth="1"/>
    <col min="57" max="57" width="9.140625" style="11" customWidth="1"/>
    <col min="58" max="16384" width="9.140625" style="11"/>
  </cols>
  <sheetData>
    <row r="1" spans="1:56" ht="23.25" customHeight="1" x14ac:dyDescent="0.3">
      <c r="A1" s="498" t="s">
        <v>117</v>
      </c>
      <c r="B1" s="479"/>
      <c r="C1" s="479"/>
      <c r="D1" s="479"/>
      <c r="E1" s="479"/>
      <c r="F1" s="479"/>
      <c r="G1" s="479"/>
      <c r="H1" s="479"/>
      <c r="I1" s="479"/>
      <c r="J1" s="479"/>
      <c r="K1" s="479"/>
      <c r="L1" s="479"/>
      <c r="M1" s="479"/>
      <c r="N1" s="479"/>
      <c r="O1" s="479"/>
      <c r="P1" s="479"/>
      <c r="Q1" s="479"/>
      <c r="R1" s="479"/>
      <c r="S1" s="479"/>
      <c r="T1" s="479"/>
      <c r="U1" s="479"/>
      <c r="V1" s="479"/>
      <c r="W1" s="479"/>
      <c r="X1" s="479"/>
      <c r="Y1" s="479"/>
      <c r="Z1" s="479"/>
      <c r="AA1" s="479"/>
      <c r="AB1" s="479"/>
      <c r="AE1" s="34"/>
      <c r="AF1" s="11"/>
      <c r="AG1" s="34"/>
    </row>
    <row r="2" spans="1:56" x14ac:dyDescent="0.3">
      <c r="A2" s="63" t="s">
        <v>118</v>
      </c>
      <c r="B2" s="473" t="s">
        <v>490</v>
      </c>
      <c r="C2" s="463"/>
      <c r="D2" s="464"/>
      <c r="AE2" s="34"/>
      <c r="AF2" s="11"/>
      <c r="AG2" s="34"/>
    </row>
    <row r="3" spans="1:56" x14ac:dyDescent="0.3">
      <c r="A3" s="63" t="s">
        <v>120</v>
      </c>
      <c r="B3" s="465" t="s">
        <v>324</v>
      </c>
      <c r="C3" s="463"/>
      <c r="D3" s="464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E3" s="34"/>
    </row>
    <row r="4" spans="1:56" x14ac:dyDescent="0.3">
      <c r="AC4" s="41"/>
      <c r="AD4" s="41"/>
      <c r="AF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203"/>
      <c r="AY4" s="203"/>
      <c r="AZ4" s="203"/>
      <c r="BA4" s="11"/>
      <c r="BB4" s="11"/>
      <c r="BC4" s="203"/>
      <c r="BD4" s="11"/>
    </row>
    <row r="5" spans="1:56" ht="24.75" customHeight="1" x14ac:dyDescent="0.3">
      <c r="A5" s="460" t="s">
        <v>122</v>
      </c>
      <c r="B5" s="471" t="s">
        <v>123</v>
      </c>
      <c r="C5" s="471" t="s">
        <v>124</v>
      </c>
      <c r="D5" s="474" t="s">
        <v>125</v>
      </c>
      <c r="F5" s="476"/>
      <c r="G5" s="467"/>
      <c r="H5" s="467"/>
      <c r="I5" s="467"/>
      <c r="J5" s="467"/>
      <c r="K5" s="467"/>
      <c r="L5" s="467"/>
      <c r="M5" s="467"/>
      <c r="N5" s="467"/>
      <c r="O5" s="467"/>
      <c r="P5" s="467"/>
      <c r="Q5" s="467"/>
      <c r="R5" s="467"/>
      <c r="S5" s="467"/>
      <c r="T5" s="467"/>
      <c r="U5" s="467"/>
      <c r="V5" s="467"/>
      <c r="W5" s="467"/>
      <c r="X5" s="467"/>
      <c r="Y5" s="467"/>
      <c r="Z5" s="467"/>
      <c r="AA5" s="469"/>
      <c r="AC5" s="29" t="s">
        <v>126</v>
      </c>
      <c r="AD5" s="29" t="s">
        <v>126</v>
      </c>
      <c r="AF5" s="9" t="s">
        <v>127</v>
      </c>
      <c r="AH5" s="17">
        <v>46149</v>
      </c>
      <c r="AI5" s="17">
        <v>46142</v>
      </c>
      <c r="AJ5" s="17">
        <v>46114</v>
      </c>
      <c r="AK5" s="17">
        <v>46099</v>
      </c>
      <c r="AL5" s="294">
        <v>46065</v>
      </c>
      <c r="AM5" s="17">
        <v>46077</v>
      </c>
      <c r="AN5" s="292">
        <v>46045</v>
      </c>
      <c r="AO5" s="17">
        <v>46056</v>
      </c>
      <c r="AP5" s="17">
        <v>46017</v>
      </c>
      <c r="AQ5" s="17">
        <v>46007</v>
      </c>
      <c r="AR5" s="17">
        <v>46001</v>
      </c>
      <c r="AS5" s="17">
        <v>45994</v>
      </c>
      <c r="AT5" s="17">
        <v>45986</v>
      </c>
      <c r="AU5" s="17">
        <v>45980</v>
      </c>
      <c r="AV5" s="17">
        <v>45980</v>
      </c>
      <c r="AW5" s="17">
        <v>45973</v>
      </c>
      <c r="AX5" s="207" t="s">
        <v>128</v>
      </c>
      <c r="AY5" s="207" t="s">
        <v>128</v>
      </c>
      <c r="AZ5" s="268" t="s">
        <v>128</v>
      </c>
      <c r="BA5" s="268" t="s">
        <v>128</v>
      </c>
      <c r="BB5" s="258" t="s">
        <v>128</v>
      </c>
      <c r="BC5" s="207" t="s">
        <v>128</v>
      </c>
      <c r="BD5" s="274" t="s">
        <v>128</v>
      </c>
    </row>
    <row r="6" spans="1:56" s="3" customFormat="1" x14ac:dyDescent="0.3">
      <c r="A6" s="461"/>
      <c r="B6" s="461"/>
      <c r="C6" s="461"/>
      <c r="D6" s="461"/>
      <c r="E6" s="30"/>
      <c r="F6" s="13">
        <v>46006</v>
      </c>
      <c r="G6" s="13">
        <v>46013</v>
      </c>
      <c r="H6" s="13">
        <v>46020</v>
      </c>
      <c r="I6" s="13">
        <v>46027</v>
      </c>
      <c r="J6" s="13">
        <v>46034</v>
      </c>
      <c r="K6" s="13">
        <v>46041</v>
      </c>
      <c r="L6" s="13">
        <v>46048</v>
      </c>
      <c r="M6" s="13">
        <v>46055</v>
      </c>
      <c r="N6" s="13">
        <v>46062</v>
      </c>
      <c r="O6" s="13">
        <v>46069</v>
      </c>
      <c r="P6" s="13">
        <v>46076</v>
      </c>
      <c r="Q6" s="13">
        <v>46083</v>
      </c>
      <c r="R6" s="13">
        <v>46090</v>
      </c>
      <c r="S6" s="13">
        <v>46097</v>
      </c>
      <c r="T6" s="13">
        <v>46104</v>
      </c>
      <c r="U6" s="13">
        <v>46111</v>
      </c>
      <c r="V6" s="13">
        <v>46118</v>
      </c>
      <c r="W6" s="13">
        <v>46125</v>
      </c>
      <c r="X6" s="13">
        <v>46132</v>
      </c>
      <c r="Y6" s="13">
        <v>46139</v>
      </c>
      <c r="Z6" s="13">
        <v>46146</v>
      </c>
      <c r="AA6" s="149" t="s">
        <v>129</v>
      </c>
      <c r="AB6" s="30"/>
      <c r="AC6" s="18"/>
      <c r="AD6" s="18">
        <v>46149</v>
      </c>
      <c r="AE6" s="31"/>
      <c r="AF6" s="179"/>
      <c r="AG6" s="31"/>
      <c r="AH6" s="17"/>
      <c r="AI6" s="17">
        <v>46149</v>
      </c>
      <c r="AJ6" s="17">
        <v>46125</v>
      </c>
      <c r="AK6" s="17">
        <v>46104</v>
      </c>
      <c r="AL6" s="294">
        <v>46104</v>
      </c>
      <c r="AM6" s="17">
        <v>46086</v>
      </c>
      <c r="AN6" s="292">
        <v>46094</v>
      </c>
      <c r="AO6" s="17">
        <v>46062</v>
      </c>
      <c r="AP6" s="17">
        <v>46027</v>
      </c>
      <c r="AQ6" s="17">
        <v>46010</v>
      </c>
      <c r="AR6" s="17">
        <v>46010</v>
      </c>
      <c r="AS6" s="17">
        <v>46001</v>
      </c>
      <c r="AT6" s="17">
        <v>45996</v>
      </c>
      <c r="AU6" s="17">
        <v>45992</v>
      </c>
      <c r="AV6" s="17">
        <v>45988</v>
      </c>
      <c r="AW6" s="17">
        <v>45986</v>
      </c>
      <c r="AX6" s="207">
        <v>45982</v>
      </c>
      <c r="AY6" s="207">
        <v>45979</v>
      </c>
      <c r="AZ6" s="269">
        <v>45974</v>
      </c>
      <c r="BA6" s="269">
        <v>45972</v>
      </c>
      <c r="BB6" s="258">
        <v>45968</v>
      </c>
      <c r="BC6" s="207">
        <v>45967</v>
      </c>
      <c r="BD6" s="274">
        <v>45964</v>
      </c>
    </row>
    <row r="7" spans="1:56" s="3" customFormat="1" ht="21.75" customHeight="1" x14ac:dyDescent="0.3">
      <c r="A7" s="20" t="s">
        <v>426</v>
      </c>
      <c r="B7" s="4"/>
      <c r="C7" s="5"/>
      <c r="D7" s="233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1"/>
      <c r="AC7" s="84"/>
      <c r="AD7" s="84"/>
      <c r="AE7" s="11"/>
      <c r="AF7" s="111"/>
      <c r="AG7" s="11"/>
      <c r="AH7" s="114"/>
      <c r="AI7" s="114"/>
      <c r="AJ7" s="114"/>
      <c r="AK7" s="114"/>
      <c r="AL7" s="114" t="s">
        <v>131</v>
      </c>
      <c r="AM7" s="114"/>
      <c r="AN7" s="114" t="s">
        <v>131</v>
      </c>
      <c r="AO7" s="114"/>
      <c r="AP7" s="114"/>
      <c r="AQ7" s="114"/>
      <c r="AR7" s="114"/>
      <c r="AS7" s="114"/>
      <c r="AT7" s="114"/>
      <c r="AU7" s="114"/>
      <c r="AV7" s="114"/>
      <c r="AW7" s="114"/>
      <c r="AX7" s="114"/>
      <c r="AY7" s="114"/>
      <c r="AZ7" s="114" t="s">
        <v>491</v>
      </c>
      <c r="BA7" s="114"/>
      <c r="BB7" s="114" t="s">
        <v>492</v>
      </c>
      <c r="BC7" s="114"/>
      <c r="BD7" s="114" t="s">
        <v>493</v>
      </c>
    </row>
    <row r="8" spans="1:56" s="3" customFormat="1" x14ac:dyDescent="0.3">
      <c r="A8" s="21" t="s">
        <v>132</v>
      </c>
      <c r="B8" s="6">
        <v>300</v>
      </c>
      <c r="C8" s="82">
        <v>178.21</v>
      </c>
      <c r="D8" s="234"/>
      <c r="E8" s="11"/>
      <c r="F8" s="39">
        <v>370</v>
      </c>
      <c r="G8" s="39">
        <v>791</v>
      </c>
      <c r="H8" s="39">
        <v>753</v>
      </c>
      <c r="I8" s="39">
        <f>736+AP8</f>
        <v>1336</v>
      </c>
      <c r="J8" s="39">
        <v>1212</v>
      </c>
      <c r="K8" s="39">
        <v>1171</v>
      </c>
      <c r="L8" s="39">
        <v>878</v>
      </c>
      <c r="M8" s="39">
        <v>508</v>
      </c>
      <c r="N8" s="39">
        <f>501+AO8</f>
        <v>1101</v>
      </c>
      <c r="O8" s="122">
        <v>1056</v>
      </c>
      <c r="P8" s="122">
        <v>733</v>
      </c>
      <c r="Q8" s="122">
        <f>646+AM8</f>
        <v>946</v>
      </c>
      <c r="R8" s="122">
        <v>694</v>
      </c>
      <c r="S8" s="122">
        <v>484</v>
      </c>
      <c r="T8" s="122">
        <f>411+AK8</f>
        <v>711</v>
      </c>
      <c r="U8" s="122">
        <v>526</v>
      </c>
      <c r="V8" s="122">
        <v>412</v>
      </c>
      <c r="W8" s="122">
        <v>0</v>
      </c>
      <c r="X8" s="122">
        <v>0</v>
      </c>
      <c r="Y8" s="122">
        <v>0</v>
      </c>
      <c r="Z8" s="122">
        <f>0+AI8</f>
        <v>300</v>
      </c>
      <c r="AA8" s="123">
        <f t="shared" ref="AA8:AA13" ca="1" si="0">Y8+IF(NOT(ISBLANK(OFFSET(AA8,0,6))),N(OFFSET(AA8,0,6)),N(OFFSET(AA8,0,7)))-Z8</f>
        <v>-300</v>
      </c>
      <c r="AB8" s="11"/>
      <c r="AC8" s="78"/>
      <c r="AD8" s="78"/>
      <c r="AE8" s="11"/>
      <c r="AF8" s="32"/>
      <c r="AG8" s="11"/>
      <c r="AH8" s="19">
        <v>0</v>
      </c>
      <c r="AI8" s="19">
        <v>300</v>
      </c>
      <c r="AJ8" s="19">
        <v>0</v>
      </c>
      <c r="AK8" s="19">
        <v>300</v>
      </c>
      <c r="AL8" s="19"/>
      <c r="AM8" s="19">
        <v>300</v>
      </c>
      <c r="AN8" s="19"/>
      <c r="AO8" s="19">
        <v>600</v>
      </c>
      <c r="AP8" s="19">
        <v>600</v>
      </c>
      <c r="AQ8" s="19">
        <v>300</v>
      </c>
      <c r="AR8" s="19">
        <v>300</v>
      </c>
      <c r="AS8" s="19">
        <v>300</v>
      </c>
      <c r="AT8" s="19"/>
      <c r="AU8" s="19">
        <v>300</v>
      </c>
      <c r="AV8" s="19"/>
      <c r="AW8" s="19">
        <v>300</v>
      </c>
      <c r="AX8" s="117"/>
      <c r="AY8" s="117"/>
      <c r="AZ8" s="117"/>
      <c r="BA8" s="19"/>
      <c r="BB8" s="19"/>
      <c r="BC8" s="117"/>
      <c r="BD8" s="117"/>
    </row>
    <row r="9" spans="1:56" s="3" customFormat="1" x14ac:dyDescent="0.3">
      <c r="A9" s="21" t="s">
        <v>134</v>
      </c>
      <c r="B9" s="6">
        <v>200</v>
      </c>
      <c r="C9" s="82">
        <v>183.89</v>
      </c>
      <c r="D9" s="234"/>
      <c r="E9" s="11"/>
      <c r="F9" s="122">
        <v>936</v>
      </c>
      <c r="G9" s="122">
        <v>1164</v>
      </c>
      <c r="H9" s="122">
        <v>1148</v>
      </c>
      <c r="I9" s="122">
        <f>1003+AP9</f>
        <v>1803</v>
      </c>
      <c r="J9" s="122">
        <v>1699</v>
      </c>
      <c r="K9" s="122">
        <v>1533</v>
      </c>
      <c r="L9" s="122">
        <v>1388</v>
      </c>
      <c r="M9" s="122">
        <v>1175</v>
      </c>
      <c r="N9" s="122">
        <v>1008</v>
      </c>
      <c r="O9" s="122">
        <v>880</v>
      </c>
      <c r="P9" s="122">
        <v>767</v>
      </c>
      <c r="Q9" s="122">
        <f>580+AM9</f>
        <v>780</v>
      </c>
      <c r="R9" s="122">
        <v>592</v>
      </c>
      <c r="S9" s="122">
        <v>478</v>
      </c>
      <c r="T9" s="122">
        <v>340</v>
      </c>
      <c r="U9" s="122">
        <v>190</v>
      </c>
      <c r="V9" s="122">
        <v>85</v>
      </c>
      <c r="W9" s="122">
        <v>600</v>
      </c>
      <c r="X9" s="122">
        <v>462</v>
      </c>
      <c r="Y9" s="122">
        <v>244</v>
      </c>
      <c r="Z9" s="122">
        <f>20+AI9</f>
        <v>620</v>
      </c>
      <c r="AA9" s="123">
        <f t="shared" ca="1" si="0"/>
        <v>-376</v>
      </c>
      <c r="AB9" s="11"/>
      <c r="AC9" s="78"/>
      <c r="AD9" s="78"/>
      <c r="AE9" s="11"/>
      <c r="AF9" s="32"/>
      <c r="AG9" s="11"/>
      <c r="AH9" s="19">
        <v>0</v>
      </c>
      <c r="AI9" s="19">
        <v>600</v>
      </c>
      <c r="AJ9" s="19">
        <v>600</v>
      </c>
      <c r="AK9" s="19"/>
      <c r="AL9" s="244">
        <v>400</v>
      </c>
      <c r="AM9" s="19">
        <v>200</v>
      </c>
      <c r="AN9" s="19"/>
      <c r="AO9" s="19"/>
      <c r="AP9" s="19">
        <v>800</v>
      </c>
      <c r="AQ9" s="19">
        <v>400</v>
      </c>
      <c r="AR9" s="19"/>
      <c r="AS9" s="19">
        <v>600</v>
      </c>
      <c r="AT9" s="19"/>
      <c r="AU9" s="19">
        <v>400</v>
      </c>
      <c r="AV9" s="19"/>
      <c r="AW9" s="19">
        <v>400</v>
      </c>
      <c r="AX9" s="253" t="s">
        <v>494</v>
      </c>
      <c r="AY9" s="117"/>
      <c r="AZ9" s="244" t="s">
        <v>495</v>
      </c>
      <c r="BA9" s="19"/>
      <c r="BB9" s="19"/>
      <c r="BC9" s="253" t="s">
        <v>496</v>
      </c>
      <c r="BD9" s="117"/>
    </row>
    <row r="10" spans="1:56" s="3" customFormat="1" x14ac:dyDescent="0.3">
      <c r="A10" s="21" t="s">
        <v>137</v>
      </c>
      <c r="B10" s="6">
        <v>200</v>
      </c>
      <c r="C10" s="82">
        <v>241.74</v>
      </c>
      <c r="D10" s="234"/>
      <c r="E10" s="11"/>
      <c r="F10" s="122">
        <v>329</v>
      </c>
      <c r="G10" s="122">
        <v>471</v>
      </c>
      <c r="H10" s="122">
        <v>400</v>
      </c>
      <c r="I10" s="122">
        <f>391+AP10</f>
        <v>791</v>
      </c>
      <c r="J10" s="122">
        <v>733</v>
      </c>
      <c r="K10" s="122">
        <v>679</v>
      </c>
      <c r="L10" s="122">
        <v>601</v>
      </c>
      <c r="M10" s="122">
        <v>450</v>
      </c>
      <c r="N10" s="122">
        <v>542</v>
      </c>
      <c r="O10" s="122">
        <v>539</v>
      </c>
      <c r="P10" s="122">
        <v>167</v>
      </c>
      <c r="Q10" s="122">
        <f>8+AM10</f>
        <v>208</v>
      </c>
      <c r="R10" s="122">
        <v>110</v>
      </c>
      <c r="S10" s="122">
        <v>46</v>
      </c>
      <c r="T10" s="122">
        <f>5+AK10</f>
        <v>405</v>
      </c>
      <c r="U10" s="122">
        <v>400</v>
      </c>
      <c r="V10" s="122">
        <v>499</v>
      </c>
      <c r="W10" s="122">
        <v>340</v>
      </c>
      <c r="X10" s="122">
        <v>200</v>
      </c>
      <c r="Y10" s="122">
        <v>163</v>
      </c>
      <c r="Z10" s="122">
        <f>0+AI10</f>
        <v>200</v>
      </c>
      <c r="AA10" s="123">
        <f t="shared" ca="1" si="0"/>
        <v>-37</v>
      </c>
      <c r="AB10" s="11"/>
      <c r="AC10" s="78"/>
      <c r="AD10" s="78"/>
      <c r="AE10" s="11"/>
      <c r="AF10" s="32"/>
      <c r="AG10" s="11"/>
      <c r="AH10" s="19">
        <v>0</v>
      </c>
      <c r="AI10" s="19">
        <v>200</v>
      </c>
      <c r="AJ10" s="19">
        <v>0</v>
      </c>
      <c r="AK10" s="19">
        <v>400</v>
      </c>
      <c r="AL10" s="244">
        <v>200</v>
      </c>
      <c r="AM10" s="19">
        <v>200</v>
      </c>
      <c r="AN10" s="293">
        <v>150</v>
      </c>
      <c r="AO10" s="19"/>
      <c r="AP10" s="19">
        <v>400</v>
      </c>
      <c r="AQ10" s="19">
        <v>400</v>
      </c>
      <c r="AR10" s="19"/>
      <c r="AS10" s="19">
        <v>200</v>
      </c>
      <c r="AT10" s="19"/>
      <c r="AU10" s="19">
        <v>200</v>
      </c>
      <c r="AV10" s="19"/>
      <c r="AW10" s="19">
        <v>200</v>
      </c>
      <c r="AX10" s="117"/>
      <c r="AY10" s="117"/>
      <c r="AZ10" s="244" t="s">
        <v>495</v>
      </c>
      <c r="BA10" s="19"/>
      <c r="BB10" s="19"/>
      <c r="BC10" s="253" t="s">
        <v>495</v>
      </c>
      <c r="BD10" s="251" t="s">
        <v>495</v>
      </c>
    </row>
    <row r="11" spans="1:56" s="3" customFormat="1" ht="19.5" customHeight="1" x14ac:dyDescent="0.3">
      <c r="A11" s="22" t="s">
        <v>139</v>
      </c>
      <c r="B11" s="6">
        <v>100</v>
      </c>
      <c r="C11" s="82">
        <v>175.78</v>
      </c>
      <c r="D11" s="234"/>
      <c r="E11" s="11"/>
      <c r="F11" s="39">
        <v>0</v>
      </c>
      <c r="G11" s="39">
        <v>300</v>
      </c>
      <c r="H11" s="39">
        <v>281</v>
      </c>
      <c r="I11" s="39">
        <f>279+AP11</f>
        <v>579</v>
      </c>
      <c r="J11" s="39">
        <v>533</v>
      </c>
      <c r="K11" s="39">
        <v>503</v>
      </c>
      <c r="L11" s="39">
        <v>474</v>
      </c>
      <c r="M11" s="39">
        <v>432</v>
      </c>
      <c r="N11" s="39">
        <v>402</v>
      </c>
      <c r="O11" s="39">
        <v>350</v>
      </c>
      <c r="P11" s="39">
        <v>262</v>
      </c>
      <c r="Q11" s="39">
        <f>221+AM11</f>
        <v>321</v>
      </c>
      <c r="R11" s="39">
        <v>262</v>
      </c>
      <c r="S11" s="39">
        <v>209</v>
      </c>
      <c r="T11" s="39">
        <v>190</v>
      </c>
      <c r="U11" s="39">
        <v>190</v>
      </c>
      <c r="V11" s="39">
        <v>267</v>
      </c>
      <c r="W11" s="39">
        <v>220</v>
      </c>
      <c r="X11" s="39">
        <v>178</v>
      </c>
      <c r="Y11" s="39">
        <v>133</v>
      </c>
      <c r="Z11" s="39">
        <f>0+AI11</f>
        <v>100</v>
      </c>
      <c r="AA11" s="123">
        <f t="shared" ca="1" si="0"/>
        <v>33</v>
      </c>
      <c r="AB11" s="11"/>
      <c r="AC11" s="78"/>
      <c r="AD11" s="78"/>
      <c r="AE11" s="11"/>
      <c r="AF11" s="32"/>
      <c r="AG11" s="11"/>
      <c r="AH11" s="19">
        <v>0</v>
      </c>
      <c r="AI11" s="19">
        <v>100</v>
      </c>
      <c r="AJ11" s="19">
        <v>0</v>
      </c>
      <c r="AK11" s="19"/>
      <c r="AL11" s="244">
        <v>100</v>
      </c>
      <c r="AM11" s="19">
        <v>100</v>
      </c>
      <c r="AN11" s="19"/>
      <c r="AO11" s="19"/>
      <c r="AP11" s="19">
        <v>300</v>
      </c>
      <c r="AQ11" s="19">
        <v>300</v>
      </c>
      <c r="AR11" s="19"/>
      <c r="AS11" s="19"/>
      <c r="AT11" s="19"/>
      <c r="AU11" s="19">
        <v>100</v>
      </c>
      <c r="AV11" s="19"/>
      <c r="AW11" s="19"/>
      <c r="AX11" s="117"/>
      <c r="AY11" s="117"/>
      <c r="AZ11" s="117"/>
      <c r="BA11" s="244" t="s">
        <v>497</v>
      </c>
      <c r="BB11" s="19"/>
      <c r="BC11" s="253" t="s">
        <v>498</v>
      </c>
      <c r="BD11" s="19"/>
    </row>
    <row r="12" spans="1:56" s="3" customFormat="1" ht="19.5" hidden="1" customHeight="1" x14ac:dyDescent="0.3">
      <c r="A12" s="140" t="s">
        <v>499</v>
      </c>
      <c r="B12" s="141">
        <v>200</v>
      </c>
      <c r="C12" s="142">
        <v>144.12</v>
      </c>
      <c r="D12" s="234"/>
      <c r="E12" s="11"/>
      <c r="F12" s="39">
        <v>0</v>
      </c>
      <c r="G12" s="39">
        <v>0</v>
      </c>
      <c r="H12" s="39">
        <v>0</v>
      </c>
      <c r="I12" s="39">
        <v>0</v>
      </c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>
        <v>0</v>
      </c>
      <c r="AA12" s="123">
        <f t="shared" ca="1" si="0"/>
        <v>0</v>
      </c>
      <c r="AB12" s="11"/>
      <c r="AC12" s="243"/>
      <c r="AD12" s="243"/>
      <c r="AE12" s="11"/>
      <c r="AF12" s="32"/>
      <c r="AG12" s="11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17"/>
      <c r="AY12" s="117"/>
      <c r="AZ12" s="117"/>
      <c r="BA12" s="19"/>
      <c r="BB12" s="19"/>
      <c r="BC12" s="117"/>
      <c r="BD12" s="19"/>
    </row>
    <row r="13" spans="1:56" s="3" customFormat="1" ht="19.5" hidden="1" customHeight="1" x14ac:dyDescent="0.3">
      <c r="A13" s="140" t="s">
        <v>500</v>
      </c>
      <c r="B13" s="141">
        <v>100</v>
      </c>
      <c r="C13" s="142">
        <v>115.12</v>
      </c>
      <c r="D13" s="234"/>
      <c r="E13" s="11"/>
      <c r="F13" s="39">
        <v>0</v>
      </c>
      <c r="G13" s="39">
        <v>0</v>
      </c>
      <c r="H13" s="39">
        <v>0</v>
      </c>
      <c r="I13" s="39">
        <v>0</v>
      </c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>
        <v>0</v>
      </c>
      <c r="AA13" s="123">
        <f t="shared" ca="1" si="0"/>
        <v>0</v>
      </c>
      <c r="AB13" s="11"/>
      <c r="AC13" s="243"/>
      <c r="AD13" s="243"/>
      <c r="AE13" s="11"/>
      <c r="AF13" s="32"/>
      <c r="AG13" s="11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17"/>
      <c r="AY13" s="117"/>
      <c r="AZ13" s="117"/>
      <c r="BA13" s="19"/>
      <c r="BB13" s="19"/>
      <c r="BC13" s="117"/>
      <c r="BD13" s="19"/>
    </row>
    <row r="14" spans="1:56" ht="15" customHeight="1" x14ac:dyDescent="0.3">
      <c r="AX14" s="204"/>
      <c r="AY14" s="204"/>
      <c r="AZ14" s="204"/>
      <c r="BC14" s="204"/>
    </row>
    <row r="15" spans="1:56" x14ac:dyDescent="0.3">
      <c r="A15" s="24" t="s">
        <v>141</v>
      </c>
      <c r="B15" s="12"/>
      <c r="C15" s="65"/>
      <c r="D15" s="65"/>
      <c r="F15" s="13">
        <v>46006</v>
      </c>
      <c r="G15" s="13">
        <v>46013</v>
      </c>
      <c r="H15" s="13">
        <v>46020</v>
      </c>
      <c r="I15" s="13">
        <v>46027</v>
      </c>
      <c r="J15" s="13">
        <v>46034</v>
      </c>
      <c r="K15" s="13">
        <v>46041</v>
      </c>
      <c r="L15" s="13">
        <v>46048</v>
      </c>
      <c r="M15" s="13">
        <v>46055</v>
      </c>
      <c r="N15" s="13">
        <v>46062</v>
      </c>
      <c r="O15" s="13">
        <v>46069</v>
      </c>
      <c r="P15" s="13">
        <v>46076</v>
      </c>
      <c r="Q15" s="13">
        <v>46083</v>
      </c>
      <c r="R15" s="13">
        <v>46090</v>
      </c>
      <c r="S15" s="13">
        <v>46097</v>
      </c>
      <c r="T15" s="13">
        <v>46104</v>
      </c>
      <c r="U15" s="13">
        <v>46111</v>
      </c>
      <c r="V15" s="13">
        <v>46118</v>
      </c>
      <c r="W15" s="13">
        <v>46125</v>
      </c>
      <c r="X15" s="13">
        <v>46132</v>
      </c>
      <c r="Y15" s="13">
        <v>46139</v>
      </c>
      <c r="Z15" s="13">
        <v>46146</v>
      </c>
      <c r="AA15" s="149" t="s">
        <v>129</v>
      </c>
      <c r="AC15" s="29" t="s">
        <v>126</v>
      </c>
      <c r="AD15" s="29" t="s">
        <v>126</v>
      </c>
      <c r="AF15" s="9" t="s">
        <v>127</v>
      </c>
      <c r="AH15" s="17">
        <v>46149</v>
      </c>
      <c r="AI15" s="17">
        <v>46142</v>
      </c>
      <c r="AJ15" s="17">
        <v>46114</v>
      </c>
      <c r="AK15" s="17">
        <v>46099</v>
      </c>
      <c r="AL15" s="294">
        <v>46065</v>
      </c>
      <c r="AM15" s="17">
        <v>46077</v>
      </c>
      <c r="AN15" s="292">
        <v>46045</v>
      </c>
      <c r="AO15" s="17">
        <v>46056</v>
      </c>
      <c r="AP15" s="17">
        <v>46017</v>
      </c>
      <c r="AQ15" s="17">
        <v>46007</v>
      </c>
      <c r="AR15" s="17">
        <v>46001</v>
      </c>
      <c r="AS15" s="17">
        <v>45994</v>
      </c>
      <c r="AT15" s="17">
        <v>45986</v>
      </c>
      <c r="AU15" s="17">
        <v>45980</v>
      </c>
      <c r="AV15" s="17">
        <v>45980</v>
      </c>
      <c r="AW15" s="17">
        <v>45973</v>
      </c>
      <c r="AX15" s="207">
        <v>45982</v>
      </c>
      <c r="AY15" s="207">
        <v>45979</v>
      </c>
      <c r="AZ15" s="269">
        <v>45974</v>
      </c>
      <c r="BA15" s="269">
        <v>45972</v>
      </c>
      <c r="BB15" s="258">
        <v>45968</v>
      </c>
      <c r="BC15" s="207">
        <v>45967</v>
      </c>
      <c r="BD15" s="274">
        <v>45964</v>
      </c>
    </row>
    <row r="16" spans="1:56" x14ac:dyDescent="0.3">
      <c r="A16" s="25" t="s">
        <v>224</v>
      </c>
      <c r="B16" s="6">
        <v>500</v>
      </c>
      <c r="C16" s="66">
        <v>95.9</v>
      </c>
      <c r="D16" s="234"/>
      <c r="F16" s="6">
        <v>2</v>
      </c>
      <c r="G16" s="6">
        <v>3</v>
      </c>
      <c r="H16" s="6">
        <v>3</v>
      </c>
      <c r="I16" s="6">
        <f>3+AP16</f>
        <v>5</v>
      </c>
      <c r="J16" s="6">
        <v>5</v>
      </c>
      <c r="K16" s="6">
        <v>5</v>
      </c>
      <c r="L16" s="6">
        <v>5</v>
      </c>
      <c r="M16" s="6">
        <v>5</v>
      </c>
      <c r="N16" s="6">
        <v>4</v>
      </c>
      <c r="O16" s="6">
        <v>4</v>
      </c>
      <c r="P16" s="6">
        <v>4</v>
      </c>
      <c r="Q16" s="6">
        <v>4</v>
      </c>
      <c r="R16" s="6">
        <v>4</v>
      </c>
      <c r="S16" s="6">
        <v>4</v>
      </c>
      <c r="T16" s="6">
        <v>3</v>
      </c>
      <c r="U16" s="6">
        <v>3</v>
      </c>
      <c r="V16" s="6">
        <v>3</v>
      </c>
      <c r="W16" s="6">
        <v>3</v>
      </c>
      <c r="X16" s="6">
        <v>3</v>
      </c>
      <c r="Y16" s="6">
        <v>3</v>
      </c>
      <c r="Z16" s="6">
        <v>3</v>
      </c>
      <c r="AA16" s="26">
        <f ca="1">Y16+IF(NOT(ISBLANK(OFFSET(AA16,0,6))),N(OFFSET(AA16,0,6)),N(OFFSET(AA16,0,7)))-Z16</f>
        <v>0</v>
      </c>
      <c r="AC16" s="134"/>
      <c r="AD16" s="134"/>
      <c r="AF16" s="32"/>
      <c r="AH16" s="19">
        <v>0</v>
      </c>
      <c r="AI16" s="19">
        <v>0</v>
      </c>
      <c r="AJ16" s="19">
        <v>0</v>
      </c>
      <c r="AK16" s="19"/>
      <c r="AL16" s="19"/>
      <c r="AM16" s="19"/>
      <c r="AN16" s="293">
        <v>200</v>
      </c>
      <c r="AO16" s="19"/>
      <c r="AP16" s="19">
        <v>2</v>
      </c>
      <c r="AQ16" s="19"/>
      <c r="AR16" s="19">
        <v>1</v>
      </c>
      <c r="AS16" s="19"/>
      <c r="AT16" s="19"/>
      <c r="AU16" s="19">
        <v>3</v>
      </c>
      <c r="AV16" s="19"/>
      <c r="AW16" s="19"/>
      <c r="AX16" s="117"/>
      <c r="AY16" s="117"/>
      <c r="AZ16" s="117"/>
      <c r="BA16" s="19"/>
      <c r="BB16" s="19"/>
      <c r="BC16" s="117"/>
      <c r="BD16" s="19"/>
    </row>
    <row r="17" spans="1:56" x14ac:dyDescent="0.3">
      <c r="A17" s="25" t="s">
        <v>225</v>
      </c>
      <c r="B17" s="6">
        <v>2000</v>
      </c>
      <c r="C17" s="66">
        <v>53.49</v>
      </c>
      <c r="D17" s="234"/>
      <c r="F17" s="6">
        <v>1</v>
      </c>
      <c r="G17" s="6">
        <v>0</v>
      </c>
      <c r="H17" s="6">
        <v>0</v>
      </c>
      <c r="I17" s="6">
        <f>0+AP17</f>
        <v>4</v>
      </c>
      <c r="J17" s="6">
        <v>4</v>
      </c>
      <c r="K17" s="6">
        <v>4</v>
      </c>
      <c r="L17" s="6">
        <v>4</v>
      </c>
      <c r="M17" s="6">
        <v>8</v>
      </c>
      <c r="N17" s="6">
        <v>8</v>
      </c>
      <c r="O17" s="6">
        <v>7</v>
      </c>
      <c r="P17" s="6">
        <v>7</v>
      </c>
      <c r="Q17" s="6">
        <v>7</v>
      </c>
      <c r="R17" s="6">
        <v>7</v>
      </c>
      <c r="S17" s="6">
        <v>7</v>
      </c>
      <c r="T17" s="6">
        <v>6</v>
      </c>
      <c r="U17" s="6">
        <v>6</v>
      </c>
      <c r="V17" s="6">
        <v>5</v>
      </c>
      <c r="W17" s="6">
        <v>4</v>
      </c>
      <c r="X17" s="6">
        <v>3</v>
      </c>
      <c r="Y17" s="6">
        <v>2</v>
      </c>
      <c r="Z17" s="6">
        <v>2</v>
      </c>
      <c r="AA17" s="26">
        <f ca="1">Y17+IF(NOT(ISBLANK(OFFSET(AA17,0,6))),N(OFFSET(AA17,0,6)),N(OFFSET(AA17,0,7)))-Z17</f>
        <v>0</v>
      </c>
      <c r="AC17" s="134"/>
      <c r="AD17" s="134"/>
      <c r="AF17" s="32"/>
      <c r="AH17" s="19">
        <v>0</v>
      </c>
      <c r="AI17" s="19">
        <v>0</v>
      </c>
      <c r="AJ17" s="19">
        <v>0</v>
      </c>
      <c r="AK17" s="19"/>
      <c r="AL17" s="19"/>
      <c r="AM17" s="19"/>
      <c r="AN17" s="293">
        <v>1</v>
      </c>
      <c r="AO17" s="19"/>
      <c r="AP17" s="19">
        <v>4</v>
      </c>
      <c r="AQ17" s="19"/>
      <c r="AR17" s="19">
        <v>3</v>
      </c>
      <c r="AS17" s="19"/>
      <c r="AT17" s="19"/>
      <c r="AU17" s="19">
        <v>3</v>
      </c>
      <c r="AV17" s="19"/>
      <c r="AW17" s="19"/>
      <c r="AX17" s="117"/>
      <c r="AY17" s="117"/>
      <c r="AZ17" s="117"/>
      <c r="BA17" s="19"/>
      <c r="BB17" s="19"/>
      <c r="BC17" s="117"/>
      <c r="BD17" s="19"/>
    </row>
    <row r="18" spans="1:56" x14ac:dyDescent="0.3">
      <c r="A18" s="25" t="s">
        <v>147</v>
      </c>
      <c r="B18" s="6">
        <v>200</v>
      </c>
      <c r="C18" s="66">
        <v>9.93</v>
      </c>
      <c r="D18" s="234"/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v>0</v>
      </c>
      <c r="W18" s="6">
        <v>0</v>
      </c>
      <c r="X18" s="6">
        <v>0</v>
      </c>
      <c r="Y18" s="6">
        <v>0</v>
      </c>
      <c r="Z18" s="6">
        <v>0</v>
      </c>
      <c r="AA18" s="26">
        <f ca="1">Y18+IF(NOT(ISBLANK(OFFSET(AA18,0,6))),N(OFFSET(AA18,0,6)),N(OFFSET(AA18,0,7)))-Z18</f>
        <v>0</v>
      </c>
      <c r="AC18" s="134"/>
      <c r="AD18" s="134"/>
      <c r="AF18" s="32"/>
      <c r="AH18" s="19">
        <v>0</v>
      </c>
      <c r="AI18" s="19">
        <v>0</v>
      </c>
      <c r="AJ18" s="19">
        <v>0</v>
      </c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17"/>
      <c r="AY18" s="117"/>
      <c r="AZ18" s="117"/>
      <c r="BA18" s="19"/>
      <c r="BB18" s="19"/>
      <c r="BC18" s="117"/>
      <c r="BD18" s="19"/>
    </row>
    <row r="19" spans="1:56" x14ac:dyDescent="0.3">
      <c r="A19" s="25" t="s">
        <v>148</v>
      </c>
      <c r="B19" s="6">
        <v>3000</v>
      </c>
      <c r="C19" s="66">
        <v>69.37</v>
      </c>
      <c r="D19" s="234"/>
      <c r="F19" s="83">
        <v>3</v>
      </c>
      <c r="G19" s="83">
        <v>3</v>
      </c>
      <c r="H19" s="83">
        <v>3</v>
      </c>
      <c r="I19" s="83">
        <v>3</v>
      </c>
      <c r="J19" s="83">
        <v>3</v>
      </c>
      <c r="K19" s="83">
        <v>3</v>
      </c>
      <c r="L19" s="83">
        <v>3</v>
      </c>
      <c r="M19" s="83">
        <v>3</v>
      </c>
      <c r="N19" s="83">
        <v>3</v>
      </c>
      <c r="O19" s="83">
        <v>3</v>
      </c>
      <c r="P19" s="83">
        <v>3</v>
      </c>
      <c r="Q19" s="83">
        <v>2</v>
      </c>
      <c r="R19" s="83">
        <v>2</v>
      </c>
      <c r="S19" s="83">
        <v>2</v>
      </c>
      <c r="T19" s="83">
        <v>2</v>
      </c>
      <c r="U19" s="83">
        <v>2</v>
      </c>
      <c r="V19" s="83">
        <v>2</v>
      </c>
      <c r="W19" s="83">
        <v>2</v>
      </c>
      <c r="X19" s="83">
        <v>2</v>
      </c>
      <c r="Y19" s="83">
        <v>2</v>
      </c>
      <c r="Z19" s="83">
        <v>2</v>
      </c>
      <c r="AA19" s="123">
        <f ca="1">Y19+IF(NOT(ISBLANK(OFFSET(AA19,0,6))),N(OFFSET(AA19,0,6)),N(OFFSET(AA19,0,7)))-Z19</f>
        <v>0</v>
      </c>
      <c r="AC19" s="134"/>
      <c r="AD19" s="134"/>
      <c r="AF19" s="32"/>
      <c r="AH19" s="19">
        <v>0</v>
      </c>
      <c r="AI19" s="19">
        <v>0</v>
      </c>
      <c r="AJ19" s="19">
        <v>0</v>
      </c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>
        <v>3</v>
      </c>
      <c r="AV19" s="19"/>
      <c r="AW19" s="19"/>
      <c r="AX19" s="117"/>
      <c r="AY19" s="117"/>
      <c r="AZ19" s="117"/>
      <c r="BA19" s="19"/>
      <c r="BB19" s="19"/>
      <c r="BC19" s="117"/>
      <c r="BD19" s="19"/>
    </row>
    <row r="20" spans="1:56" s="3" customFormat="1" ht="19.5" customHeight="1" x14ac:dyDescent="0.3">
      <c r="A20" s="129"/>
      <c r="B20" s="130"/>
      <c r="C20" s="67"/>
      <c r="D20" s="67"/>
      <c r="E20" s="11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11"/>
      <c r="AC20" s="10"/>
      <c r="AD20" s="10"/>
      <c r="AE20" s="11"/>
      <c r="AF20" s="33"/>
      <c r="AG20" s="11"/>
      <c r="AH20" s="75"/>
      <c r="AI20" s="75"/>
      <c r="AJ20" s="75"/>
      <c r="AK20" s="75"/>
      <c r="AL20" s="75"/>
      <c r="AM20" s="75"/>
      <c r="AN20" s="75"/>
      <c r="AO20" s="75"/>
      <c r="AP20" s="75"/>
      <c r="AQ20" s="75"/>
      <c r="AR20" s="75"/>
      <c r="AS20" s="75"/>
      <c r="AT20" s="75"/>
      <c r="AU20" s="75"/>
      <c r="AV20" s="75"/>
      <c r="AW20" s="75"/>
      <c r="AX20" s="201"/>
      <c r="AY20" s="201"/>
      <c r="AZ20" s="201"/>
      <c r="BA20" s="75"/>
      <c r="BB20" s="75"/>
      <c r="BC20" s="201"/>
      <c r="BD20" s="75"/>
    </row>
    <row r="21" spans="1:56" s="3" customFormat="1" x14ac:dyDescent="0.3">
      <c r="A21" s="24" t="s">
        <v>428</v>
      </c>
      <c r="B21" s="12" t="s">
        <v>151</v>
      </c>
      <c r="C21" s="65" t="s">
        <v>152</v>
      </c>
      <c r="D21" s="12" t="s">
        <v>125</v>
      </c>
      <c r="E21" s="7"/>
      <c r="F21" s="13">
        <v>46006</v>
      </c>
      <c r="G21" s="13">
        <v>46013</v>
      </c>
      <c r="H21" s="13">
        <v>46020</v>
      </c>
      <c r="I21" s="13">
        <v>46027</v>
      </c>
      <c r="J21" s="13">
        <v>46034</v>
      </c>
      <c r="K21" s="13">
        <v>46041</v>
      </c>
      <c r="L21" s="13">
        <v>46048</v>
      </c>
      <c r="M21" s="13">
        <v>46055</v>
      </c>
      <c r="N21" s="13">
        <v>46062</v>
      </c>
      <c r="O21" s="13">
        <v>46069</v>
      </c>
      <c r="P21" s="13">
        <v>46076</v>
      </c>
      <c r="Q21" s="13">
        <v>46083</v>
      </c>
      <c r="R21" s="13">
        <v>46090</v>
      </c>
      <c r="S21" s="13">
        <v>46097</v>
      </c>
      <c r="T21" s="13">
        <v>46104</v>
      </c>
      <c r="U21" s="13">
        <v>46111</v>
      </c>
      <c r="V21" s="13">
        <v>46118</v>
      </c>
      <c r="W21" s="13">
        <v>46125</v>
      </c>
      <c r="X21" s="13">
        <v>46132</v>
      </c>
      <c r="Y21" s="13">
        <v>46139</v>
      </c>
      <c r="Z21" s="13">
        <v>46146</v>
      </c>
      <c r="AA21" s="149" t="s">
        <v>129</v>
      </c>
      <c r="AB21" s="11"/>
      <c r="AC21" s="29" t="s">
        <v>126</v>
      </c>
      <c r="AD21" s="29" t="s">
        <v>126</v>
      </c>
      <c r="AF21" s="9" t="s">
        <v>127</v>
      </c>
      <c r="AH21" s="17">
        <v>46149</v>
      </c>
      <c r="AI21" s="17">
        <v>46142</v>
      </c>
      <c r="AJ21" s="17">
        <v>46114</v>
      </c>
      <c r="AK21" s="17">
        <v>46099</v>
      </c>
      <c r="AL21" s="294">
        <v>46065</v>
      </c>
      <c r="AM21" s="17">
        <v>46077</v>
      </c>
      <c r="AN21" s="292">
        <v>46045</v>
      </c>
      <c r="AO21" s="17">
        <v>46056</v>
      </c>
      <c r="AP21" s="17">
        <v>46017</v>
      </c>
      <c r="AQ21" s="17">
        <v>46007</v>
      </c>
      <c r="AR21" s="17">
        <v>46001</v>
      </c>
      <c r="AS21" s="17">
        <v>45994</v>
      </c>
      <c r="AT21" s="17">
        <v>45986</v>
      </c>
      <c r="AU21" s="17">
        <v>45980</v>
      </c>
      <c r="AV21" s="17">
        <v>45980</v>
      </c>
      <c r="AW21" s="17">
        <v>45973</v>
      </c>
      <c r="AX21" s="207">
        <v>45982</v>
      </c>
      <c r="AY21" s="207">
        <v>45979</v>
      </c>
      <c r="AZ21" s="269">
        <v>45974</v>
      </c>
      <c r="BA21" s="269">
        <v>45972</v>
      </c>
      <c r="BB21" s="258">
        <v>45968</v>
      </c>
      <c r="BC21" s="207">
        <v>45967</v>
      </c>
      <c r="BD21" s="274">
        <v>45964</v>
      </c>
    </row>
    <row r="22" spans="1:56" s="3" customFormat="1" x14ac:dyDescent="0.3">
      <c r="A22" s="25" t="s">
        <v>429</v>
      </c>
      <c r="B22" s="6">
        <v>300</v>
      </c>
      <c r="C22" s="66">
        <v>216</v>
      </c>
      <c r="D22" s="234"/>
      <c r="E22" s="127"/>
      <c r="F22" s="128">
        <v>65</v>
      </c>
      <c r="G22" s="128">
        <v>65</v>
      </c>
      <c r="H22" s="128">
        <v>65</v>
      </c>
      <c r="I22" s="128">
        <v>65</v>
      </c>
      <c r="J22" s="128">
        <v>65</v>
      </c>
      <c r="K22" s="128">
        <v>65</v>
      </c>
      <c r="L22" s="128">
        <v>65</v>
      </c>
      <c r="M22" s="128">
        <v>65</v>
      </c>
      <c r="N22" s="128">
        <v>65</v>
      </c>
      <c r="O22" s="128">
        <v>65</v>
      </c>
      <c r="P22" s="128">
        <v>65</v>
      </c>
      <c r="Q22" s="128">
        <v>65</v>
      </c>
      <c r="R22" s="128">
        <v>65</v>
      </c>
      <c r="S22" s="128">
        <v>61</v>
      </c>
      <c r="T22" s="128">
        <v>61</v>
      </c>
      <c r="U22" s="128">
        <v>61</v>
      </c>
      <c r="V22" s="128"/>
      <c r="W22" s="128"/>
      <c r="X22" s="128"/>
      <c r="Y22" s="128"/>
      <c r="Z22" s="128"/>
      <c r="AA22" s="26">
        <f ca="1">Y22+IF(NOT(ISBLANK(OFFSET(AA22,0,6))),N(OFFSET(AA22,0,6)),N(OFFSET(AA22,0,7)))-Z22</f>
        <v>0</v>
      </c>
      <c r="AB22" s="125"/>
      <c r="AC22" s="78"/>
      <c r="AD22" s="78"/>
      <c r="AE22" s="126"/>
      <c r="AF22" s="32"/>
      <c r="AG22" s="126"/>
      <c r="AH22" s="19">
        <v>0</v>
      </c>
      <c r="AI22" s="19">
        <v>0</v>
      </c>
      <c r="AJ22" s="19">
        <v>0</v>
      </c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17"/>
      <c r="AY22" s="253" t="s">
        <v>501</v>
      </c>
      <c r="AZ22" s="117"/>
      <c r="BA22" s="19"/>
      <c r="BB22" s="19"/>
      <c r="BC22" s="117"/>
      <c r="BD22" s="19"/>
    </row>
    <row r="23" spans="1:56" s="3" customFormat="1" x14ac:dyDescent="0.3">
      <c r="A23" s="25" t="s">
        <v>430</v>
      </c>
      <c r="B23" s="6">
        <v>200</v>
      </c>
      <c r="C23" s="66">
        <v>246.28</v>
      </c>
      <c r="D23" s="234"/>
      <c r="E23" s="1"/>
      <c r="F23" s="39">
        <v>0</v>
      </c>
      <c r="G23" s="39">
        <v>0</v>
      </c>
      <c r="H23" s="39">
        <v>0</v>
      </c>
      <c r="I23" s="39">
        <v>0</v>
      </c>
      <c r="J23" s="39">
        <v>0</v>
      </c>
      <c r="K23" s="39">
        <v>0</v>
      </c>
      <c r="L23" s="39">
        <v>0</v>
      </c>
      <c r="M23" s="39">
        <v>0</v>
      </c>
      <c r="N23" s="39">
        <v>0</v>
      </c>
      <c r="O23" s="39">
        <v>0</v>
      </c>
      <c r="P23" s="39">
        <v>0</v>
      </c>
      <c r="Q23" s="39">
        <v>0</v>
      </c>
      <c r="R23" s="39">
        <v>0</v>
      </c>
      <c r="S23" s="39">
        <v>0</v>
      </c>
      <c r="T23" s="39">
        <v>0</v>
      </c>
      <c r="U23" s="39">
        <v>0</v>
      </c>
      <c r="V23" s="39"/>
      <c r="W23" s="39"/>
      <c r="X23" s="39"/>
      <c r="Y23" s="39"/>
      <c r="Z23" s="39"/>
      <c r="AA23" s="26">
        <f ca="1">Y23+IF(NOT(ISBLANK(OFFSET(AA23,0,6))),N(OFFSET(AA23,0,6)),N(OFFSET(AA23,0,7)))-Z23</f>
        <v>0</v>
      </c>
      <c r="AB23" s="125"/>
      <c r="AC23" s="78" t="s">
        <v>498</v>
      </c>
      <c r="AD23" s="78"/>
      <c r="AE23" s="126"/>
      <c r="AF23" s="32"/>
      <c r="AG23" s="126"/>
      <c r="AH23" s="19">
        <v>0</v>
      </c>
      <c r="AI23" s="19">
        <v>0</v>
      </c>
      <c r="AJ23" s="19">
        <v>0</v>
      </c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17"/>
      <c r="AY23" s="117"/>
      <c r="AZ23" s="117"/>
      <c r="BA23" s="19"/>
      <c r="BB23" s="19"/>
      <c r="BC23" s="117"/>
      <c r="BD23" s="19"/>
    </row>
    <row r="24" spans="1:56" s="3" customFormat="1" x14ac:dyDescent="0.3">
      <c r="A24" s="25" t="s">
        <v>431</v>
      </c>
      <c r="B24" s="6">
        <v>200</v>
      </c>
      <c r="C24" s="66">
        <v>316.91000000000003</v>
      </c>
      <c r="D24" s="234"/>
      <c r="E24" s="1"/>
      <c r="F24" s="39">
        <v>0</v>
      </c>
      <c r="G24" s="39">
        <v>0</v>
      </c>
      <c r="H24" s="39">
        <v>0</v>
      </c>
      <c r="I24" s="39">
        <v>0</v>
      </c>
      <c r="J24" s="39">
        <v>0</v>
      </c>
      <c r="K24" s="39">
        <v>0</v>
      </c>
      <c r="L24" s="39">
        <v>0</v>
      </c>
      <c r="M24" s="39">
        <v>0</v>
      </c>
      <c r="N24" s="39">
        <v>0</v>
      </c>
      <c r="O24" s="39">
        <v>0</v>
      </c>
      <c r="P24" s="39">
        <v>0</v>
      </c>
      <c r="Q24" s="39">
        <v>0</v>
      </c>
      <c r="R24" s="39">
        <v>0</v>
      </c>
      <c r="S24" s="39">
        <v>0</v>
      </c>
      <c r="T24" s="39">
        <v>0</v>
      </c>
      <c r="U24" s="39">
        <v>0</v>
      </c>
      <c r="V24" s="39"/>
      <c r="W24" s="39"/>
      <c r="X24" s="39"/>
      <c r="Y24" s="39"/>
      <c r="Z24" s="39"/>
      <c r="AA24" s="26">
        <f ca="1">Y24+IF(NOT(ISBLANK(OFFSET(AA24,0,6))),N(OFFSET(AA24,0,6)),N(OFFSET(AA24,0,7)))-Z24</f>
        <v>0</v>
      </c>
      <c r="AB24" s="125"/>
      <c r="AC24" s="78" t="s">
        <v>498</v>
      </c>
      <c r="AD24" s="78"/>
      <c r="AE24" s="126"/>
      <c r="AF24" s="32"/>
      <c r="AG24" s="126"/>
      <c r="AH24" s="19">
        <v>0</v>
      </c>
      <c r="AI24" s="19">
        <v>0</v>
      </c>
      <c r="AJ24" s="19">
        <v>0</v>
      </c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17"/>
      <c r="AY24" s="117"/>
      <c r="AZ24" s="117"/>
      <c r="BA24" s="19"/>
      <c r="BB24" s="19"/>
      <c r="BC24" s="117"/>
      <c r="BD24" s="19"/>
    </row>
    <row r="25" spans="1:56" s="3" customFormat="1" ht="16.5" customHeight="1" x14ac:dyDescent="0.3">
      <c r="A25" s="23"/>
      <c r="B25" s="1"/>
      <c r="C25" s="64"/>
      <c r="D25" s="64"/>
      <c r="E25" s="11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11"/>
      <c r="AC25" s="10"/>
      <c r="AD25" s="10"/>
      <c r="AE25" s="11"/>
      <c r="AF25" s="33"/>
      <c r="AG25" s="11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201"/>
      <c r="AY25" s="201"/>
      <c r="AZ25" s="201"/>
      <c r="BA25" s="15"/>
      <c r="BB25" s="15"/>
      <c r="BC25" s="201"/>
      <c r="BD25" s="15"/>
    </row>
    <row r="26" spans="1:56" s="3" customFormat="1" x14ac:dyDescent="0.3">
      <c r="A26" s="24" t="s">
        <v>432</v>
      </c>
      <c r="B26" s="12"/>
      <c r="C26" s="65"/>
      <c r="D26" s="65"/>
      <c r="E26" s="7"/>
      <c r="F26" s="13">
        <v>46006</v>
      </c>
      <c r="G26" s="13">
        <v>46013</v>
      </c>
      <c r="H26" s="13">
        <v>46020</v>
      </c>
      <c r="I26" s="13">
        <v>46027</v>
      </c>
      <c r="J26" s="13">
        <v>46034</v>
      </c>
      <c r="K26" s="13">
        <v>46041</v>
      </c>
      <c r="L26" s="13">
        <v>46048</v>
      </c>
      <c r="M26" s="13">
        <v>46055</v>
      </c>
      <c r="N26" s="13">
        <v>46062</v>
      </c>
      <c r="O26" s="13">
        <v>46069</v>
      </c>
      <c r="P26" s="13">
        <v>46076</v>
      </c>
      <c r="Q26" s="13">
        <v>46083</v>
      </c>
      <c r="R26" s="13">
        <v>46090</v>
      </c>
      <c r="S26" s="13">
        <v>46097</v>
      </c>
      <c r="T26" s="13">
        <v>46104</v>
      </c>
      <c r="U26" s="13">
        <v>46111</v>
      </c>
      <c r="V26" s="13">
        <v>46118</v>
      </c>
      <c r="W26" s="13">
        <v>46125</v>
      </c>
      <c r="X26" s="13">
        <v>46132</v>
      </c>
      <c r="Y26" s="13">
        <v>46139</v>
      </c>
      <c r="Z26" s="13">
        <v>46146</v>
      </c>
      <c r="AA26" s="35" t="s">
        <v>129</v>
      </c>
      <c r="AB26" s="7"/>
      <c r="AC26" s="29" t="s">
        <v>126</v>
      </c>
      <c r="AD26" s="29" t="s">
        <v>126</v>
      </c>
      <c r="AE26" s="11"/>
      <c r="AF26" s="9" t="s">
        <v>127</v>
      </c>
      <c r="AG26" s="7"/>
      <c r="AH26" s="17">
        <v>46149</v>
      </c>
      <c r="AI26" s="17">
        <v>46142</v>
      </c>
      <c r="AJ26" s="17">
        <v>46114</v>
      </c>
      <c r="AK26" s="17">
        <v>46099</v>
      </c>
      <c r="AL26" s="294">
        <v>46065</v>
      </c>
      <c r="AM26" s="17">
        <v>46077</v>
      </c>
      <c r="AN26" s="292">
        <v>46045</v>
      </c>
      <c r="AO26" s="17">
        <v>46056</v>
      </c>
      <c r="AP26" s="17">
        <v>46017</v>
      </c>
      <c r="AQ26" s="17">
        <v>46007</v>
      </c>
      <c r="AR26" s="17">
        <v>46001</v>
      </c>
      <c r="AS26" s="17">
        <v>45994</v>
      </c>
      <c r="AT26" s="17">
        <v>45986</v>
      </c>
      <c r="AU26" s="17">
        <v>45980</v>
      </c>
      <c r="AV26" s="17">
        <v>45980</v>
      </c>
      <c r="AW26" s="17">
        <v>45973</v>
      </c>
      <c r="AX26" s="207">
        <v>45982</v>
      </c>
      <c r="AY26" s="207">
        <v>45979</v>
      </c>
      <c r="AZ26" s="269">
        <v>45974</v>
      </c>
      <c r="BA26" s="269">
        <v>45972</v>
      </c>
      <c r="BB26" s="258">
        <v>45968</v>
      </c>
      <c r="BC26" s="207">
        <v>45967</v>
      </c>
      <c r="BD26" s="274">
        <v>45964</v>
      </c>
    </row>
    <row r="27" spans="1:56" s="3" customFormat="1" x14ac:dyDescent="0.3">
      <c r="A27" s="25" t="s">
        <v>142</v>
      </c>
      <c r="B27" s="6">
        <v>200</v>
      </c>
      <c r="C27" s="66">
        <v>38</v>
      </c>
      <c r="D27" s="234"/>
      <c r="E27" s="7"/>
      <c r="F27" s="39">
        <v>77</v>
      </c>
      <c r="G27" s="39">
        <v>77</v>
      </c>
      <c r="H27" s="39">
        <v>77</v>
      </c>
      <c r="I27" s="39">
        <v>77</v>
      </c>
      <c r="J27" s="39">
        <v>77</v>
      </c>
      <c r="K27" s="39">
        <v>77</v>
      </c>
      <c r="L27" s="39">
        <v>77</v>
      </c>
      <c r="M27" s="39">
        <v>77</v>
      </c>
      <c r="N27" s="39">
        <v>77</v>
      </c>
      <c r="O27" s="39">
        <v>77</v>
      </c>
      <c r="P27" s="39">
        <v>77</v>
      </c>
      <c r="Q27" s="39">
        <v>77</v>
      </c>
      <c r="R27" s="39">
        <v>77</v>
      </c>
      <c r="S27" s="39">
        <v>38</v>
      </c>
      <c r="T27" s="39">
        <v>38</v>
      </c>
      <c r="U27" s="39">
        <v>38</v>
      </c>
      <c r="V27" s="39"/>
      <c r="W27" s="39"/>
      <c r="X27" s="39"/>
      <c r="Y27" s="39"/>
      <c r="Z27" s="39"/>
      <c r="AA27" s="26">
        <f ca="1">Y27+IF(NOT(ISBLANK(OFFSET(AA27,0,6))),N(OFFSET(AA27,0,6)),N(OFFSET(AA27,0,7)))-Z27</f>
        <v>0</v>
      </c>
      <c r="AB27" s="7"/>
      <c r="AC27" s="78"/>
      <c r="AD27" s="78"/>
      <c r="AE27" s="7"/>
      <c r="AF27" s="76"/>
      <c r="AG27" s="7"/>
      <c r="AH27" s="19">
        <v>0</v>
      </c>
      <c r="AI27" s="19">
        <v>0</v>
      </c>
      <c r="AJ27" s="19">
        <v>0</v>
      </c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17"/>
      <c r="AY27" s="117"/>
      <c r="AZ27" s="244" t="s">
        <v>495</v>
      </c>
      <c r="BA27" s="19"/>
      <c r="BB27" s="19"/>
      <c r="BC27" s="253" t="s">
        <v>501</v>
      </c>
      <c r="BD27" s="251" t="s">
        <v>495</v>
      </c>
    </row>
    <row r="28" spans="1:56" s="3" customFormat="1" x14ac:dyDescent="0.3">
      <c r="A28" s="25" t="s">
        <v>433</v>
      </c>
      <c r="B28" s="6">
        <v>2500</v>
      </c>
      <c r="C28" s="66">
        <v>66.87</v>
      </c>
      <c r="D28" s="234"/>
      <c r="E28" s="7"/>
      <c r="F28" s="206">
        <v>0</v>
      </c>
      <c r="G28" s="39">
        <v>0</v>
      </c>
      <c r="H28" s="39">
        <v>9</v>
      </c>
      <c r="I28" s="39">
        <v>9</v>
      </c>
      <c r="J28" s="39">
        <v>9</v>
      </c>
      <c r="K28" s="39">
        <v>4</v>
      </c>
      <c r="L28" s="39">
        <v>3</v>
      </c>
      <c r="M28" s="39">
        <v>3</v>
      </c>
      <c r="N28" s="39">
        <v>2</v>
      </c>
      <c r="O28" s="39">
        <v>2</v>
      </c>
      <c r="P28" s="39">
        <v>2</v>
      </c>
      <c r="Q28" s="39">
        <v>2</v>
      </c>
      <c r="R28" s="39">
        <v>2</v>
      </c>
      <c r="S28" s="39">
        <v>2</v>
      </c>
      <c r="T28" s="39">
        <v>1</v>
      </c>
      <c r="U28" s="39">
        <v>1</v>
      </c>
      <c r="V28" s="39"/>
      <c r="W28" s="39"/>
      <c r="X28" s="39"/>
      <c r="Y28" s="39"/>
      <c r="Z28" s="39"/>
      <c r="AA28" s="26">
        <f ca="1">Y28+IF(NOT(ISBLANK(OFFSET(AA28,0,6))),N(OFFSET(AA28,0,6)),N(OFFSET(AA28,0,7)))-Z28</f>
        <v>0</v>
      </c>
      <c r="AB28" s="7"/>
      <c r="AC28" s="78"/>
      <c r="AD28" s="78"/>
      <c r="AE28" s="7"/>
      <c r="AF28" s="76"/>
      <c r="AG28" s="7"/>
      <c r="AH28" s="19">
        <v>0</v>
      </c>
      <c r="AI28" s="19">
        <v>0</v>
      </c>
      <c r="AJ28" s="19">
        <v>0</v>
      </c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17"/>
      <c r="AY28" s="117"/>
      <c r="AZ28" s="117"/>
      <c r="BA28" s="19"/>
      <c r="BB28" s="19"/>
      <c r="BC28" s="253" t="s">
        <v>502</v>
      </c>
      <c r="BD28" s="19"/>
    </row>
    <row r="29" spans="1:56" s="3" customFormat="1" x14ac:dyDescent="0.25">
      <c r="A29" s="25" t="s">
        <v>434</v>
      </c>
      <c r="B29" s="6">
        <v>1050</v>
      </c>
      <c r="C29" s="66">
        <v>52.14</v>
      </c>
      <c r="D29" s="234"/>
      <c r="E29" s="1"/>
      <c r="F29" s="39">
        <v>8</v>
      </c>
      <c r="G29" s="39">
        <v>8</v>
      </c>
      <c r="H29" s="39">
        <v>0</v>
      </c>
      <c r="I29" s="39">
        <v>0</v>
      </c>
      <c r="J29" s="39">
        <v>0</v>
      </c>
      <c r="K29" s="39">
        <v>0</v>
      </c>
      <c r="L29" s="39">
        <v>0</v>
      </c>
      <c r="M29" s="39">
        <v>0</v>
      </c>
      <c r="N29" s="39">
        <v>0</v>
      </c>
      <c r="O29" s="39">
        <v>0</v>
      </c>
      <c r="P29" s="39">
        <v>0</v>
      </c>
      <c r="Q29" s="39">
        <v>0</v>
      </c>
      <c r="R29" s="39">
        <v>0</v>
      </c>
      <c r="S29" s="39">
        <v>0</v>
      </c>
      <c r="T29" s="39">
        <v>0</v>
      </c>
      <c r="U29" s="39">
        <v>0</v>
      </c>
      <c r="V29" s="39"/>
      <c r="W29" s="39"/>
      <c r="X29" s="39"/>
      <c r="Y29" s="39"/>
      <c r="Z29" s="39"/>
      <c r="AA29" s="26">
        <f ca="1">Y29+IF(NOT(ISBLANK(OFFSET(AA29,0,6))),N(OFFSET(AA29,0,6)),N(OFFSET(AA29,0,7)))-Z29</f>
        <v>0</v>
      </c>
      <c r="AB29" s="1"/>
      <c r="AC29" s="78"/>
      <c r="AD29" s="78"/>
      <c r="AE29" s="1"/>
      <c r="AF29" s="76"/>
      <c r="AG29" s="1"/>
      <c r="AH29" s="19">
        <v>0</v>
      </c>
      <c r="AI29" s="19">
        <v>0</v>
      </c>
      <c r="AJ29" s="19">
        <v>0</v>
      </c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17"/>
      <c r="AY29" s="117"/>
      <c r="AZ29" s="117"/>
      <c r="BA29" s="19"/>
      <c r="BB29" s="19"/>
      <c r="BC29" s="253" t="s">
        <v>503</v>
      </c>
      <c r="BD29" s="251" t="s">
        <v>504</v>
      </c>
    </row>
    <row r="30" spans="1:56" s="3" customFormat="1" ht="17.25" customHeight="1" x14ac:dyDescent="0.25">
      <c r="A30" s="23"/>
      <c r="B30" s="1"/>
      <c r="C30" s="64"/>
      <c r="D30" s="64"/>
      <c r="E30" s="1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B30" s="1"/>
      <c r="AC30" s="10"/>
      <c r="AD30" s="10"/>
      <c r="AE30" s="1"/>
      <c r="AF30" s="205"/>
      <c r="AG30" s="1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201"/>
      <c r="AY30" s="201"/>
      <c r="AZ30" s="201"/>
      <c r="BA30" s="75"/>
      <c r="BB30" s="75"/>
      <c r="BC30" s="201"/>
      <c r="BD30" s="75"/>
    </row>
    <row r="31" spans="1:56" s="3" customFormat="1" x14ac:dyDescent="0.3">
      <c r="A31" s="24" t="s">
        <v>435</v>
      </c>
      <c r="B31" s="12"/>
      <c r="C31" s="65"/>
      <c r="D31" s="65"/>
      <c r="E31" s="1"/>
      <c r="F31" s="13">
        <v>46006</v>
      </c>
      <c r="G31" s="13">
        <v>46013</v>
      </c>
      <c r="H31" s="13">
        <v>46020</v>
      </c>
      <c r="I31" s="13">
        <v>46027</v>
      </c>
      <c r="J31" s="13">
        <v>46034</v>
      </c>
      <c r="K31" s="13">
        <v>46041</v>
      </c>
      <c r="L31" s="13">
        <v>46048</v>
      </c>
      <c r="M31" s="13">
        <v>46055</v>
      </c>
      <c r="N31" s="13">
        <v>46062</v>
      </c>
      <c r="O31" s="13">
        <v>46069</v>
      </c>
      <c r="P31" s="13">
        <v>46076</v>
      </c>
      <c r="Q31" s="13">
        <v>46083</v>
      </c>
      <c r="R31" s="13">
        <v>46090</v>
      </c>
      <c r="S31" s="13">
        <v>46097</v>
      </c>
      <c r="T31" s="13">
        <v>46104</v>
      </c>
      <c r="U31" s="13">
        <v>46111</v>
      </c>
      <c r="V31" s="13">
        <v>46118</v>
      </c>
      <c r="W31" s="13">
        <v>46125</v>
      </c>
      <c r="X31" s="13">
        <v>46132</v>
      </c>
      <c r="Y31" s="13">
        <v>46139</v>
      </c>
      <c r="Z31" s="13">
        <v>46146</v>
      </c>
      <c r="AA31" s="35" t="s">
        <v>129</v>
      </c>
      <c r="AB31" s="11"/>
      <c r="AC31" s="29" t="s">
        <v>126</v>
      </c>
      <c r="AD31" s="29" t="s">
        <v>126</v>
      </c>
      <c r="AE31" s="11"/>
      <c r="AF31" s="9" t="s">
        <v>127</v>
      </c>
      <c r="AG31" s="1"/>
      <c r="AH31" s="17">
        <v>46149</v>
      </c>
      <c r="AI31" s="17">
        <v>46142</v>
      </c>
      <c r="AJ31" s="17">
        <v>46114</v>
      </c>
      <c r="AK31" s="17">
        <v>46099</v>
      </c>
      <c r="AL31" s="294">
        <v>46065</v>
      </c>
      <c r="AM31" s="17">
        <v>46077</v>
      </c>
      <c r="AN31" s="292">
        <v>46045</v>
      </c>
      <c r="AO31" s="17">
        <v>46056</v>
      </c>
      <c r="AP31" s="17">
        <v>46017</v>
      </c>
      <c r="AQ31" s="17">
        <v>46007</v>
      </c>
      <c r="AR31" s="17">
        <v>46001</v>
      </c>
      <c r="AS31" s="17">
        <v>45994</v>
      </c>
      <c r="AT31" s="17">
        <v>45986</v>
      </c>
      <c r="AU31" s="17">
        <v>45980</v>
      </c>
      <c r="AV31" s="17">
        <v>45980</v>
      </c>
      <c r="AW31" s="17">
        <v>45973</v>
      </c>
      <c r="AX31" s="207">
        <v>45982</v>
      </c>
      <c r="AY31" s="207">
        <v>45979</v>
      </c>
      <c r="AZ31" s="269">
        <v>45974</v>
      </c>
      <c r="BA31" s="269">
        <v>45972</v>
      </c>
      <c r="BB31" s="258">
        <v>45968</v>
      </c>
      <c r="BC31" s="207">
        <v>45967</v>
      </c>
      <c r="BD31" s="274">
        <v>45942</v>
      </c>
    </row>
    <row r="32" spans="1:56" s="3" customFormat="1" x14ac:dyDescent="0.3">
      <c r="A32" s="25" t="s">
        <v>436</v>
      </c>
      <c r="B32" s="135">
        <v>75</v>
      </c>
      <c r="C32" s="81">
        <v>225.67</v>
      </c>
      <c r="D32" s="234"/>
      <c r="E32" s="1"/>
      <c r="F32" s="39">
        <v>5</v>
      </c>
      <c r="G32" s="39">
        <v>5</v>
      </c>
      <c r="H32" s="39">
        <v>5</v>
      </c>
      <c r="I32" s="39">
        <v>5</v>
      </c>
      <c r="J32" s="39">
        <v>5</v>
      </c>
      <c r="K32" s="39">
        <v>5</v>
      </c>
      <c r="L32" s="39">
        <v>5</v>
      </c>
      <c r="M32" s="39">
        <v>5</v>
      </c>
      <c r="N32" s="39">
        <v>5</v>
      </c>
      <c r="O32" s="39">
        <v>5</v>
      </c>
      <c r="P32" s="39">
        <v>5</v>
      </c>
      <c r="Q32" s="39">
        <v>5</v>
      </c>
      <c r="R32" s="39">
        <v>5</v>
      </c>
      <c r="S32" s="39">
        <v>5</v>
      </c>
      <c r="T32" s="39">
        <v>5</v>
      </c>
      <c r="U32" s="39">
        <v>5</v>
      </c>
      <c r="V32" s="39"/>
      <c r="W32" s="39"/>
      <c r="X32" s="39"/>
      <c r="Y32" s="39"/>
      <c r="Z32" s="39"/>
      <c r="AA32" s="26">
        <f ca="1">Y32+IF(NOT(ISBLANK(OFFSET(AA32,0,6))),N(OFFSET(AA32,0,6)),N(OFFSET(AA32,0,7)))-Z32</f>
        <v>0</v>
      </c>
      <c r="AB32" s="11"/>
      <c r="AC32" s="78"/>
      <c r="AD32" s="78"/>
      <c r="AE32" s="1"/>
      <c r="AF32" s="32"/>
      <c r="AG32" s="1"/>
      <c r="AH32" s="19">
        <v>0</v>
      </c>
      <c r="AI32" s="19">
        <v>0</v>
      </c>
      <c r="AJ32" s="19">
        <v>0</v>
      </c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17"/>
      <c r="AY32" s="117"/>
      <c r="AZ32" s="244" t="s">
        <v>505</v>
      </c>
      <c r="BA32" s="19"/>
      <c r="BB32" s="19"/>
      <c r="BC32" s="253" t="s">
        <v>506</v>
      </c>
      <c r="BD32" s="19"/>
    </row>
    <row r="33" spans="1:56" s="3" customFormat="1" x14ac:dyDescent="0.3">
      <c r="A33" s="25" t="s">
        <v>437</v>
      </c>
      <c r="B33" s="135">
        <v>75</v>
      </c>
      <c r="C33" s="66">
        <v>294.58999999999997</v>
      </c>
      <c r="D33" s="234"/>
      <c r="E33" s="1"/>
      <c r="F33" s="39">
        <v>0</v>
      </c>
      <c r="G33" s="39">
        <v>0</v>
      </c>
      <c r="H33" s="39">
        <v>0</v>
      </c>
      <c r="I33" s="39">
        <v>0</v>
      </c>
      <c r="J33" s="39">
        <v>0</v>
      </c>
      <c r="K33" s="39">
        <v>0</v>
      </c>
      <c r="L33" s="39">
        <v>0</v>
      </c>
      <c r="M33" s="39">
        <v>0</v>
      </c>
      <c r="N33" s="39">
        <v>0</v>
      </c>
      <c r="O33" s="39">
        <v>0</v>
      </c>
      <c r="P33" s="39">
        <v>0</v>
      </c>
      <c r="Q33" s="39">
        <v>0</v>
      </c>
      <c r="R33" s="39">
        <v>0</v>
      </c>
      <c r="S33" s="39">
        <v>0</v>
      </c>
      <c r="T33" s="39">
        <v>0</v>
      </c>
      <c r="U33" s="39">
        <v>0</v>
      </c>
      <c r="V33" s="39"/>
      <c r="W33" s="39"/>
      <c r="X33" s="39"/>
      <c r="Y33" s="39"/>
      <c r="Z33" s="39"/>
      <c r="AA33" s="26">
        <f ca="1">Y33+IF(NOT(ISBLANK(OFFSET(AA33,0,6))),N(OFFSET(AA33,0,6)),N(OFFSET(AA33,0,7)))-Z33</f>
        <v>0</v>
      </c>
      <c r="AB33" s="11"/>
      <c r="AC33" s="78"/>
      <c r="AD33" s="78"/>
      <c r="AF33" s="32"/>
      <c r="AH33" s="19">
        <v>0</v>
      </c>
      <c r="AI33" s="19">
        <v>0</v>
      </c>
      <c r="AJ33" s="19">
        <v>0</v>
      </c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17"/>
      <c r="AY33" s="117"/>
      <c r="AZ33" s="244" t="s">
        <v>507</v>
      </c>
      <c r="BA33" s="19"/>
      <c r="BB33" s="19"/>
      <c r="BC33" s="117"/>
      <c r="BD33" s="251" t="s">
        <v>508</v>
      </c>
    </row>
    <row r="34" spans="1:56" x14ac:dyDescent="0.3">
      <c r="A34" s="25" t="s">
        <v>438</v>
      </c>
      <c r="B34" s="135">
        <v>50</v>
      </c>
      <c r="C34" s="66">
        <v>346.84</v>
      </c>
      <c r="D34" s="234"/>
      <c r="F34" s="39">
        <v>3</v>
      </c>
      <c r="G34" s="39">
        <v>3</v>
      </c>
      <c r="H34" s="39">
        <v>3</v>
      </c>
      <c r="I34" s="39">
        <v>3</v>
      </c>
      <c r="J34" s="39">
        <v>3</v>
      </c>
      <c r="K34" s="39">
        <v>3</v>
      </c>
      <c r="L34" s="39">
        <v>3</v>
      </c>
      <c r="M34" s="39">
        <v>3</v>
      </c>
      <c r="N34" s="39">
        <v>3</v>
      </c>
      <c r="O34" s="39">
        <v>3</v>
      </c>
      <c r="P34" s="39">
        <v>3</v>
      </c>
      <c r="Q34" s="39">
        <v>3</v>
      </c>
      <c r="R34" s="39">
        <v>3</v>
      </c>
      <c r="S34" s="39">
        <v>2</v>
      </c>
      <c r="T34" s="39">
        <v>2</v>
      </c>
      <c r="U34" s="39">
        <v>2</v>
      </c>
      <c r="V34" s="39"/>
      <c r="W34" s="39"/>
      <c r="X34" s="39"/>
      <c r="Y34" s="39"/>
      <c r="Z34" s="39"/>
      <c r="AA34" s="26">
        <f ca="1">Y34+IF(NOT(ISBLANK(OFFSET(AA34,0,6))),N(OFFSET(AA34,0,6)),N(OFFSET(AA34,0,7)))-Z34</f>
        <v>0</v>
      </c>
      <c r="AC34" s="78"/>
      <c r="AD34" s="78"/>
      <c r="AE34" s="1"/>
      <c r="AF34" s="32"/>
      <c r="AG34" s="1"/>
      <c r="AH34" s="19">
        <v>0</v>
      </c>
      <c r="AI34" s="19">
        <v>0</v>
      </c>
      <c r="AJ34" s="19">
        <v>0</v>
      </c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17"/>
      <c r="AY34" s="117"/>
      <c r="AZ34" s="244" t="s">
        <v>509</v>
      </c>
      <c r="BA34" s="19"/>
      <c r="BB34" s="275" t="s">
        <v>502</v>
      </c>
      <c r="BC34" s="253" t="s">
        <v>510</v>
      </c>
      <c r="BD34" s="251" t="s">
        <v>511</v>
      </c>
    </row>
    <row r="35" spans="1:56" hidden="1" x14ac:dyDescent="0.3">
      <c r="A35" s="23"/>
      <c r="B35" s="1"/>
      <c r="C35" s="64"/>
      <c r="D35" s="64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E35" s="1"/>
      <c r="AF35" s="33"/>
      <c r="AG35" s="1"/>
      <c r="AH35" s="75"/>
      <c r="AI35" s="75"/>
      <c r="AJ35" s="75"/>
      <c r="AK35" s="75"/>
      <c r="AL35" s="75"/>
      <c r="AM35" s="75"/>
      <c r="AN35" s="75"/>
      <c r="AO35" s="75"/>
      <c r="AP35" s="75"/>
      <c r="AQ35" s="75"/>
      <c r="AR35" s="75"/>
      <c r="AS35" s="75"/>
      <c r="AT35" s="75"/>
      <c r="AU35" s="75"/>
      <c r="AV35" s="75"/>
      <c r="AW35" s="75"/>
      <c r="AX35" s="201"/>
      <c r="AY35" s="201"/>
      <c r="AZ35" s="244" t="s">
        <v>507</v>
      </c>
      <c r="BA35" s="75"/>
      <c r="BB35" s="75"/>
      <c r="BC35" s="201"/>
      <c r="BD35" s="75"/>
    </row>
    <row r="36" spans="1:56" hidden="1" x14ac:dyDescent="0.3">
      <c r="A36" s="24" t="s">
        <v>439</v>
      </c>
      <c r="B36" s="12" t="s">
        <v>151</v>
      </c>
      <c r="C36" s="12"/>
      <c r="D36" s="12" t="s">
        <v>125</v>
      </c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35" t="s">
        <v>129</v>
      </c>
      <c r="AC36" s="29" t="s">
        <v>126</v>
      </c>
      <c r="AD36" s="29" t="s">
        <v>126</v>
      </c>
      <c r="AE36" s="1"/>
      <c r="AF36" s="9" t="s">
        <v>127</v>
      </c>
      <c r="AG36" s="1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>
        <v>45994</v>
      </c>
      <c r="AT36" s="17">
        <v>45986</v>
      </c>
      <c r="AU36" s="17">
        <v>45980</v>
      </c>
      <c r="AV36" s="17">
        <v>45980</v>
      </c>
      <c r="AW36" s="17">
        <v>45973</v>
      </c>
      <c r="AX36" s="207">
        <v>45982</v>
      </c>
      <c r="AY36" s="207">
        <v>45979</v>
      </c>
      <c r="AZ36" s="269">
        <v>45974</v>
      </c>
      <c r="BA36" s="269">
        <v>45972</v>
      </c>
      <c r="BB36" s="258">
        <v>45968</v>
      </c>
      <c r="BC36" s="207">
        <v>45967</v>
      </c>
      <c r="BD36" s="274">
        <v>45964</v>
      </c>
    </row>
    <row r="37" spans="1:56" hidden="1" x14ac:dyDescent="0.3">
      <c r="A37" s="25" t="s">
        <v>440</v>
      </c>
      <c r="B37" s="6">
        <v>25</v>
      </c>
      <c r="C37" s="66">
        <v>41.75</v>
      </c>
      <c r="D37" s="234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  <c r="AA37" s="26">
        <f ca="1">Y37+IF(NOT(ISBLANK(OFFSET(AA37,0,6))),N(OFFSET(AA37,0,6)),N(OFFSET(AA37,0,7)))-Z37</f>
        <v>0</v>
      </c>
      <c r="AC37" s="78"/>
      <c r="AD37" s="78"/>
      <c r="AE37" s="1"/>
      <c r="AF37" s="32"/>
      <c r="AG37" s="1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17"/>
      <c r="AY37" s="117"/>
      <c r="AZ37" s="117"/>
      <c r="BA37" s="19"/>
      <c r="BB37" s="19"/>
      <c r="BC37" s="117"/>
      <c r="BD37" s="19"/>
    </row>
    <row r="38" spans="1:56" hidden="1" x14ac:dyDescent="0.3">
      <c r="A38" s="25" t="s">
        <v>441</v>
      </c>
      <c r="B38" s="6">
        <v>25</v>
      </c>
      <c r="C38" s="66">
        <v>57</v>
      </c>
      <c r="D38" s="234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26">
        <f ca="1">Y38+IF(NOT(ISBLANK(OFFSET(AA38,0,6))),N(OFFSET(AA38,0,6)),N(OFFSET(AA38,0,7)))-Z38</f>
        <v>0</v>
      </c>
      <c r="AC38" s="78"/>
      <c r="AD38" s="78"/>
      <c r="AE38" s="1"/>
      <c r="AF38" s="32"/>
      <c r="AG38" s="1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17"/>
      <c r="AY38" s="117"/>
      <c r="AZ38" s="117"/>
      <c r="BA38" s="19"/>
      <c r="BB38" s="19"/>
      <c r="BC38" s="117"/>
      <c r="BD38" s="19"/>
    </row>
    <row r="39" spans="1:56" x14ac:dyDescent="0.3">
      <c r="A39" s="23"/>
      <c r="B39" s="1"/>
      <c r="C39" s="64"/>
      <c r="D39" s="64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C39" s="10"/>
      <c r="AD39" s="10"/>
      <c r="AE39" s="1"/>
      <c r="AF39" s="33"/>
      <c r="AG39" s="1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201"/>
      <c r="AY39" s="201"/>
      <c r="AZ39" s="201"/>
      <c r="BA39" s="75"/>
      <c r="BB39" s="75"/>
      <c r="BC39" s="201"/>
      <c r="BD39" s="75"/>
    </row>
    <row r="40" spans="1:56" x14ac:dyDescent="0.3">
      <c r="A40" s="143" t="s">
        <v>442</v>
      </c>
      <c r="B40" s="144"/>
      <c r="C40" s="144"/>
      <c r="D40" s="144"/>
      <c r="E40" s="1"/>
      <c r="F40" s="13">
        <v>46006</v>
      </c>
      <c r="G40" s="13">
        <v>46013</v>
      </c>
      <c r="H40" s="13">
        <v>46020</v>
      </c>
      <c r="I40" s="13">
        <v>46027</v>
      </c>
      <c r="J40" s="13">
        <v>46034</v>
      </c>
      <c r="K40" s="13">
        <v>46041</v>
      </c>
      <c r="L40" s="13">
        <v>46048</v>
      </c>
      <c r="M40" s="13">
        <v>46055</v>
      </c>
      <c r="N40" s="13">
        <v>46062</v>
      </c>
      <c r="O40" s="13">
        <v>46069</v>
      </c>
      <c r="P40" s="13">
        <v>46076</v>
      </c>
      <c r="Q40" s="13">
        <v>46083</v>
      </c>
      <c r="R40" s="13">
        <v>46090</v>
      </c>
      <c r="S40" s="13">
        <v>46097</v>
      </c>
      <c r="T40" s="13">
        <v>46104</v>
      </c>
      <c r="U40" s="13">
        <v>46111</v>
      </c>
      <c r="V40" s="13">
        <v>46118</v>
      </c>
      <c r="W40" s="13">
        <v>46125</v>
      </c>
      <c r="X40" s="13">
        <v>46132</v>
      </c>
      <c r="Y40" s="13">
        <v>46139</v>
      </c>
      <c r="Z40" s="13">
        <v>46146</v>
      </c>
      <c r="AA40" s="35" t="s">
        <v>129</v>
      </c>
      <c r="AB40" s="41"/>
      <c r="AC40" s="29" t="s">
        <v>126</v>
      </c>
      <c r="AD40" s="29" t="s">
        <v>126</v>
      </c>
      <c r="AF40" s="9" t="s">
        <v>127</v>
      </c>
      <c r="AG40" s="41"/>
      <c r="AH40" s="17">
        <v>46149</v>
      </c>
      <c r="AI40" s="17">
        <v>46142</v>
      </c>
      <c r="AJ40" s="17">
        <v>46114</v>
      </c>
      <c r="AK40" s="17">
        <v>46099</v>
      </c>
      <c r="AL40" s="294">
        <v>46065</v>
      </c>
      <c r="AM40" s="17">
        <v>46077</v>
      </c>
      <c r="AN40" s="292">
        <v>46045</v>
      </c>
      <c r="AO40" s="17">
        <v>46056</v>
      </c>
      <c r="AP40" s="17">
        <v>46017</v>
      </c>
      <c r="AQ40" s="17">
        <v>46007</v>
      </c>
      <c r="AR40" s="17">
        <v>46001</v>
      </c>
      <c r="AS40" s="17">
        <v>45994</v>
      </c>
      <c r="AT40" s="17">
        <v>45986</v>
      </c>
      <c r="AU40" s="17">
        <v>45980</v>
      </c>
      <c r="AV40" s="17">
        <v>45980</v>
      </c>
      <c r="AW40" s="17">
        <v>45973</v>
      </c>
      <c r="AX40" s="207">
        <v>45982</v>
      </c>
      <c r="AY40" s="207">
        <v>45979</v>
      </c>
      <c r="AZ40" s="269">
        <v>45974</v>
      </c>
      <c r="BA40" s="269">
        <v>45972</v>
      </c>
      <c r="BB40" s="258">
        <v>45968</v>
      </c>
      <c r="BC40" s="207">
        <v>45967</v>
      </c>
      <c r="BD40" s="274">
        <v>45964</v>
      </c>
    </row>
    <row r="41" spans="1:56" x14ac:dyDescent="0.3">
      <c r="A41" s="25" t="s">
        <v>443</v>
      </c>
      <c r="B41" s="72">
        <v>150</v>
      </c>
      <c r="C41" s="77">
        <v>453.38</v>
      </c>
      <c r="D41" s="234"/>
      <c r="E41" s="41"/>
      <c r="F41" s="72">
        <v>3</v>
      </c>
      <c r="G41" s="72">
        <v>3</v>
      </c>
      <c r="H41" s="72">
        <v>3</v>
      </c>
      <c r="I41" s="72">
        <v>3</v>
      </c>
      <c r="J41" s="72">
        <v>3</v>
      </c>
      <c r="K41" s="72">
        <v>3</v>
      </c>
      <c r="L41" s="72">
        <v>3</v>
      </c>
      <c r="M41" s="72">
        <v>3</v>
      </c>
      <c r="N41" s="72">
        <v>3</v>
      </c>
      <c r="O41" s="72">
        <v>3</v>
      </c>
      <c r="P41" s="72">
        <v>3</v>
      </c>
      <c r="Q41" s="72">
        <v>3</v>
      </c>
      <c r="R41" s="72">
        <v>3</v>
      </c>
      <c r="S41" s="72">
        <v>3</v>
      </c>
      <c r="T41" s="72">
        <v>3</v>
      </c>
      <c r="U41" s="72">
        <v>3</v>
      </c>
      <c r="V41" s="72"/>
      <c r="W41" s="72"/>
      <c r="X41" s="72"/>
      <c r="Y41" s="72"/>
      <c r="Z41" s="72"/>
      <c r="AA41" s="26">
        <f t="shared" ref="AA41:AA47" ca="1" si="1">Y41+IF(NOT(ISBLANK(OFFSET(AA41,0,6))),N(OFFSET(AA41,0,6)),N(OFFSET(AA41,0,7)))-Z41</f>
        <v>0</v>
      </c>
      <c r="AB41" s="41"/>
      <c r="AC41" s="134"/>
      <c r="AD41" s="134"/>
      <c r="AE41" s="1"/>
      <c r="AF41" s="32"/>
      <c r="AG41" s="41"/>
      <c r="AH41" s="19">
        <v>0</v>
      </c>
      <c r="AI41" s="19">
        <v>0</v>
      </c>
      <c r="AJ41" s="19">
        <v>0</v>
      </c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17"/>
      <c r="AY41" s="117"/>
      <c r="AZ41" s="117"/>
      <c r="BA41" s="19"/>
      <c r="BB41" s="19"/>
      <c r="BC41" s="253" t="s">
        <v>512</v>
      </c>
      <c r="BD41" s="19"/>
    </row>
    <row r="42" spans="1:56" x14ac:dyDescent="0.3">
      <c r="A42" s="25" t="s">
        <v>444</v>
      </c>
      <c r="B42" s="72">
        <v>100</v>
      </c>
      <c r="C42" s="77">
        <v>355.78</v>
      </c>
      <c r="D42" s="234"/>
      <c r="E42" s="41"/>
      <c r="F42" s="72">
        <v>0</v>
      </c>
      <c r="G42" s="72">
        <v>0</v>
      </c>
      <c r="H42" s="72">
        <v>0</v>
      </c>
      <c r="I42" s="72">
        <v>0</v>
      </c>
      <c r="J42" s="72">
        <v>0</v>
      </c>
      <c r="K42" s="72">
        <v>0</v>
      </c>
      <c r="L42" s="72">
        <v>0</v>
      </c>
      <c r="M42" s="72">
        <v>0</v>
      </c>
      <c r="N42" s="72">
        <v>0</v>
      </c>
      <c r="O42" s="72">
        <v>0</v>
      </c>
      <c r="P42" s="72">
        <v>0</v>
      </c>
      <c r="Q42" s="72">
        <v>0</v>
      </c>
      <c r="R42" s="72">
        <v>0</v>
      </c>
      <c r="S42" s="72">
        <v>0</v>
      </c>
      <c r="T42" s="72">
        <v>0</v>
      </c>
      <c r="U42" s="72">
        <v>0</v>
      </c>
      <c r="V42" s="72"/>
      <c r="W42" s="72"/>
      <c r="X42" s="72"/>
      <c r="Y42" s="72"/>
      <c r="Z42" s="72"/>
      <c r="AA42" s="26">
        <f t="shared" ca="1" si="1"/>
        <v>0</v>
      </c>
      <c r="AB42" s="41"/>
      <c r="AC42" s="78"/>
      <c r="AD42" s="78"/>
      <c r="AE42" s="1"/>
      <c r="AF42" s="32"/>
      <c r="AG42" s="41"/>
      <c r="AH42" s="19">
        <v>0</v>
      </c>
      <c r="AI42" s="19">
        <v>0</v>
      </c>
      <c r="AJ42" s="19">
        <v>0</v>
      </c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17"/>
      <c r="AY42" s="117"/>
      <c r="AZ42" s="117"/>
      <c r="BA42" s="19"/>
      <c r="BB42" s="19"/>
      <c r="BC42" s="253" t="s">
        <v>506</v>
      </c>
      <c r="BD42" s="19"/>
    </row>
    <row r="43" spans="1:56" x14ac:dyDescent="0.3">
      <c r="A43" s="25" t="s">
        <v>445</v>
      </c>
      <c r="B43" s="72">
        <v>50</v>
      </c>
      <c r="C43" s="77">
        <v>249.26</v>
      </c>
      <c r="D43" s="234"/>
      <c r="E43" s="41"/>
      <c r="F43" s="72">
        <v>5</v>
      </c>
      <c r="G43" s="72">
        <v>5</v>
      </c>
      <c r="H43" s="72">
        <v>5</v>
      </c>
      <c r="I43" s="72">
        <v>5</v>
      </c>
      <c r="J43" s="72">
        <v>5</v>
      </c>
      <c r="K43" s="72">
        <v>5</v>
      </c>
      <c r="L43" s="72">
        <v>5</v>
      </c>
      <c r="M43" s="72">
        <v>5</v>
      </c>
      <c r="N43" s="72">
        <v>5</v>
      </c>
      <c r="O43" s="72">
        <v>5</v>
      </c>
      <c r="P43" s="72">
        <v>5</v>
      </c>
      <c r="Q43" s="72">
        <v>5</v>
      </c>
      <c r="R43" s="72">
        <v>5</v>
      </c>
      <c r="S43" s="72">
        <v>5</v>
      </c>
      <c r="T43" s="72">
        <v>4</v>
      </c>
      <c r="U43" s="72">
        <v>4</v>
      </c>
      <c r="V43" s="72"/>
      <c r="W43" s="72"/>
      <c r="X43" s="72"/>
      <c r="Y43" s="72"/>
      <c r="Z43" s="72"/>
      <c r="AA43" s="26">
        <f t="shared" ca="1" si="1"/>
        <v>0</v>
      </c>
      <c r="AB43" s="41"/>
      <c r="AC43" s="134"/>
      <c r="AD43" s="134"/>
      <c r="AE43" s="3"/>
      <c r="AF43" s="32"/>
      <c r="AG43" s="41"/>
      <c r="AH43" s="19">
        <v>0</v>
      </c>
      <c r="AI43" s="19">
        <v>0</v>
      </c>
      <c r="AJ43" s="19">
        <v>0</v>
      </c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17"/>
      <c r="AY43" s="117"/>
      <c r="AZ43" s="117"/>
      <c r="BA43" s="19"/>
      <c r="BB43" s="19"/>
      <c r="BC43" s="253" t="s">
        <v>506</v>
      </c>
      <c r="BD43" s="19"/>
    </row>
    <row r="44" spans="1:56" x14ac:dyDescent="0.3">
      <c r="A44" s="25" t="s">
        <v>513</v>
      </c>
      <c r="B44" s="6">
        <v>500</v>
      </c>
      <c r="C44" s="66">
        <v>138.53</v>
      </c>
      <c r="D44" s="234"/>
      <c r="E44" s="1"/>
      <c r="F44" s="72">
        <v>0</v>
      </c>
      <c r="G44" s="72">
        <v>1</v>
      </c>
      <c r="H44" s="72">
        <v>1</v>
      </c>
      <c r="I44" s="72">
        <v>1</v>
      </c>
      <c r="J44" s="72">
        <v>1</v>
      </c>
      <c r="K44" s="72">
        <v>1</v>
      </c>
      <c r="L44" s="72">
        <v>1</v>
      </c>
      <c r="M44" s="72">
        <v>1</v>
      </c>
      <c r="N44" s="72">
        <v>1</v>
      </c>
      <c r="O44" s="72">
        <v>1</v>
      </c>
      <c r="P44" s="72">
        <v>1</v>
      </c>
      <c r="Q44" s="72">
        <v>1</v>
      </c>
      <c r="R44" s="72">
        <v>1</v>
      </c>
      <c r="S44" s="72">
        <v>1</v>
      </c>
      <c r="T44" s="72">
        <v>1</v>
      </c>
      <c r="U44" s="72">
        <v>1</v>
      </c>
      <c r="V44" s="72">
        <v>1</v>
      </c>
      <c r="W44" s="72">
        <v>1</v>
      </c>
      <c r="X44" s="72">
        <v>1</v>
      </c>
      <c r="Y44" s="72">
        <v>1</v>
      </c>
      <c r="Z44" s="72">
        <v>1</v>
      </c>
      <c r="AA44" s="26">
        <f t="shared" ca="1" si="1"/>
        <v>0</v>
      </c>
      <c r="AB44" s="41"/>
      <c r="AC44" s="134"/>
      <c r="AD44" s="134"/>
      <c r="AE44" s="7"/>
      <c r="AF44" s="32"/>
      <c r="AG44" s="41"/>
      <c r="AH44" s="19">
        <v>0</v>
      </c>
      <c r="AI44" s="19">
        <v>0</v>
      </c>
      <c r="AJ44" s="19">
        <v>0</v>
      </c>
      <c r="AK44" s="19"/>
      <c r="AL44" s="19"/>
      <c r="AM44" s="19"/>
      <c r="AN44" s="19"/>
      <c r="AO44" s="19"/>
      <c r="AP44" s="19"/>
      <c r="AQ44" s="19">
        <v>1</v>
      </c>
      <c r="AR44" s="19"/>
      <c r="AS44" s="19"/>
      <c r="AT44" s="19"/>
      <c r="AU44" s="19"/>
      <c r="AV44" s="19"/>
      <c r="AW44" s="19"/>
      <c r="AX44" s="117"/>
      <c r="AY44" s="117"/>
      <c r="AZ44" s="117"/>
      <c r="BA44" s="19"/>
      <c r="BB44" s="19"/>
      <c r="BC44" s="117"/>
      <c r="BD44" s="19"/>
    </row>
    <row r="45" spans="1:56" x14ac:dyDescent="0.3">
      <c r="A45" s="25" t="s">
        <v>514</v>
      </c>
      <c r="B45" s="83">
        <v>1000</v>
      </c>
      <c r="C45" s="66">
        <v>181.15</v>
      </c>
      <c r="D45" s="234"/>
      <c r="E45" s="1"/>
      <c r="F45" s="72">
        <v>0</v>
      </c>
      <c r="G45" s="72">
        <v>1</v>
      </c>
      <c r="H45" s="72">
        <v>1</v>
      </c>
      <c r="I45" s="72">
        <v>1</v>
      </c>
      <c r="J45" s="72">
        <v>1</v>
      </c>
      <c r="K45" s="72">
        <v>1</v>
      </c>
      <c r="L45" s="72">
        <v>1</v>
      </c>
      <c r="M45" s="72">
        <v>1</v>
      </c>
      <c r="N45" s="72">
        <v>1</v>
      </c>
      <c r="O45" s="72">
        <v>1</v>
      </c>
      <c r="P45" s="72">
        <v>1</v>
      </c>
      <c r="Q45" s="72">
        <v>1</v>
      </c>
      <c r="R45" s="72">
        <v>1</v>
      </c>
      <c r="S45" s="72">
        <v>1</v>
      </c>
      <c r="T45" s="72">
        <v>1</v>
      </c>
      <c r="U45" s="72">
        <v>1</v>
      </c>
      <c r="V45" s="72">
        <v>1</v>
      </c>
      <c r="W45" s="72">
        <v>1</v>
      </c>
      <c r="X45" s="72">
        <v>1</v>
      </c>
      <c r="Y45" s="72">
        <v>1</v>
      </c>
      <c r="Z45" s="72">
        <v>1</v>
      </c>
      <c r="AA45" s="26">
        <f t="shared" ca="1" si="1"/>
        <v>0</v>
      </c>
      <c r="AB45" s="41"/>
      <c r="AC45" s="78"/>
      <c r="AD45" s="78"/>
      <c r="AE45" s="7"/>
      <c r="AF45" s="32"/>
      <c r="AG45" s="41"/>
      <c r="AH45" s="19">
        <v>0</v>
      </c>
      <c r="AI45" s="19">
        <v>0</v>
      </c>
      <c r="AJ45" s="19">
        <v>0</v>
      </c>
      <c r="AK45" s="19"/>
      <c r="AL45" s="19"/>
      <c r="AM45" s="19"/>
      <c r="AN45" s="19"/>
      <c r="AO45" s="19"/>
      <c r="AP45" s="19"/>
      <c r="AQ45" s="19">
        <v>1</v>
      </c>
      <c r="AR45" s="19"/>
      <c r="AS45" s="19"/>
      <c r="AT45" s="19"/>
      <c r="AU45" s="19"/>
      <c r="AV45" s="19"/>
      <c r="AW45" s="19"/>
      <c r="AX45" s="117"/>
      <c r="AY45" s="117"/>
      <c r="AZ45" s="117"/>
      <c r="BA45" s="19"/>
      <c r="BB45" s="19"/>
      <c r="BC45" s="117"/>
      <c r="BD45" s="19"/>
    </row>
    <row r="46" spans="1:56" x14ac:dyDescent="0.3">
      <c r="A46" s="25" t="s">
        <v>515</v>
      </c>
      <c r="B46" s="6">
        <v>3000</v>
      </c>
      <c r="C46" s="66">
        <v>223.78</v>
      </c>
      <c r="D46" s="234"/>
      <c r="E46" s="1"/>
      <c r="F46" s="72">
        <v>0</v>
      </c>
      <c r="G46" s="72">
        <v>1</v>
      </c>
      <c r="H46" s="72">
        <v>1</v>
      </c>
      <c r="I46" s="72">
        <v>1</v>
      </c>
      <c r="J46" s="72">
        <v>1</v>
      </c>
      <c r="K46" s="72">
        <v>1</v>
      </c>
      <c r="L46" s="72">
        <v>1</v>
      </c>
      <c r="M46" s="72">
        <v>2</v>
      </c>
      <c r="N46" s="72">
        <v>2</v>
      </c>
      <c r="O46" s="72">
        <v>2</v>
      </c>
      <c r="P46" s="72">
        <v>2</v>
      </c>
      <c r="Q46" s="72">
        <v>2</v>
      </c>
      <c r="R46" s="72">
        <v>2</v>
      </c>
      <c r="S46" s="72">
        <v>2</v>
      </c>
      <c r="T46" s="72">
        <v>2</v>
      </c>
      <c r="U46" s="72">
        <v>2</v>
      </c>
      <c r="V46" s="72">
        <v>2</v>
      </c>
      <c r="W46" s="72">
        <v>2</v>
      </c>
      <c r="X46" s="72">
        <v>2</v>
      </c>
      <c r="Y46" s="72">
        <v>2</v>
      </c>
      <c r="Z46" s="72">
        <v>2</v>
      </c>
      <c r="AA46" s="26">
        <f t="shared" ca="1" si="1"/>
        <v>0</v>
      </c>
      <c r="AB46" s="41"/>
      <c r="AC46" s="134"/>
      <c r="AD46" s="134"/>
      <c r="AE46" s="7"/>
      <c r="AF46" s="32"/>
      <c r="AG46" s="41"/>
      <c r="AH46" s="19">
        <v>0</v>
      </c>
      <c r="AI46" s="19">
        <v>0</v>
      </c>
      <c r="AJ46" s="19">
        <v>0</v>
      </c>
      <c r="AK46" s="19"/>
      <c r="AL46" s="19"/>
      <c r="AM46" s="19"/>
      <c r="AN46" s="19"/>
      <c r="AO46" s="19"/>
      <c r="AP46" s="19"/>
      <c r="AQ46" s="19">
        <v>1</v>
      </c>
      <c r="AR46" s="19"/>
      <c r="AS46" s="19"/>
      <c r="AT46" s="19"/>
      <c r="AU46" s="19"/>
      <c r="AV46" s="19"/>
      <c r="AW46" s="19"/>
      <c r="AX46" s="117"/>
      <c r="AY46" s="117"/>
      <c r="AZ46" s="117"/>
      <c r="BA46" s="19"/>
      <c r="BB46" s="19"/>
      <c r="BC46" s="117"/>
      <c r="BD46" s="19"/>
    </row>
    <row r="47" spans="1:56" x14ac:dyDescent="0.3">
      <c r="A47" s="25" t="s">
        <v>446</v>
      </c>
      <c r="B47" s="6">
        <v>200</v>
      </c>
      <c r="C47" s="66">
        <v>249.78</v>
      </c>
      <c r="D47" s="234"/>
      <c r="E47" s="1"/>
      <c r="F47" s="72">
        <v>160</v>
      </c>
      <c r="G47" s="72">
        <v>153</v>
      </c>
      <c r="H47" s="72">
        <v>149</v>
      </c>
      <c r="I47" s="72">
        <v>149</v>
      </c>
      <c r="J47" s="72">
        <v>149</v>
      </c>
      <c r="K47" s="72">
        <v>137</v>
      </c>
      <c r="L47" s="72">
        <v>124</v>
      </c>
      <c r="M47" s="72">
        <v>123</v>
      </c>
      <c r="N47" s="72">
        <v>120</v>
      </c>
      <c r="O47" s="72">
        <v>120</v>
      </c>
      <c r="P47" s="72">
        <v>149</v>
      </c>
      <c r="Q47" s="72">
        <v>101</v>
      </c>
      <c r="R47" s="72">
        <v>92</v>
      </c>
      <c r="S47" s="72">
        <v>96</v>
      </c>
      <c r="T47" s="72">
        <v>89</v>
      </c>
      <c r="U47" s="72">
        <v>67</v>
      </c>
      <c r="V47" s="72">
        <v>58</v>
      </c>
      <c r="W47" s="72">
        <v>50</v>
      </c>
      <c r="X47" s="72">
        <v>46</v>
      </c>
      <c r="Y47" s="72">
        <v>42</v>
      </c>
      <c r="Z47" s="72">
        <v>42</v>
      </c>
      <c r="AA47" s="26">
        <f t="shared" ca="1" si="1"/>
        <v>0</v>
      </c>
      <c r="AB47" s="41"/>
      <c r="AC47" s="134"/>
      <c r="AD47" s="134"/>
      <c r="AE47" s="7"/>
      <c r="AF47" s="32"/>
      <c r="AG47" s="41"/>
      <c r="AH47" s="19">
        <v>0</v>
      </c>
      <c r="AI47" s="19">
        <v>0</v>
      </c>
      <c r="AJ47" s="19">
        <v>0</v>
      </c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17"/>
      <c r="AY47" s="117"/>
      <c r="AZ47" s="117"/>
      <c r="BA47" s="19"/>
      <c r="BB47" s="19"/>
      <c r="BC47" s="253" t="s">
        <v>495</v>
      </c>
      <c r="BD47" s="19"/>
    </row>
    <row r="48" spans="1:56" x14ac:dyDescent="0.3">
      <c r="B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B48" s="41"/>
      <c r="AE48" s="41"/>
      <c r="AG48" s="41"/>
    </row>
    <row r="49" spans="1:56" x14ac:dyDescent="0.3">
      <c r="A49" s="143" t="s">
        <v>447</v>
      </c>
      <c r="B49" s="144"/>
      <c r="C49" s="144"/>
      <c r="D49" s="144"/>
      <c r="E49" s="1"/>
      <c r="F49" s="13">
        <v>46006</v>
      </c>
      <c r="G49" s="13">
        <v>46013</v>
      </c>
      <c r="H49" s="13">
        <v>46020</v>
      </c>
      <c r="I49" s="13">
        <v>46027</v>
      </c>
      <c r="J49" s="13">
        <v>46034</v>
      </c>
      <c r="K49" s="13">
        <v>46041</v>
      </c>
      <c r="L49" s="13">
        <v>46048</v>
      </c>
      <c r="M49" s="13">
        <v>46055</v>
      </c>
      <c r="N49" s="13">
        <v>46062</v>
      </c>
      <c r="O49" s="13">
        <v>46069</v>
      </c>
      <c r="P49" s="13">
        <v>46076</v>
      </c>
      <c r="Q49" s="13">
        <v>46083</v>
      </c>
      <c r="R49" s="13">
        <v>46090</v>
      </c>
      <c r="S49" s="13">
        <v>46097</v>
      </c>
      <c r="T49" s="13">
        <v>46104</v>
      </c>
      <c r="U49" s="13">
        <v>46111</v>
      </c>
      <c r="V49" s="13">
        <v>46118</v>
      </c>
      <c r="W49" s="13">
        <v>46125</v>
      </c>
      <c r="X49" s="13">
        <v>46132</v>
      </c>
      <c r="Y49" s="13">
        <v>46139</v>
      </c>
      <c r="Z49" s="13">
        <v>46146</v>
      </c>
      <c r="AA49" s="35" t="s">
        <v>129</v>
      </c>
      <c r="AB49" s="41"/>
      <c r="AC49" s="29" t="s">
        <v>126</v>
      </c>
      <c r="AD49" s="29" t="s">
        <v>126</v>
      </c>
      <c r="AF49" s="9" t="s">
        <v>127</v>
      </c>
      <c r="AG49" s="41"/>
      <c r="AH49" s="17">
        <v>46149</v>
      </c>
      <c r="AI49" s="17">
        <v>46142</v>
      </c>
      <c r="AJ49" s="17">
        <v>46114</v>
      </c>
      <c r="AK49" s="17">
        <v>46099</v>
      </c>
      <c r="AL49" s="294">
        <v>46065</v>
      </c>
      <c r="AM49" s="17">
        <v>46077</v>
      </c>
      <c r="AN49" s="292">
        <v>46045</v>
      </c>
      <c r="AO49" s="17">
        <v>46056</v>
      </c>
      <c r="AP49" s="17">
        <v>46017</v>
      </c>
      <c r="AQ49" s="17">
        <v>46007</v>
      </c>
      <c r="AR49" s="17">
        <v>46001</v>
      </c>
      <c r="AS49" s="17">
        <v>45994</v>
      </c>
      <c r="AT49" s="17">
        <v>45986</v>
      </c>
      <c r="AU49" s="17">
        <v>45980</v>
      </c>
      <c r="AV49" s="17">
        <v>45980</v>
      </c>
      <c r="AW49" s="17">
        <v>45973</v>
      </c>
      <c r="AX49" s="207">
        <v>45982</v>
      </c>
      <c r="AY49" s="207">
        <v>45979</v>
      </c>
      <c r="AZ49" s="269">
        <v>45974</v>
      </c>
      <c r="BA49" s="269">
        <v>45972</v>
      </c>
      <c r="BB49" s="258">
        <v>45968</v>
      </c>
      <c r="BC49" s="207">
        <v>45967</v>
      </c>
      <c r="BD49" s="274">
        <v>45964</v>
      </c>
    </row>
    <row r="50" spans="1:56" x14ac:dyDescent="0.3">
      <c r="A50" s="25" t="s">
        <v>448</v>
      </c>
      <c r="B50" s="72">
        <v>100</v>
      </c>
      <c r="C50" s="77">
        <v>539.70000000000005</v>
      </c>
      <c r="D50" s="234"/>
      <c r="E50" s="41"/>
      <c r="F50" s="72">
        <v>8</v>
      </c>
      <c r="G50" s="72">
        <v>8</v>
      </c>
      <c r="H50" s="72">
        <v>8</v>
      </c>
      <c r="I50" s="72">
        <v>8</v>
      </c>
      <c r="J50" s="72">
        <v>8</v>
      </c>
      <c r="K50" s="72">
        <v>8</v>
      </c>
      <c r="L50" s="72">
        <v>8</v>
      </c>
      <c r="M50" s="72">
        <v>8</v>
      </c>
      <c r="N50" s="72">
        <v>2</v>
      </c>
      <c r="O50" s="72">
        <v>2</v>
      </c>
      <c r="P50" s="72">
        <v>2</v>
      </c>
      <c r="Q50" s="72">
        <v>2</v>
      </c>
      <c r="R50" s="72">
        <v>2</v>
      </c>
      <c r="S50" s="295">
        <v>6</v>
      </c>
      <c r="T50" s="72">
        <v>6</v>
      </c>
      <c r="U50" s="72">
        <v>6</v>
      </c>
      <c r="V50" s="72"/>
      <c r="W50" s="72"/>
      <c r="X50" s="72"/>
      <c r="Y50" s="72"/>
      <c r="Z50" s="72"/>
      <c r="AA50" s="26">
        <f ca="1">Y50+IF(NOT(ISBLANK(OFFSET(AA50,0,6))),N(OFFSET(AA50,0,6)),N(OFFSET(AA50,0,7)))-Z50</f>
        <v>0</v>
      </c>
      <c r="AB50" s="41"/>
      <c r="AC50" s="134"/>
      <c r="AD50" s="134"/>
      <c r="AE50" s="7"/>
      <c r="AF50" s="32"/>
      <c r="AG50" s="41"/>
      <c r="AH50" s="19">
        <v>0</v>
      </c>
      <c r="AI50" s="19">
        <v>0</v>
      </c>
      <c r="AJ50" s="19">
        <v>0</v>
      </c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17"/>
      <c r="AY50" s="117"/>
      <c r="AZ50" s="117"/>
      <c r="BA50" s="19"/>
      <c r="BB50" s="19"/>
      <c r="BC50" s="253" t="s">
        <v>502</v>
      </c>
      <c r="BD50" s="19"/>
    </row>
    <row r="51" spans="1:56" x14ac:dyDescent="0.3">
      <c r="A51" s="25" t="s">
        <v>449</v>
      </c>
      <c r="B51" s="72">
        <v>100</v>
      </c>
      <c r="C51" s="77">
        <v>652.04999999999995</v>
      </c>
      <c r="D51" s="234"/>
      <c r="E51" s="41"/>
      <c r="F51" s="72">
        <v>10</v>
      </c>
      <c r="G51" s="72">
        <v>10</v>
      </c>
      <c r="H51" s="72">
        <v>10</v>
      </c>
      <c r="I51" s="72">
        <v>10</v>
      </c>
      <c r="J51" s="72">
        <v>10</v>
      </c>
      <c r="K51" s="72">
        <v>10</v>
      </c>
      <c r="L51" s="72">
        <v>10</v>
      </c>
      <c r="M51" s="72">
        <v>10</v>
      </c>
      <c r="N51" s="72">
        <v>9</v>
      </c>
      <c r="O51" s="72">
        <v>9</v>
      </c>
      <c r="P51" s="72">
        <v>9</v>
      </c>
      <c r="Q51" s="72">
        <v>9</v>
      </c>
      <c r="R51" s="72">
        <v>9</v>
      </c>
      <c r="S51" s="72">
        <v>8</v>
      </c>
      <c r="T51" s="72">
        <v>8</v>
      </c>
      <c r="U51" s="72">
        <v>8</v>
      </c>
      <c r="V51" s="72"/>
      <c r="W51" s="72"/>
      <c r="X51" s="72"/>
      <c r="Y51" s="72"/>
      <c r="Z51" s="72"/>
      <c r="AA51" s="26">
        <f ca="1">Y51+IF(NOT(ISBLANK(OFFSET(AA51,0,6))),N(OFFSET(AA51,0,6)),N(OFFSET(AA51,0,7)))-Z51</f>
        <v>0</v>
      </c>
      <c r="AB51" s="41"/>
      <c r="AC51" s="134"/>
      <c r="AD51" s="134"/>
      <c r="AE51" s="1"/>
      <c r="AF51" s="32"/>
      <c r="AG51" s="41"/>
      <c r="AH51" s="19">
        <v>0</v>
      </c>
      <c r="AI51" s="19">
        <v>0</v>
      </c>
      <c r="AJ51" s="19">
        <v>0</v>
      </c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17"/>
      <c r="AY51" s="117"/>
      <c r="AZ51" s="117"/>
      <c r="BA51" s="19"/>
      <c r="BB51" s="19"/>
      <c r="BC51" s="253" t="s">
        <v>502</v>
      </c>
      <c r="BD51" s="19"/>
    </row>
    <row r="52" spans="1:56" x14ac:dyDescent="0.3">
      <c r="A52" s="25" t="s">
        <v>450</v>
      </c>
      <c r="B52" s="72">
        <v>50</v>
      </c>
      <c r="C52" s="77">
        <v>567.53</v>
      </c>
      <c r="D52" s="234"/>
      <c r="E52" s="41"/>
      <c r="F52" s="72">
        <v>10</v>
      </c>
      <c r="G52" s="72">
        <v>10</v>
      </c>
      <c r="H52" s="72">
        <v>10</v>
      </c>
      <c r="I52" s="72">
        <v>10</v>
      </c>
      <c r="J52" s="72">
        <v>10</v>
      </c>
      <c r="K52" s="72">
        <v>10</v>
      </c>
      <c r="L52" s="72">
        <v>10</v>
      </c>
      <c r="M52" s="72">
        <v>10</v>
      </c>
      <c r="N52" s="72">
        <v>10</v>
      </c>
      <c r="O52" s="72">
        <v>10</v>
      </c>
      <c r="P52" s="72">
        <v>10</v>
      </c>
      <c r="Q52" s="72">
        <v>10</v>
      </c>
      <c r="R52" s="72">
        <v>10</v>
      </c>
      <c r="S52" s="72">
        <v>10</v>
      </c>
      <c r="T52" s="72">
        <v>10</v>
      </c>
      <c r="U52" s="72">
        <v>10</v>
      </c>
      <c r="V52" s="72"/>
      <c r="W52" s="72"/>
      <c r="X52" s="72"/>
      <c r="Y52" s="72"/>
      <c r="Z52" s="72"/>
      <c r="AA52" s="26">
        <f ca="1">Y52+IF(NOT(ISBLANK(OFFSET(AA52,0,6))),N(OFFSET(AA52,0,6)),N(OFFSET(AA52,0,7)))-Z52</f>
        <v>0</v>
      </c>
      <c r="AB52" s="41"/>
      <c r="AC52" s="134"/>
      <c r="AD52" s="134"/>
      <c r="AE52" s="1"/>
      <c r="AF52" s="32"/>
      <c r="AG52" s="41"/>
      <c r="AH52" s="19">
        <v>0</v>
      </c>
      <c r="AI52" s="19">
        <v>0</v>
      </c>
      <c r="AJ52" s="19">
        <v>0</v>
      </c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17"/>
      <c r="AY52" s="117"/>
      <c r="AZ52" s="117"/>
      <c r="BA52" s="19"/>
      <c r="BB52" s="19"/>
      <c r="BC52" s="253" t="s">
        <v>502</v>
      </c>
      <c r="BD52" s="19"/>
    </row>
    <row r="53" spans="1:56" x14ac:dyDescent="0.3"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E53" s="41"/>
      <c r="AG53" s="41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  <c r="AZ53" s="116"/>
      <c r="BA53" s="116"/>
      <c r="BB53" s="116"/>
      <c r="BC53" s="116"/>
      <c r="BD53" s="116"/>
    </row>
    <row r="54" spans="1:56" x14ac:dyDescent="0.3">
      <c r="A54" s="145" t="s">
        <v>451</v>
      </c>
      <c r="B54" s="146"/>
      <c r="C54" s="146"/>
      <c r="D54" s="146"/>
      <c r="E54" s="1"/>
      <c r="F54" s="13">
        <v>46006</v>
      </c>
      <c r="G54" s="13">
        <v>46013</v>
      </c>
      <c r="H54" s="13">
        <v>46020</v>
      </c>
      <c r="I54" s="13">
        <v>46027</v>
      </c>
      <c r="J54" s="13">
        <v>46034</v>
      </c>
      <c r="K54" s="13">
        <v>46041</v>
      </c>
      <c r="L54" s="13">
        <v>46048</v>
      </c>
      <c r="M54" s="13">
        <v>46055</v>
      </c>
      <c r="N54" s="13">
        <v>46062</v>
      </c>
      <c r="O54" s="13">
        <v>46069</v>
      </c>
      <c r="P54" s="13">
        <v>46076</v>
      </c>
      <c r="Q54" s="13">
        <v>46083</v>
      </c>
      <c r="R54" s="13">
        <v>46090</v>
      </c>
      <c r="S54" s="13">
        <v>46097</v>
      </c>
      <c r="T54" s="13">
        <v>46104</v>
      </c>
      <c r="U54" s="13">
        <v>46111</v>
      </c>
      <c r="V54" s="13">
        <v>46118</v>
      </c>
      <c r="W54" s="13">
        <v>46125</v>
      </c>
      <c r="X54" s="13">
        <v>46132</v>
      </c>
      <c r="Y54" s="13">
        <v>46139</v>
      </c>
      <c r="Z54" s="13">
        <v>46146</v>
      </c>
      <c r="AA54" s="35" t="s">
        <v>129</v>
      </c>
      <c r="AB54" s="41"/>
      <c r="AC54" s="29" t="s">
        <v>126</v>
      </c>
      <c r="AD54" s="29" t="s">
        <v>126</v>
      </c>
      <c r="AF54" s="9" t="s">
        <v>127</v>
      </c>
      <c r="AG54" s="41"/>
      <c r="AH54" s="17">
        <v>46149</v>
      </c>
      <c r="AI54" s="17">
        <v>46142</v>
      </c>
      <c r="AJ54" s="17">
        <v>46114</v>
      </c>
      <c r="AK54" s="17">
        <v>46099</v>
      </c>
      <c r="AL54" s="294">
        <v>46065</v>
      </c>
      <c r="AM54" s="17">
        <v>46077</v>
      </c>
      <c r="AN54" s="292">
        <v>46045</v>
      </c>
      <c r="AO54" s="17">
        <v>46056</v>
      </c>
      <c r="AP54" s="17">
        <v>46017</v>
      </c>
      <c r="AQ54" s="17">
        <v>46007</v>
      </c>
      <c r="AR54" s="17">
        <v>46001</v>
      </c>
      <c r="AS54" s="17">
        <v>45994</v>
      </c>
      <c r="AT54" s="17">
        <v>45986</v>
      </c>
      <c r="AU54" s="17">
        <v>45980</v>
      </c>
      <c r="AV54" s="17">
        <v>45980</v>
      </c>
      <c r="AW54" s="17">
        <v>45973</v>
      </c>
      <c r="AX54" s="207">
        <v>45982</v>
      </c>
      <c r="AY54" s="207">
        <v>45979</v>
      </c>
      <c r="AZ54" s="269">
        <v>45974</v>
      </c>
      <c r="BA54" s="269">
        <v>45972</v>
      </c>
      <c r="BB54" s="258">
        <v>45968</v>
      </c>
      <c r="BC54" s="207">
        <v>45967</v>
      </c>
      <c r="BD54" s="274">
        <v>45964</v>
      </c>
    </row>
    <row r="55" spans="1:56" x14ac:dyDescent="0.3">
      <c r="A55" s="25" t="s">
        <v>452</v>
      </c>
      <c r="B55" s="6">
        <v>300</v>
      </c>
      <c r="C55" s="66">
        <v>169.8</v>
      </c>
      <c r="D55" s="234"/>
      <c r="E55" s="1"/>
      <c r="F55" s="39">
        <v>0</v>
      </c>
      <c r="G55" s="39">
        <v>0</v>
      </c>
      <c r="H55" s="39">
        <v>0</v>
      </c>
      <c r="I55" s="39">
        <v>0</v>
      </c>
      <c r="J55" s="39">
        <v>0</v>
      </c>
      <c r="K55" s="39">
        <v>0</v>
      </c>
      <c r="L55" s="39">
        <v>0</v>
      </c>
      <c r="M55" s="39">
        <v>0</v>
      </c>
      <c r="N55" s="39">
        <v>0</v>
      </c>
      <c r="O55" s="39">
        <v>0</v>
      </c>
      <c r="P55" s="39">
        <v>0</v>
      </c>
      <c r="Q55" s="39">
        <v>0</v>
      </c>
      <c r="R55" s="39">
        <v>0</v>
      </c>
      <c r="S55" s="39">
        <v>0</v>
      </c>
      <c r="T55" s="39">
        <v>0</v>
      </c>
      <c r="U55" s="39">
        <v>0</v>
      </c>
      <c r="V55" s="39">
        <v>0</v>
      </c>
      <c r="W55" s="39">
        <v>0</v>
      </c>
      <c r="X55" s="39">
        <v>0</v>
      </c>
      <c r="Y55" s="39">
        <v>0</v>
      </c>
      <c r="Z55" s="39">
        <v>0</v>
      </c>
      <c r="AA55" s="26">
        <f t="shared" ref="AA55:AA64" ca="1" si="2">Y55+IF(NOT(ISBLANK(OFFSET(AA55,0,6))),N(OFFSET(AA55,0,6)),N(OFFSET(AA55,0,7)))-Z55</f>
        <v>0</v>
      </c>
      <c r="AB55" s="41"/>
      <c r="AC55" s="134"/>
      <c r="AD55" s="134"/>
      <c r="AF55" s="76"/>
      <c r="AG55" s="41"/>
      <c r="AH55" s="19">
        <v>0</v>
      </c>
      <c r="AI55" s="19">
        <v>0</v>
      </c>
      <c r="AJ55" s="19">
        <v>0</v>
      </c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17"/>
      <c r="AY55" s="117"/>
      <c r="AZ55" s="117"/>
      <c r="BA55" s="19"/>
      <c r="BB55" s="19"/>
      <c r="BC55" s="117"/>
      <c r="BD55" s="19"/>
    </row>
    <row r="56" spans="1:56" x14ac:dyDescent="0.3">
      <c r="A56" s="25" t="s">
        <v>453</v>
      </c>
      <c r="B56" s="6">
        <v>200</v>
      </c>
      <c r="C56" s="66">
        <v>175.22</v>
      </c>
      <c r="D56" s="234"/>
      <c r="E56" s="1"/>
      <c r="F56" s="39">
        <v>0</v>
      </c>
      <c r="G56" s="39">
        <v>0</v>
      </c>
      <c r="H56" s="39">
        <v>0</v>
      </c>
      <c r="I56" s="39">
        <v>0</v>
      </c>
      <c r="J56" s="39">
        <v>0</v>
      </c>
      <c r="K56" s="39">
        <v>0</v>
      </c>
      <c r="L56" s="39">
        <v>0</v>
      </c>
      <c r="M56" s="39">
        <v>0</v>
      </c>
      <c r="N56" s="39">
        <v>0</v>
      </c>
      <c r="O56" s="39">
        <v>0</v>
      </c>
      <c r="P56" s="39">
        <v>0</v>
      </c>
      <c r="Q56" s="39">
        <v>0</v>
      </c>
      <c r="R56" s="39">
        <v>0</v>
      </c>
      <c r="S56" s="39">
        <v>0</v>
      </c>
      <c r="T56" s="39">
        <v>0</v>
      </c>
      <c r="U56" s="39">
        <v>0</v>
      </c>
      <c r="V56" s="39">
        <v>0</v>
      </c>
      <c r="W56" s="39">
        <v>0</v>
      </c>
      <c r="X56" s="39">
        <v>0</v>
      </c>
      <c r="Y56" s="39">
        <v>0</v>
      </c>
      <c r="Z56" s="39">
        <v>0</v>
      </c>
      <c r="AA56" s="26">
        <f t="shared" ca="1" si="2"/>
        <v>0</v>
      </c>
      <c r="AB56" s="41"/>
      <c r="AC56" s="134"/>
      <c r="AD56" s="134"/>
      <c r="AF56" s="76"/>
      <c r="AG56" s="41"/>
      <c r="AH56" s="19">
        <v>0</v>
      </c>
      <c r="AI56" s="19">
        <v>0</v>
      </c>
      <c r="AJ56" s="19">
        <v>0</v>
      </c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17"/>
      <c r="AY56" s="117"/>
      <c r="AZ56" s="117"/>
      <c r="BA56" s="19"/>
      <c r="BB56" s="19"/>
      <c r="BC56" s="117"/>
      <c r="BD56" s="19"/>
    </row>
    <row r="57" spans="1:56" x14ac:dyDescent="0.3">
      <c r="A57" s="25" t="s">
        <v>454</v>
      </c>
      <c r="B57" s="6">
        <v>200</v>
      </c>
      <c r="C57" s="66">
        <v>230.34</v>
      </c>
      <c r="D57" s="234"/>
      <c r="E57" s="1"/>
      <c r="F57" s="39">
        <v>0</v>
      </c>
      <c r="G57" s="39">
        <v>0</v>
      </c>
      <c r="H57" s="39">
        <v>0</v>
      </c>
      <c r="I57" s="39">
        <v>0</v>
      </c>
      <c r="J57" s="39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26">
        <f t="shared" ca="1" si="2"/>
        <v>0</v>
      </c>
      <c r="AB57" s="41"/>
      <c r="AC57" s="134"/>
      <c r="AD57" s="134"/>
      <c r="AF57" s="76"/>
      <c r="AG57" s="41"/>
      <c r="AH57" s="19">
        <v>0</v>
      </c>
      <c r="AI57" s="19">
        <v>0</v>
      </c>
      <c r="AJ57" s="19">
        <v>0</v>
      </c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17"/>
      <c r="AY57" s="117"/>
      <c r="AZ57" s="117"/>
      <c r="BA57" s="19"/>
      <c r="BB57" s="19"/>
      <c r="BC57" s="117"/>
      <c r="BD57" s="19"/>
    </row>
    <row r="58" spans="1:56" x14ac:dyDescent="0.3">
      <c r="A58" s="95" t="s">
        <v>516</v>
      </c>
      <c r="B58" s="72">
        <v>100</v>
      </c>
      <c r="C58" s="77">
        <v>22.98</v>
      </c>
      <c r="D58" s="234"/>
      <c r="F58" s="39">
        <v>0</v>
      </c>
      <c r="G58" s="39">
        <v>0</v>
      </c>
      <c r="H58" s="39">
        <v>0</v>
      </c>
      <c r="I58" s="39">
        <v>0</v>
      </c>
      <c r="J58" s="39">
        <v>0</v>
      </c>
      <c r="K58" s="39">
        <v>0</v>
      </c>
      <c r="L58" s="39">
        <v>0</v>
      </c>
      <c r="M58" s="39">
        <v>0</v>
      </c>
      <c r="N58" s="39">
        <v>0</v>
      </c>
      <c r="O58" s="39">
        <v>0</v>
      </c>
      <c r="P58" s="39">
        <v>0</v>
      </c>
      <c r="Q58" s="39">
        <v>0</v>
      </c>
      <c r="R58" s="39">
        <v>0</v>
      </c>
      <c r="S58" s="39">
        <v>0</v>
      </c>
      <c r="T58" s="39">
        <v>0</v>
      </c>
      <c r="U58" s="39">
        <v>0</v>
      </c>
      <c r="V58" s="39">
        <v>0</v>
      </c>
      <c r="W58" s="39">
        <v>0</v>
      </c>
      <c r="X58" s="39">
        <v>0</v>
      </c>
      <c r="Y58" s="39">
        <v>0</v>
      </c>
      <c r="Z58" s="39">
        <v>0</v>
      </c>
      <c r="AA58" s="26">
        <f t="shared" ca="1" si="2"/>
        <v>0</v>
      </c>
      <c r="AC58" s="134"/>
      <c r="AD58" s="134"/>
      <c r="AE58" s="1"/>
      <c r="AF58" s="32"/>
      <c r="AG58" s="41"/>
      <c r="AH58" s="19">
        <v>0</v>
      </c>
      <c r="AI58" s="19">
        <v>0</v>
      </c>
      <c r="AJ58" s="19">
        <v>0</v>
      </c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17"/>
      <c r="AY58" s="117"/>
      <c r="AZ58" s="117"/>
      <c r="BA58" s="19"/>
      <c r="BB58" s="19"/>
      <c r="BC58" s="117"/>
      <c r="BD58" s="19"/>
    </row>
    <row r="59" spans="1:56" x14ac:dyDescent="0.3">
      <c r="A59" s="25" t="s">
        <v>517</v>
      </c>
      <c r="B59" s="6">
        <v>1000</v>
      </c>
      <c r="C59" s="66">
        <v>7.75</v>
      </c>
      <c r="D59" s="234"/>
      <c r="E59" s="1"/>
      <c r="F59" s="39">
        <v>0</v>
      </c>
      <c r="G59" s="39">
        <v>0</v>
      </c>
      <c r="H59" s="39">
        <v>0</v>
      </c>
      <c r="I59" s="39">
        <v>0</v>
      </c>
      <c r="J59" s="39">
        <v>0</v>
      </c>
      <c r="K59" s="39">
        <v>0</v>
      </c>
      <c r="L59" s="39">
        <v>0</v>
      </c>
      <c r="M59" s="39">
        <v>0</v>
      </c>
      <c r="N59" s="39">
        <v>0</v>
      </c>
      <c r="O59" s="39">
        <v>0</v>
      </c>
      <c r="P59" s="39">
        <v>0</v>
      </c>
      <c r="Q59" s="39">
        <v>0</v>
      </c>
      <c r="R59" s="39">
        <v>0</v>
      </c>
      <c r="S59" s="39">
        <v>0</v>
      </c>
      <c r="T59" s="39">
        <v>0</v>
      </c>
      <c r="U59" s="39">
        <v>0</v>
      </c>
      <c r="V59" s="39">
        <v>0</v>
      </c>
      <c r="W59" s="39">
        <v>0</v>
      </c>
      <c r="X59" s="39">
        <v>0</v>
      </c>
      <c r="Y59" s="39">
        <v>0</v>
      </c>
      <c r="Z59" s="39">
        <v>0</v>
      </c>
      <c r="AA59" s="26">
        <f t="shared" ca="1" si="2"/>
        <v>0</v>
      </c>
      <c r="AB59" s="41"/>
      <c r="AC59" s="134"/>
      <c r="AD59" s="134"/>
      <c r="AF59" s="76"/>
      <c r="AG59" s="41"/>
      <c r="AH59" s="19">
        <v>0</v>
      </c>
      <c r="AI59" s="19">
        <v>0</v>
      </c>
      <c r="AJ59" s="19">
        <v>0</v>
      </c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17"/>
      <c r="AY59" s="117"/>
      <c r="AZ59" s="117"/>
      <c r="BA59" s="19"/>
      <c r="BB59" s="19"/>
      <c r="BC59" s="117"/>
      <c r="BD59" s="19"/>
    </row>
    <row r="60" spans="1:56" x14ac:dyDescent="0.3">
      <c r="A60" s="25" t="s">
        <v>518</v>
      </c>
      <c r="B60" s="6">
        <v>300</v>
      </c>
      <c r="C60" s="66">
        <v>53.97</v>
      </c>
      <c r="D60" s="234"/>
      <c r="E60" s="1"/>
      <c r="F60" s="39">
        <v>0</v>
      </c>
      <c r="G60" s="39">
        <v>0</v>
      </c>
      <c r="H60" s="39">
        <v>0</v>
      </c>
      <c r="I60" s="39">
        <v>0</v>
      </c>
      <c r="J60" s="39">
        <v>0</v>
      </c>
      <c r="K60" s="39">
        <v>0</v>
      </c>
      <c r="L60" s="39">
        <v>0</v>
      </c>
      <c r="M60" s="39">
        <v>0</v>
      </c>
      <c r="N60" s="39">
        <v>0</v>
      </c>
      <c r="O60" s="39">
        <v>0</v>
      </c>
      <c r="P60" s="39">
        <v>0</v>
      </c>
      <c r="Q60" s="39">
        <v>0</v>
      </c>
      <c r="R60" s="39">
        <v>0</v>
      </c>
      <c r="S60" s="39">
        <v>0</v>
      </c>
      <c r="T60" s="39">
        <v>0</v>
      </c>
      <c r="U60" s="39">
        <v>0</v>
      </c>
      <c r="V60" s="39">
        <v>0</v>
      </c>
      <c r="W60" s="39">
        <v>0</v>
      </c>
      <c r="X60" s="39">
        <v>0</v>
      </c>
      <c r="Y60" s="39">
        <v>0</v>
      </c>
      <c r="Z60" s="39">
        <v>0</v>
      </c>
      <c r="AA60" s="26">
        <f t="shared" ca="1" si="2"/>
        <v>0</v>
      </c>
      <c r="AB60" s="41"/>
      <c r="AC60" s="134"/>
      <c r="AD60" s="134"/>
      <c r="AF60" s="76"/>
      <c r="AG60" s="41"/>
      <c r="AH60" s="19">
        <v>0</v>
      </c>
      <c r="AI60" s="19">
        <v>0</v>
      </c>
      <c r="AJ60" s="19">
        <v>0</v>
      </c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17"/>
      <c r="AY60" s="117"/>
      <c r="AZ60" s="117"/>
      <c r="BA60" s="19"/>
      <c r="BB60" s="19"/>
      <c r="BC60" s="117"/>
      <c r="BD60" s="19"/>
    </row>
    <row r="61" spans="1:56" x14ac:dyDescent="0.3">
      <c r="A61" s="25" t="s">
        <v>519</v>
      </c>
      <c r="B61" s="6">
        <v>3000</v>
      </c>
      <c r="C61" s="66">
        <v>213</v>
      </c>
      <c r="D61" s="234"/>
      <c r="E61" s="1"/>
      <c r="F61" s="39">
        <v>0</v>
      </c>
      <c r="G61" s="39">
        <v>0</v>
      </c>
      <c r="H61" s="39">
        <v>0</v>
      </c>
      <c r="I61" s="39">
        <v>0</v>
      </c>
      <c r="J61" s="39">
        <v>0</v>
      </c>
      <c r="K61" s="39">
        <v>0</v>
      </c>
      <c r="L61" s="39">
        <v>0</v>
      </c>
      <c r="M61" s="39">
        <v>0</v>
      </c>
      <c r="N61" s="39">
        <v>0</v>
      </c>
      <c r="O61" s="39">
        <v>0</v>
      </c>
      <c r="P61" s="39">
        <v>0</v>
      </c>
      <c r="Q61" s="39">
        <v>0</v>
      </c>
      <c r="R61" s="39">
        <v>0</v>
      </c>
      <c r="S61" s="39">
        <v>0</v>
      </c>
      <c r="T61" s="39">
        <v>0</v>
      </c>
      <c r="U61" s="39">
        <v>0</v>
      </c>
      <c r="V61" s="39">
        <v>0</v>
      </c>
      <c r="W61" s="39">
        <v>0</v>
      </c>
      <c r="X61" s="39">
        <v>0</v>
      </c>
      <c r="Y61" s="39">
        <v>0</v>
      </c>
      <c r="Z61" s="39">
        <v>0</v>
      </c>
      <c r="AA61" s="26">
        <f t="shared" ca="1" si="2"/>
        <v>0</v>
      </c>
      <c r="AB61" s="41"/>
      <c r="AC61" s="134"/>
      <c r="AD61" s="134"/>
      <c r="AF61" s="76"/>
      <c r="AG61" s="41"/>
      <c r="AH61" s="19">
        <v>0</v>
      </c>
      <c r="AI61" s="19">
        <v>0</v>
      </c>
      <c r="AJ61" s="19">
        <v>0</v>
      </c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17"/>
      <c r="AY61" s="117"/>
      <c r="AZ61" s="117"/>
      <c r="BA61" s="19"/>
      <c r="BB61" s="19"/>
      <c r="BC61" s="117"/>
      <c r="BD61" s="19"/>
    </row>
    <row r="62" spans="1:56" x14ac:dyDescent="0.3">
      <c r="A62" s="25" t="s">
        <v>455</v>
      </c>
      <c r="B62" s="6">
        <v>150</v>
      </c>
      <c r="C62" s="66">
        <v>306</v>
      </c>
      <c r="D62" s="234"/>
      <c r="E62" s="1"/>
      <c r="F62" s="39">
        <v>20</v>
      </c>
      <c r="G62" s="39">
        <v>19</v>
      </c>
      <c r="H62" s="39">
        <v>19</v>
      </c>
      <c r="I62" s="39">
        <v>19</v>
      </c>
      <c r="J62" s="39">
        <v>19</v>
      </c>
      <c r="K62" s="39">
        <v>19</v>
      </c>
      <c r="L62" s="39">
        <v>19</v>
      </c>
      <c r="M62" s="39">
        <v>19</v>
      </c>
      <c r="N62" s="39">
        <v>19</v>
      </c>
      <c r="O62" s="39">
        <v>19</v>
      </c>
      <c r="P62" s="39">
        <v>19</v>
      </c>
      <c r="Q62" s="39">
        <v>19</v>
      </c>
      <c r="R62" s="39">
        <v>19</v>
      </c>
      <c r="S62" s="39">
        <v>19</v>
      </c>
      <c r="T62" s="39">
        <v>19</v>
      </c>
      <c r="U62" s="39">
        <v>18</v>
      </c>
      <c r="V62" s="39"/>
      <c r="W62" s="39"/>
      <c r="X62" s="39"/>
      <c r="Y62" s="39"/>
      <c r="Z62" s="39"/>
      <c r="AA62" s="26">
        <f t="shared" ca="1" si="2"/>
        <v>0</v>
      </c>
      <c r="AB62" s="41"/>
      <c r="AC62" s="134"/>
      <c r="AD62" s="134"/>
      <c r="AF62" s="76"/>
      <c r="AG62" s="41"/>
      <c r="AH62" s="19">
        <v>0</v>
      </c>
      <c r="AI62" s="19">
        <v>0</v>
      </c>
      <c r="AJ62" s="19">
        <v>0</v>
      </c>
      <c r="AK62" s="159"/>
      <c r="AL62" s="159"/>
      <c r="AM62" s="159"/>
      <c r="AN62" s="159"/>
      <c r="AO62" s="159"/>
      <c r="AP62" s="159"/>
      <c r="AQ62" s="159"/>
      <c r="AR62" s="159"/>
      <c r="AS62" s="159"/>
      <c r="AT62" s="159"/>
      <c r="AU62" s="159"/>
      <c r="AV62" s="159"/>
      <c r="AW62" s="159"/>
      <c r="AX62" s="159"/>
      <c r="AY62" s="159"/>
      <c r="AZ62" s="159"/>
      <c r="BA62" s="159"/>
      <c r="BB62" s="159"/>
      <c r="BC62" s="255" t="s">
        <v>520</v>
      </c>
      <c r="BD62" s="159"/>
    </row>
    <row r="63" spans="1:56" x14ac:dyDescent="0.3">
      <c r="A63" s="25" t="s">
        <v>456</v>
      </c>
      <c r="B63" s="6">
        <v>75</v>
      </c>
      <c r="C63" s="66">
        <v>216.38</v>
      </c>
      <c r="D63" s="234"/>
      <c r="E63" s="1"/>
      <c r="F63" s="39">
        <v>10</v>
      </c>
      <c r="G63" s="39">
        <v>9</v>
      </c>
      <c r="H63" s="39">
        <v>9</v>
      </c>
      <c r="I63" s="39">
        <v>9</v>
      </c>
      <c r="J63" s="39">
        <v>9</v>
      </c>
      <c r="K63" s="39">
        <v>9</v>
      </c>
      <c r="L63" s="39">
        <v>9</v>
      </c>
      <c r="M63" s="39">
        <v>9</v>
      </c>
      <c r="N63" s="39">
        <v>9</v>
      </c>
      <c r="O63" s="39">
        <v>9</v>
      </c>
      <c r="P63" s="39">
        <v>9</v>
      </c>
      <c r="Q63" s="39">
        <v>9</v>
      </c>
      <c r="R63" s="39">
        <v>9</v>
      </c>
      <c r="S63" s="39">
        <v>9</v>
      </c>
      <c r="T63" s="39">
        <v>9</v>
      </c>
      <c r="U63" s="39">
        <v>9</v>
      </c>
      <c r="V63" s="39"/>
      <c r="W63" s="39"/>
      <c r="X63" s="39"/>
      <c r="Y63" s="39"/>
      <c r="Z63" s="39"/>
      <c r="AA63" s="26">
        <f t="shared" ca="1" si="2"/>
        <v>0</v>
      </c>
      <c r="AB63" s="41"/>
      <c r="AC63" s="134"/>
      <c r="AD63" s="134"/>
      <c r="AF63" s="76"/>
      <c r="AG63" s="41"/>
      <c r="AH63" s="19">
        <v>0</v>
      </c>
      <c r="AI63" s="19">
        <v>0</v>
      </c>
      <c r="AJ63" s="19">
        <v>0</v>
      </c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17"/>
      <c r="AY63" s="117"/>
      <c r="AZ63" s="117"/>
      <c r="BA63" s="19"/>
      <c r="BB63" s="19"/>
      <c r="BC63" s="253" t="s">
        <v>502</v>
      </c>
      <c r="BD63" s="19"/>
    </row>
    <row r="64" spans="1:56" x14ac:dyDescent="0.3">
      <c r="A64" s="25" t="s">
        <v>457</v>
      </c>
      <c r="B64" s="6">
        <v>100</v>
      </c>
      <c r="C64" s="66">
        <v>306</v>
      </c>
      <c r="D64" s="234"/>
      <c r="E64" s="1"/>
      <c r="F64" s="39">
        <v>5</v>
      </c>
      <c r="G64" s="39">
        <v>5</v>
      </c>
      <c r="H64" s="39">
        <v>5</v>
      </c>
      <c r="I64" s="39">
        <v>5</v>
      </c>
      <c r="J64" s="39">
        <v>5</v>
      </c>
      <c r="K64" s="39">
        <v>5</v>
      </c>
      <c r="L64" s="39">
        <v>5</v>
      </c>
      <c r="M64" s="39">
        <v>5</v>
      </c>
      <c r="N64" s="39">
        <v>5</v>
      </c>
      <c r="O64" s="39">
        <v>5</v>
      </c>
      <c r="P64" s="39">
        <v>5</v>
      </c>
      <c r="Q64" s="39">
        <v>5</v>
      </c>
      <c r="R64" s="39">
        <v>5</v>
      </c>
      <c r="S64" s="39">
        <v>3</v>
      </c>
      <c r="T64" s="39">
        <v>2</v>
      </c>
      <c r="U64" s="39">
        <v>2</v>
      </c>
      <c r="V64" s="39"/>
      <c r="W64" s="39"/>
      <c r="X64" s="39"/>
      <c r="Y64" s="39"/>
      <c r="Z64" s="39"/>
      <c r="AA64" s="26">
        <f t="shared" ca="1" si="2"/>
        <v>0</v>
      </c>
      <c r="AB64" s="41"/>
      <c r="AC64" s="134"/>
      <c r="AD64" s="134"/>
      <c r="AF64" s="76"/>
      <c r="AG64" s="41"/>
      <c r="AH64" s="19">
        <v>0</v>
      </c>
      <c r="AI64" s="19">
        <v>0</v>
      </c>
      <c r="AJ64" s="19">
        <v>0</v>
      </c>
      <c r="AK64" s="159"/>
      <c r="AL64" s="159"/>
      <c r="AM64" s="159"/>
      <c r="AN64" s="159"/>
      <c r="AO64" s="159"/>
      <c r="AP64" s="159"/>
      <c r="AQ64" s="159"/>
      <c r="AR64" s="159"/>
      <c r="AS64" s="159"/>
      <c r="AT64" s="159"/>
      <c r="AU64" s="159"/>
      <c r="AV64" s="159"/>
      <c r="AW64" s="159"/>
      <c r="AX64" s="159"/>
      <c r="AY64" s="159"/>
      <c r="AZ64" s="159"/>
      <c r="BA64" s="159"/>
      <c r="BB64" s="159"/>
      <c r="BC64" s="255" t="s">
        <v>521</v>
      </c>
      <c r="BD64" s="159"/>
    </row>
    <row r="65" spans="1:56" x14ac:dyDescent="0.3">
      <c r="B65" s="41"/>
      <c r="C65" s="120"/>
      <c r="D65" s="120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C65" s="75"/>
      <c r="AE65" s="1"/>
      <c r="AF65" s="15"/>
      <c r="AG65" s="41"/>
      <c r="AH65" s="75"/>
      <c r="AI65" s="75"/>
      <c r="AJ65" s="75"/>
      <c r="AK65" s="75"/>
      <c r="AL65" s="75"/>
      <c r="AM65" s="75"/>
      <c r="AN65" s="75"/>
      <c r="AO65" s="75"/>
      <c r="AP65" s="75"/>
      <c r="AQ65" s="75"/>
      <c r="AR65" s="75"/>
      <c r="AS65" s="75"/>
      <c r="AT65" s="75"/>
      <c r="AU65" s="75"/>
      <c r="AV65" s="75"/>
      <c r="AW65" s="75"/>
      <c r="AX65" s="201"/>
      <c r="AY65" s="201"/>
      <c r="AZ65" s="201"/>
      <c r="BA65" s="75"/>
      <c r="BB65" s="75"/>
      <c r="BC65" s="201"/>
      <c r="BD65" s="75"/>
    </row>
    <row r="66" spans="1:56" x14ac:dyDescent="0.3">
      <c r="A66" s="215" t="s">
        <v>458</v>
      </c>
      <c r="B66" s="216"/>
      <c r="C66" s="216"/>
      <c r="D66" s="216"/>
      <c r="F66" s="13">
        <v>46006</v>
      </c>
      <c r="G66" s="13">
        <v>46013</v>
      </c>
      <c r="H66" s="13">
        <v>46020</v>
      </c>
      <c r="I66" s="13">
        <v>46027</v>
      </c>
      <c r="J66" s="13">
        <v>46034</v>
      </c>
      <c r="K66" s="13">
        <v>46041</v>
      </c>
      <c r="L66" s="13">
        <v>46048</v>
      </c>
      <c r="M66" s="13">
        <v>46055</v>
      </c>
      <c r="N66" s="13">
        <v>46062</v>
      </c>
      <c r="O66" s="13">
        <v>46069</v>
      </c>
      <c r="P66" s="13">
        <v>46076</v>
      </c>
      <c r="Q66" s="13">
        <v>46083</v>
      </c>
      <c r="R66" s="13">
        <v>46090</v>
      </c>
      <c r="S66" s="13">
        <v>46097</v>
      </c>
      <c r="T66" s="13">
        <v>46104</v>
      </c>
      <c r="U66" s="13">
        <v>46111</v>
      </c>
      <c r="V66" s="13">
        <v>46118</v>
      </c>
      <c r="W66" s="13">
        <v>46125</v>
      </c>
      <c r="X66" s="13">
        <v>46132</v>
      </c>
      <c r="Y66" s="13">
        <v>46139</v>
      </c>
      <c r="Z66" s="13">
        <v>46146</v>
      </c>
      <c r="AA66" s="35" t="s">
        <v>129</v>
      </c>
      <c r="AC66" s="29" t="s">
        <v>126</v>
      </c>
      <c r="AD66" s="29" t="s">
        <v>126</v>
      </c>
      <c r="AE66" s="1"/>
      <c r="AF66" s="9" t="s">
        <v>127</v>
      </c>
      <c r="AG66" s="41"/>
      <c r="AH66" s="17">
        <v>46149</v>
      </c>
      <c r="AI66" s="17">
        <v>46142</v>
      </c>
      <c r="AJ66" s="17">
        <v>46114</v>
      </c>
      <c r="AK66" s="17">
        <v>46099</v>
      </c>
      <c r="AL66" s="294">
        <v>46065</v>
      </c>
      <c r="AM66" s="17">
        <v>46077</v>
      </c>
      <c r="AN66" s="292">
        <v>46045</v>
      </c>
      <c r="AO66" s="17">
        <v>46056</v>
      </c>
      <c r="AP66" s="17">
        <v>46017</v>
      </c>
      <c r="AQ66" s="17">
        <v>46007</v>
      </c>
      <c r="AR66" s="17">
        <v>46001</v>
      </c>
      <c r="AS66" s="17">
        <v>45994</v>
      </c>
      <c r="AT66" s="17">
        <v>45986</v>
      </c>
      <c r="AU66" s="17">
        <v>45980</v>
      </c>
      <c r="AV66" s="17">
        <v>45980</v>
      </c>
      <c r="AW66" s="17">
        <v>45973</v>
      </c>
      <c r="AX66" s="207">
        <v>45982</v>
      </c>
      <c r="AY66" s="207">
        <v>45979</v>
      </c>
      <c r="AZ66" s="269">
        <v>45974</v>
      </c>
      <c r="BA66" s="269">
        <v>45972</v>
      </c>
      <c r="BB66" s="258">
        <v>45968</v>
      </c>
      <c r="BC66" s="207">
        <v>45967</v>
      </c>
      <c r="BD66" s="274">
        <v>45964</v>
      </c>
    </row>
    <row r="67" spans="1:56" x14ac:dyDescent="0.3">
      <c r="A67" s="25" t="s">
        <v>459</v>
      </c>
      <c r="B67" s="6">
        <v>200</v>
      </c>
      <c r="C67" s="66">
        <v>183.24</v>
      </c>
      <c r="D67" s="234"/>
      <c r="F67" s="39">
        <v>821</v>
      </c>
      <c r="G67" s="39">
        <v>1221</v>
      </c>
      <c r="H67" s="39">
        <v>1808</v>
      </c>
      <c r="I67" s="39">
        <v>1808</v>
      </c>
      <c r="J67" s="39">
        <v>1278</v>
      </c>
      <c r="K67" s="39">
        <v>1346</v>
      </c>
      <c r="L67" s="39">
        <v>1208</v>
      </c>
      <c r="M67" s="39">
        <v>1144</v>
      </c>
      <c r="N67" s="39">
        <v>1088</v>
      </c>
      <c r="O67" s="39">
        <v>1020</v>
      </c>
      <c r="P67" s="39">
        <v>1007</v>
      </c>
      <c r="Q67" s="39">
        <v>940</v>
      </c>
      <c r="R67" s="39">
        <v>823</v>
      </c>
      <c r="S67" s="39">
        <v>740</v>
      </c>
      <c r="T67" s="39">
        <v>655</v>
      </c>
      <c r="U67" s="39">
        <v>541</v>
      </c>
      <c r="V67" s="39">
        <v>490</v>
      </c>
      <c r="W67" s="39">
        <v>400</v>
      </c>
      <c r="X67" s="39">
        <v>288</v>
      </c>
      <c r="Y67" s="39">
        <v>252</v>
      </c>
      <c r="Z67" s="39">
        <v>0</v>
      </c>
      <c r="AA67" s="26">
        <f t="shared" ref="AA67:AA78" ca="1" si="3">Y67+IF(NOT(ISBLANK(OFFSET(AA67,0,6))),N(OFFSET(AA67,0,6)),N(OFFSET(AA67,0,7)))-Z67</f>
        <v>252</v>
      </c>
      <c r="AC67" s="134"/>
      <c r="AD67" s="134">
        <v>400</v>
      </c>
      <c r="AE67" s="1"/>
      <c r="AF67" s="76"/>
      <c r="AG67" s="41"/>
      <c r="AH67" s="19">
        <v>0</v>
      </c>
      <c r="AI67" s="19">
        <v>0</v>
      </c>
      <c r="AJ67" s="19">
        <v>0</v>
      </c>
      <c r="AK67" s="19"/>
      <c r="AL67" s="19"/>
      <c r="AM67" s="19"/>
      <c r="AN67" s="19"/>
      <c r="AO67" s="19"/>
      <c r="AP67" s="19"/>
      <c r="AQ67" s="19"/>
      <c r="AR67" s="19">
        <v>400</v>
      </c>
      <c r="AS67" s="19">
        <v>400</v>
      </c>
      <c r="AT67" s="19">
        <v>200</v>
      </c>
      <c r="AU67" s="19">
        <v>400</v>
      </c>
      <c r="AV67" s="19"/>
      <c r="AW67" s="19"/>
      <c r="AX67" s="117"/>
      <c r="AY67" s="117"/>
      <c r="AZ67" s="117"/>
      <c r="BA67" s="19"/>
      <c r="BB67" s="19"/>
      <c r="BC67" s="117"/>
      <c r="BD67" s="19"/>
    </row>
    <row r="68" spans="1:56" x14ac:dyDescent="0.3">
      <c r="A68" s="25" t="s">
        <v>461</v>
      </c>
      <c r="B68" s="6">
        <v>200</v>
      </c>
      <c r="C68" s="66">
        <v>240.83</v>
      </c>
      <c r="D68" s="234"/>
      <c r="F68" s="39">
        <v>295</v>
      </c>
      <c r="G68" s="39">
        <v>502</v>
      </c>
      <c r="H68" s="39">
        <v>635</v>
      </c>
      <c r="I68" s="39">
        <f>628+AP68</f>
        <v>828</v>
      </c>
      <c r="J68" s="39">
        <v>804</v>
      </c>
      <c r="K68" s="39">
        <v>800</v>
      </c>
      <c r="L68" s="39">
        <v>800</v>
      </c>
      <c r="M68" s="39">
        <v>760</v>
      </c>
      <c r="N68" s="39">
        <v>915</v>
      </c>
      <c r="O68" s="39">
        <v>680</v>
      </c>
      <c r="P68" s="39">
        <v>619</v>
      </c>
      <c r="Q68" s="39">
        <v>619</v>
      </c>
      <c r="R68" s="39">
        <v>486</v>
      </c>
      <c r="S68" s="39">
        <v>414</v>
      </c>
      <c r="T68" s="39">
        <f>351+AK68</f>
        <v>751</v>
      </c>
      <c r="U68" s="39">
        <v>734</v>
      </c>
      <c r="V68" s="39">
        <v>701</v>
      </c>
      <c r="W68" s="39">
        <v>600</v>
      </c>
      <c r="X68" s="39">
        <v>380</v>
      </c>
      <c r="Y68" s="39">
        <v>320</v>
      </c>
      <c r="Z68" s="39">
        <v>200</v>
      </c>
      <c r="AA68" s="26">
        <f t="shared" ca="1" si="3"/>
        <v>120</v>
      </c>
      <c r="AC68" s="134"/>
      <c r="AD68" s="134"/>
      <c r="AE68" s="1"/>
      <c r="AF68" s="76"/>
      <c r="AG68" s="41"/>
      <c r="AH68" s="19">
        <v>0</v>
      </c>
      <c r="AI68" s="19">
        <v>0</v>
      </c>
      <c r="AJ68" s="19">
        <v>0</v>
      </c>
      <c r="AK68" s="19">
        <v>400</v>
      </c>
      <c r="AL68" s="19"/>
      <c r="AM68" s="19"/>
      <c r="AN68" s="19"/>
      <c r="AO68" s="19"/>
      <c r="AP68" s="19">
        <v>200</v>
      </c>
      <c r="AQ68" s="19">
        <v>200</v>
      </c>
      <c r="AR68" s="19">
        <v>200</v>
      </c>
      <c r="AS68" s="19"/>
      <c r="AT68" s="19">
        <v>200</v>
      </c>
      <c r="AU68" s="19"/>
      <c r="AV68" s="19">
        <v>200</v>
      </c>
      <c r="AW68" s="19"/>
      <c r="AX68" s="117"/>
      <c r="AY68" s="117"/>
      <c r="AZ68" s="117"/>
      <c r="BA68" s="19"/>
      <c r="BB68" s="19"/>
      <c r="BC68" s="117"/>
      <c r="BD68" s="19"/>
    </row>
    <row r="69" spans="1:56" x14ac:dyDescent="0.3">
      <c r="A69" s="25" t="s">
        <v>462</v>
      </c>
      <c r="B69" s="6">
        <v>100</v>
      </c>
      <c r="C69" s="66">
        <v>175.13</v>
      </c>
      <c r="D69" s="234"/>
      <c r="F69" s="39">
        <v>81</v>
      </c>
      <c r="G69" s="39">
        <v>81</v>
      </c>
      <c r="H69" s="39">
        <v>4</v>
      </c>
      <c r="I69" s="39">
        <v>204</v>
      </c>
      <c r="J69" s="39">
        <v>200</v>
      </c>
      <c r="K69" s="39">
        <v>200</v>
      </c>
      <c r="L69" s="39">
        <v>200</v>
      </c>
      <c r="M69" s="39">
        <v>483</v>
      </c>
      <c r="N69" s="39">
        <v>302</v>
      </c>
      <c r="O69" s="39">
        <v>263</v>
      </c>
      <c r="P69" s="39">
        <v>216</v>
      </c>
      <c r="Q69" s="39">
        <v>204</v>
      </c>
      <c r="R69" s="39">
        <v>162</v>
      </c>
      <c r="S69" s="39">
        <v>141</v>
      </c>
      <c r="T69" s="39">
        <v>103</v>
      </c>
      <c r="U69" s="39">
        <v>69</v>
      </c>
      <c r="V69" s="39">
        <v>152</v>
      </c>
      <c r="W69" s="39">
        <v>110</v>
      </c>
      <c r="X69" s="39">
        <v>0</v>
      </c>
      <c r="Y69" s="39">
        <v>0</v>
      </c>
      <c r="Z69" s="39">
        <v>0</v>
      </c>
      <c r="AA69" s="26">
        <f t="shared" ca="1" si="3"/>
        <v>0</v>
      </c>
      <c r="AC69" s="134"/>
      <c r="AD69" s="134"/>
      <c r="AE69" s="1"/>
      <c r="AF69" s="76"/>
      <c r="AG69" s="41"/>
      <c r="AH69" s="19">
        <v>0</v>
      </c>
      <c r="AI69" s="19">
        <v>0</v>
      </c>
      <c r="AJ69" s="19">
        <v>0</v>
      </c>
      <c r="AK69" s="19"/>
      <c r="AL69" s="19"/>
      <c r="AM69" s="19"/>
      <c r="AN69" s="19"/>
      <c r="AO69" s="19"/>
      <c r="AP69" s="19">
        <v>200</v>
      </c>
      <c r="AQ69" s="19">
        <v>100</v>
      </c>
      <c r="AR69" s="19">
        <v>100</v>
      </c>
      <c r="AS69" s="19">
        <v>100</v>
      </c>
      <c r="AT69" s="19"/>
      <c r="AU69" s="19"/>
      <c r="AV69" s="19">
        <v>100</v>
      </c>
      <c r="AW69" s="19"/>
      <c r="AX69" s="117"/>
      <c r="AY69" s="117"/>
      <c r="AZ69" s="117"/>
      <c r="BA69" s="19"/>
      <c r="BB69" s="19"/>
      <c r="BC69" s="253" t="s">
        <v>501</v>
      </c>
      <c r="BD69" s="19"/>
    </row>
    <row r="70" spans="1:56" x14ac:dyDescent="0.3">
      <c r="A70" s="95" t="s">
        <v>522</v>
      </c>
      <c r="B70" s="217">
        <v>200</v>
      </c>
      <c r="C70" s="218">
        <v>29.77</v>
      </c>
      <c r="D70" s="234"/>
      <c r="F70" s="39">
        <v>1</v>
      </c>
      <c r="G70" s="39">
        <v>1</v>
      </c>
      <c r="H70" s="39">
        <v>3</v>
      </c>
      <c r="I70" s="39">
        <v>3</v>
      </c>
      <c r="J70" s="39">
        <v>3</v>
      </c>
      <c r="K70" s="39">
        <v>3</v>
      </c>
      <c r="L70" s="39">
        <v>3</v>
      </c>
      <c r="M70" s="39">
        <v>3</v>
      </c>
      <c r="N70" s="39">
        <v>3</v>
      </c>
      <c r="O70" s="39">
        <v>3</v>
      </c>
      <c r="P70" s="39">
        <v>3</v>
      </c>
      <c r="Q70" s="39">
        <v>3</v>
      </c>
      <c r="R70" s="39">
        <v>3</v>
      </c>
      <c r="S70" s="39">
        <v>3</v>
      </c>
      <c r="T70" s="39">
        <v>3</v>
      </c>
      <c r="U70" s="39">
        <v>3</v>
      </c>
      <c r="V70" s="39">
        <v>3</v>
      </c>
      <c r="W70" s="39">
        <v>3</v>
      </c>
      <c r="X70" s="39">
        <v>3</v>
      </c>
      <c r="Y70" s="39">
        <v>3</v>
      </c>
      <c r="Z70" s="39">
        <v>3</v>
      </c>
      <c r="AA70" s="26">
        <f t="shared" ca="1" si="3"/>
        <v>0</v>
      </c>
      <c r="AC70" s="134"/>
      <c r="AD70" s="134"/>
      <c r="AE70" s="1"/>
      <c r="AF70" s="32"/>
      <c r="AG70" s="41"/>
      <c r="AH70" s="19">
        <v>0</v>
      </c>
      <c r="AI70" s="19">
        <v>0</v>
      </c>
      <c r="AJ70" s="19">
        <v>0</v>
      </c>
      <c r="AK70" s="19"/>
      <c r="AL70" s="19"/>
      <c r="AM70" s="19"/>
      <c r="AN70" s="19"/>
      <c r="AO70" s="19"/>
      <c r="AP70" s="19"/>
      <c r="AQ70" s="19"/>
      <c r="AR70" s="19">
        <v>1</v>
      </c>
      <c r="AS70" s="19"/>
      <c r="AT70" s="19"/>
      <c r="AU70" s="19"/>
      <c r="AV70" s="19">
        <v>2</v>
      </c>
      <c r="AW70" s="19"/>
      <c r="AX70" s="117"/>
      <c r="AY70" s="117"/>
      <c r="AZ70" s="117"/>
      <c r="BA70" s="19"/>
      <c r="BB70" s="19"/>
      <c r="BC70" s="117"/>
      <c r="BD70" s="19"/>
    </row>
    <row r="71" spans="1:56" x14ac:dyDescent="0.3">
      <c r="A71" s="95" t="s">
        <v>523</v>
      </c>
      <c r="B71" s="217">
        <v>1000</v>
      </c>
      <c r="C71" s="218">
        <v>70</v>
      </c>
      <c r="D71" s="234"/>
      <c r="F71" s="39">
        <v>1</v>
      </c>
      <c r="G71" s="39">
        <v>1</v>
      </c>
      <c r="H71" s="39">
        <v>2</v>
      </c>
      <c r="I71" s="39">
        <v>2</v>
      </c>
      <c r="J71" s="39">
        <v>2</v>
      </c>
      <c r="K71" s="39">
        <v>2</v>
      </c>
      <c r="L71" s="39">
        <v>2</v>
      </c>
      <c r="M71" s="39">
        <v>2</v>
      </c>
      <c r="N71" s="39">
        <v>2</v>
      </c>
      <c r="O71" s="39">
        <v>2</v>
      </c>
      <c r="P71" s="39">
        <v>2</v>
      </c>
      <c r="Q71" s="39">
        <v>2</v>
      </c>
      <c r="R71" s="39">
        <v>2</v>
      </c>
      <c r="S71" s="39">
        <v>2</v>
      </c>
      <c r="T71" s="39">
        <v>2</v>
      </c>
      <c r="U71" s="39">
        <v>2</v>
      </c>
      <c r="V71" s="39">
        <v>2</v>
      </c>
      <c r="W71" s="39">
        <v>2</v>
      </c>
      <c r="X71" s="39">
        <v>2</v>
      </c>
      <c r="Y71" s="39">
        <v>2</v>
      </c>
      <c r="Z71" s="39">
        <v>2</v>
      </c>
      <c r="AA71" s="26">
        <f t="shared" ca="1" si="3"/>
        <v>0</v>
      </c>
      <c r="AC71" s="134"/>
      <c r="AD71" s="134"/>
      <c r="AE71" s="1"/>
      <c r="AF71" s="76"/>
      <c r="AG71" s="41"/>
      <c r="AH71" s="19">
        <v>0</v>
      </c>
      <c r="AI71" s="19">
        <v>0</v>
      </c>
      <c r="AJ71" s="19">
        <v>0</v>
      </c>
      <c r="AK71" s="19"/>
      <c r="AL71" s="19"/>
      <c r="AM71" s="19"/>
      <c r="AN71" s="19"/>
      <c r="AO71" s="19"/>
      <c r="AP71" s="19"/>
      <c r="AQ71" s="19"/>
      <c r="AR71" s="19">
        <v>1</v>
      </c>
      <c r="AS71" s="19"/>
      <c r="AT71" s="19"/>
      <c r="AU71" s="19"/>
      <c r="AV71" s="19">
        <v>2</v>
      </c>
      <c r="AW71" s="19"/>
      <c r="AX71" s="117"/>
      <c r="AY71" s="117"/>
      <c r="AZ71" s="117"/>
      <c r="BA71" s="19"/>
      <c r="BB71" s="19"/>
      <c r="BC71" s="117"/>
      <c r="BD71" s="19"/>
    </row>
    <row r="72" spans="1:56" x14ac:dyDescent="0.3">
      <c r="A72" s="95" t="s">
        <v>524</v>
      </c>
      <c r="B72" s="219">
        <v>2000</v>
      </c>
      <c r="C72" s="218">
        <v>71</v>
      </c>
      <c r="D72" s="234"/>
      <c r="F72" s="39">
        <v>0</v>
      </c>
      <c r="G72" s="39">
        <v>0</v>
      </c>
      <c r="H72" s="39">
        <v>0</v>
      </c>
      <c r="I72" s="39">
        <v>0</v>
      </c>
      <c r="J72" s="39">
        <v>0</v>
      </c>
      <c r="K72" s="39">
        <v>0</v>
      </c>
      <c r="L72" s="39">
        <v>0</v>
      </c>
      <c r="M72" s="39">
        <v>0</v>
      </c>
      <c r="N72" s="39">
        <v>0</v>
      </c>
      <c r="O72" s="39">
        <v>0</v>
      </c>
      <c r="P72" s="39">
        <v>0</v>
      </c>
      <c r="Q72" s="39">
        <v>0</v>
      </c>
      <c r="R72" s="39">
        <v>0</v>
      </c>
      <c r="S72" s="39">
        <v>0</v>
      </c>
      <c r="T72" s="39">
        <v>0</v>
      </c>
      <c r="U72" s="39">
        <v>0</v>
      </c>
      <c r="V72" s="39">
        <v>0</v>
      </c>
      <c r="W72" s="39">
        <v>0</v>
      </c>
      <c r="X72" s="39">
        <v>0</v>
      </c>
      <c r="Y72" s="39">
        <v>0</v>
      </c>
      <c r="Z72" s="39">
        <v>0</v>
      </c>
      <c r="AA72" s="26">
        <f t="shared" ca="1" si="3"/>
        <v>0</v>
      </c>
      <c r="AC72" s="134"/>
      <c r="AD72" s="134"/>
      <c r="AE72" s="1"/>
      <c r="AF72" s="76"/>
      <c r="AG72" s="41"/>
      <c r="AH72" s="19">
        <v>0</v>
      </c>
      <c r="AI72" s="19">
        <v>0</v>
      </c>
      <c r="AJ72" s="19">
        <v>0</v>
      </c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17"/>
      <c r="AY72" s="117"/>
      <c r="AZ72" s="117"/>
      <c r="BA72" s="19"/>
      <c r="BB72" s="19"/>
      <c r="BC72" s="117"/>
      <c r="BD72" s="19"/>
    </row>
    <row r="73" spans="1:56" x14ac:dyDescent="0.3">
      <c r="A73" s="95" t="s">
        <v>464</v>
      </c>
      <c r="B73" s="217">
        <v>200</v>
      </c>
      <c r="C73" s="218">
        <v>184.13</v>
      </c>
      <c r="D73" s="234"/>
      <c r="F73" s="39">
        <v>1</v>
      </c>
      <c r="G73" s="39">
        <v>1</v>
      </c>
      <c r="H73" s="39">
        <v>1</v>
      </c>
      <c r="I73" s="39">
        <v>1</v>
      </c>
      <c r="J73" s="39">
        <v>1</v>
      </c>
      <c r="K73" s="39">
        <v>1</v>
      </c>
      <c r="L73" s="39">
        <v>1</v>
      </c>
      <c r="M73" s="39">
        <v>1</v>
      </c>
      <c r="N73" s="39">
        <v>0</v>
      </c>
      <c r="O73" s="39">
        <v>0</v>
      </c>
      <c r="P73" s="39">
        <v>0</v>
      </c>
      <c r="Q73" s="39">
        <v>0</v>
      </c>
      <c r="R73" s="39">
        <v>0</v>
      </c>
      <c r="S73" s="39">
        <v>0</v>
      </c>
      <c r="T73" s="39">
        <v>0</v>
      </c>
      <c r="U73" s="39">
        <v>0</v>
      </c>
      <c r="V73" s="39"/>
      <c r="W73" s="39"/>
      <c r="X73" s="39"/>
      <c r="Y73" s="39"/>
      <c r="Z73" s="39"/>
      <c r="AA73" s="26">
        <f t="shared" ca="1" si="3"/>
        <v>0</v>
      </c>
      <c r="AC73" s="134"/>
      <c r="AD73" s="134"/>
      <c r="AE73" s="1"/>
      <c r="AF73" s="76"/>
      <c r="AG73" s="41"/>
      <c r="AH73" s="19">
        <v>0</v>
      </c>
      <c r="AI73" s="19">
        <v>0</v>
      </c>
      <c r="AJ73" s="19">
        <v>0</v>
      </c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17"/>
      <c r="AY73" s="117"/>
      <c r="AZ73" s="117"/>
      <c r="BA73" s="19"/>
      <c r="BB73" s="19"/>
      <c r="BC73" s="253" t="s">
        <v>521</v>
      </c>
      <c r="BD73" s="19"/>
    </row>
    <row r="74" spans="1:56" x14ac:dyDescent="0.3">
      <c r="A74" s="95" t="s">
        <v>465</v>
      </c>
      <c r="B74" s="217">
        <v>150</v>
      </c>
      <c r="C74" s="218">
        <v>181.4</v>
      </c>
      <c r="D74" s="234"/>
      <c r="F74" s="39">
        <v>3</v>
      </c>
      <c r="G74" s="39">
        <v>3</v>
      </c>
      <c r="H74" s="39">
        <v>3</v>
      </c>
      <c r="I74" s="39">
        <v>3</v>
      </c>
      <c r="J74" s="39">
        <v>3</v>
      </c>
      <c r="K74" s="39">
        <v>3</v>
      </c>
      <c r="L74" s="39">
        <v>3</v>
      </c>
      <c r="M74" s="39">
        <v>3</v>
      </c>
      <c r="N74" s="39">
        <v>2</v>
      </c>
      <c r="O74" s="39">
        <v>2</v>
      </c>
      <c r="P74" s="39">
        <v>2</v>
      </c>
      <c r="Q74" s="39">
        <v>2</v>
      </c>
      <c r="R74" s="39">
        <v>2</v>
      </c>
      <c r="S74" s="39">
        <v>2</v>
      </c>
      <c r="T74" s="39">
        <v>2</v>
      </c>
      <c r="U74" s="39">
        <v>2</v>
      </c>
      <c r="V74" s="39"/>
      <c r="W74" s="39"/>
      <c r="X74" s="39"/>
      <c r="Y74" s="39"/>
      <c r="Z74" s="39"/>
      <c r="AA74" s="26">
        <f t="shared" ca="1" si="3"/>
        <v>0</v>
      </c>
      <c r="AC74" s="134"/>
      <c r="AD74" s="134"/>
      <c r="AE74" s="1"/>
      <c r="AF74" s="76"/>
      <c r="AG74" s="41"/>
      <c r="AH74" s="19">
        <v>0</v>
      </c>
      <c r="AI74" s="19">
        <v>0</v>
      </c>
      <c r="AJ74" s="19">
        <v>0</v>
      </c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17"/>
      <c r="AY74" s="117"/>
      <c r="AZ74" s="117"/>
      <c r="BA74" s="19"/>
      <c r="BB74" s="19"/>
      <c r="BC74" s="253" t="s">
        <v>506</v>
      </c>
      <c r="BD74" s="19"/>
    </row>
    <row r="75" spans="1:56" x14ac:dyDescent="0.3">
      <c r="A75" s="95" t="s">
        <v>466</v>
      </c>
      <c r="B75" s="217" t="s">
        <v>467</v>
      </c>
      <c r="C75" s="218" t="s">
        <v>467</v>
      </c>
      <c r="D75" s="234"/>
      <c r="F75" s="39">
        <v>0</v>
      </c>
      <c r="G75" s="39">
        <v>0</v>
      </c>
      <c r="H75" s="39">
        <v>0</v>
      </c>
      <c r="I75" s="39">
        <v>0</v>
      </c>
      <c r="J75" s="39">
        <v>0</v>
      </c>
      <c r="K75" s="39">
        <v>0</v>
      </c>
      <c r="L75" s="39">
        <v>0</v>
      </c>
      <c r="M75" s="39">
        <v>0</v>
      </c>
      <c r="N75" s="39">
        <v>0</v>
      </c>
      <c r="O75" s="39">
        <v>0</v>
      </c>
      <c r="P75" s="39">
        <v>0</v>
      </c>
      <c r="Q75" s="39">
        <v>0</v>
      </c>
      <c r="R75" s="39">
        <v>0</v>
      </c>
      <c r="S75" s="39">
        <v>0</v>
      </c>
      <c r="T75" s="39">
        <v>0</v>
      </c>
      <c r="U75" s="39">
        <v>0</v>
      </c>
      <c r="V75" s="39"/>
      <c r="W75" s="39"/>
      <c r="X75" s="39"/>
      <c r="Y75" s="39"/>
      <c r="Z75" s="39"/>
      <c r="AA75" s="26">
        <f t="shared" ca="1" si="3"/>
        <v>0</v>
      </c>
      <c r="AC75" s="134"/>
      <c r="AD75" s="134"/>
      <c r="AE75" s="1"/>
      <c r="AF75" s="76"/>
      <c r="AG75" s="41"/>
      <c r="AH75" s="19">
        <v>0</v>
      </c>
      <c r="AI75" s="19">
        <v>0</v>
      </c>
      <c r="AJ75" s="19">
        <v>0</v>
      </c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17"/>
      <c r="AY75" s="117"/>
      <c r="AZ75" s="117"/>
      <c r="BA75" s="19"/>
      <c r="BB75" s="19"/>
      <c r="BC75" s="117"/>
      <c r="BD75" s="19"/>
    </row>
    <row r="76" spans="1:56" x14ac:dyDescent="0.3">
      <c r="A76" s="95" t="s">
        <v>468</v>
      </c>
      <c r="B76" s="217">
        <v>150</v>
      </c>
      <c r="C76" s="218">
        <v>400.5</v>
      </c>
      <c r="D76" s="234"/>
      <c r="F76" s="39">
        <v>0</v>
      </c>
      <c r="G76" s="39">
        <v>0</v>
      </c>
      <c r="H76" s="39">
        <v>0</v>
      </c>
      <c r="I76" s="39">
        <v>0</v>
      </c>
      <c r="J76" s="39">
        <v>0</v>
      </c>
      <c r="K76" s="39">
        <v>0</v>
      </c>
      <c r="L76" s="39">
        <v>0</v>
      </c>
      <c r="M76" s="39">
        <v>0</v>
      </c>
      <c r="N76" s="206">
        <v>9</v>
      </c>
      <c r="O76" s="39">
        <v>9</v>
      </c>
      <c r="P76" s="39">
        <v>9</v>
      </c>
      <c r="Q76" s="39">
        <v>9</v>
      </c>
      <c r="R76" s="39">
        <v>9</v>
      </c>
      <c r="S76" s="39">
        <v>6</v>
      </c>
      <c r="T76" s="39">
        <v>6</v>
      </c>
      <c r="U76" s="39">
        <v>6</v>
      </c>
      <c r="V76" s="39"/>
      <c r="W76" s="39"/>
      <c r="X76" s="39"/>
      <c r="Y76" s="39"/>
      <c r="Z76" s="39"/>
      <c r="AA76" s="26">
        <f t="shared" ca="1" si="3"/>
        <v>0</v>
      </c>
      <c r="AC76" s="134" t="s">
        <v>525</v>
      </c>
      <c r="AD76" s="134"/>
      <c r="AE76" s="1"/>
      <c r="AF76" s="76"/>
      <c r="AG76" s="41"/>
      <c r="AH76" s="19">
        <v>0</v>
      </c>
      <c r="AI76" s="19">
        <v>0</v>
      </c>
      <c r="AJ76" s="19">
        <v>0</v>
      </c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17"/>
      <c r="AY76" s="117"/>
      <c r="AZ76" s="117"/>
      <c r="BA76" s="19"/>
      <c r="BB76" s="19"/>
      <c r="BC76" s="253" t="s">
        <v>502</v>
      </c>
      <c r="BD76" s="19"/>
    </row>
    <row r="77" spans="1:56" x14ac:dyDescent="0.3">
      <c r="A77" s="95" t="s">
        <v>469</v>
      </c>
      <c r="B77" s="217">
        <v>100</v>
      </c>
      <c r="C77" s="218">
        <v>365</v>
      </c>
      <c r="D77" s="234"/>
      <c r="F77" s="39">
        <v>0</v>
      </c>
      <c r="G77" s="39">
        <v>0</v>
      </c>
      <c r="H77" s="39">
        <v>0</v>
      </c>
      <c r="I77" s="39">
        <v>0</v>
      </c>
      <c r="J77" s="39">
        <v>0</v>
      </c>
      <c r="K77" s="39">
        <v>0</v>
      </c>
      <c r="L77" s="39">
        <v>0</v>
      </c>
      <c r="M77" s="39">
        <v>0</v>
      </c>
      <c r="N77" s="39">
        <v>0</v>
      </c>
      <c r="O77" s="39">
        <v>0</v>
      </c>
      <c r="P77" s="39">
        <v>0</v>
      </c>
      <c r="Q77" s="39">
        <v>0</v>
      </c>
      <c r="R77" s="39">
        <v>0</v>
      </c>
      <c r="S77" s="39">
        <v>0</v>
      </c>
      <c r="T77" s="39">
        <v>0</v>
      </c>
      <c r="U77" s="39">
        <v>0</v>
      </c>
      <c r="V77" s="39"/>
      <c r="W77" s="39"/>
      <c r="X77" s="39"/>
      <c r="Y77" s="39"/>
      <c r="Z77" s="39"/>
      <c r="AA77" s="26">
        <f t="shared" ca="1" si="3"/>
        <v>0</v>
      </c>
      <c r="AC77" s="134"/>
      <c r="AD77" s="134"/>
      <c r="AE77" s="1"/>
      <c r="AF77" s="76"/>
      <c r="AG77" s="41"/>
      <c r="AH77" s="19">
        <v>0</v>
      </c>
      <c r="AI77" s="19">
        <v>0</v>
      </c>
      <c r="AJ77" s="19">
        <v>0</v>
      </c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17"/>
      <c r="AY77" s="117"/>
      <c r="AZ77" s="117"/>
      <c r="BA77" s="19"/>
      <c r="BB77" s="19"/>
      <c r="BC77" s="117"/>
      <c r="BD77" s="19"/>
    </row>
    <row r="78" spans="1:56" x14ac:dyDescent="0.3">
      <c r="A78" s="95" t="s">
        <v>470</v>
      </c>
      <c r="B78" s="217">
        <v>75</v>
      </c>
      <c r="C78" s="218">
        <v>438.75</v>
      </c>
      <c r="D78" s="234"/>
      <c r="F78" s="39">
        <v>10</v>
      </c>
      <c r="G78" s="39">
        <v>10</v>
      </c>
      <c r="H78" s="39">
        <v>10</v>
      </c>
      <c r="I78" s="39">
        <v>10</v>
      </c>
      <c r="J78" s="39">
        <v>10</v>
      </c>
      <c r="K78" s="39">
        <v>10</v>
      </c>
      <c r="L78" s="39">
        <v>10</v>
      </c>
      <c r="M78" s="39">
        <v>10</v>
      </c>
      <c r="N78" s="39">
        <v>10</v>
      </c>
      <c r="O78" s="39">
        <v>10</v>
      </c>
      <c r="P78" s="39">
        <v>10</v>
      </c>
      <c r="Q78" s="39">
        <v>10</v>
      </c>
      <c r="R78" s="39">
        <v>10</v>
      </c>
      <c r="S78" s="39">
        <v>10</v>
      </c>
      <c r="T78" s="39">
        <v>10</v>
      </c>
      <c r="U78" s="39">
        <v>10</v>
      </c>
      <c r="V78" s="39"/>
      <c r="W78" s="39"/>
      <c r="X78" s="39"/>
      <c r="Y78" s="39"/>
      <c r="Z78" s="39"/>
      <c r="AA78" s="26">
        <f t="shared" ca="1" si="3"/>
        <v>0</v>
      </c>
      <c r="AC78" s="134"/>
      <c r="AD78" s="134"/>
      <c r="AE78" s="1"/>
      <c r="AF78" s="76"/>
      <c r="AG78" s="41"/>
      <c r="AH78" s="19">
        <v>0</v>
      </c>
      <c r="AI78" s="19">
        <v>0</v>
      </c>
      <c r="AJ78" s="19">
        <v>0</v>
      </c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17"/>
      <c r="AY78" s="117"/>
      <c r="AZ78" s="117"/>
      <c r="BA78" s="19"/>
      <c r="BB78" s="19"/>
      <c r="BC78" s="253" t="s">
        <v>502</v>
      </c>
      <c r="BD78" s="19"/>
    </row>
    <row r="79" spans="1:56" x14ac:dyDescent="0.3">
      <c r="B79" s="41"/>
      <c r="C79" s="120"/>
      <c r="D79" s="120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C79" s="75"/>
      <c r="AD79" s="75"/>
      <c r="AE79" s="1"/>
      <c r="AF79" s="15"/>
      <c r="AG79" s="41"/>
      <c r="AH79" s="75"/>
      <c r="AI79" s="75"/>
      <c r="AJ79" s="75"/>
      <c r="AK79" s="75"/>
      <c r="AL79" s="75"/>
      <c r="AM79" s="75"/>
      <c r="AN79" s="75"/>
      <c r="AO79" s="75"/>
      <c r="AP79" s="75"/>
      <c r="AQ79" s="75"/>
      <c r="AR79" s="75"/>
      <c r="AS79" s="75"/>
      <c r="AT79" s="75"/>
      <c r="AU79" s="75"/>
      <c r="AV79" s="75"/>
      <c r="AW79" s="75"/>
      <c r="AX79" s="201"/>
      <c r="AY79" s="201"/>
      <c r="AZ79" s="201"/>
      <c r="BA79" s="75"/>
      <c r="BB79" s="75"/>
      <c r="BC79" s="201"/>
      <c r="BD79" s="75"/>
    </row>
    <row r="80" spans="1:56" x14ac:dyDescent="0.3">
      <c r="A80" s="270" t="s">
        <v>478</v>
      </c>
      <c r="B80" s="271" t="s">
        <v>151</v>
      </c>
      <c r="C80" s="271" t="s">
        <v>152</v>
      </c>
      <c r="D80" s="271"/>
      <c r="F80" s="13">
        <v>46006</v>
      </c>
      <c r="G80" s="13">
        <v>46013</v>
      </c>
      <c r="H80" s="13">
        <v>46020</v>
      </c>
      <c r="I80" s="13">
        <v>46027</v>
      </c>
      <c r="J80" s="13">
        <v>46034</v>
      </c>
      <c r="K80" s="13">
        <v>46041</v>
      </c>
      <c r="L80" s="13">
        <v>46048</v>
      </c>
      <c r="M80" s="13">
        <v>46055</v>
      </c>
      <c r="N80" s="13">
        <v>46062</v>
      </c>
      <c r="O80" s="13">
        <v>46069</v>
      </c>
      <c r="P80" s="13">
        <v>46076</v>
      </c>
      <c r="Q80" s="13">
        <v>46083</v>
      </c>
      <c r="R80" s="13">
        <v>46090</v>
      </c>
      <c r="S80" s="13">
        <v>46097</v>
      </c>
      <c r="T80" s="13">
        <v>46104</v>
      </c>
      <c r="U80" s="13">
        <v>46111</v>
      </c>
      <c r="V80" s="13">
        <v>46118</v>
      </c>
      <c r="W80" s="13">
        <v>46125</v>
      </c>
      <c r="X80" s="13">
        <v>46132</v>
      </c>
      <c r="Y80" s="13">
        <v>46139</v>
      </c>
      <c r="Z80" s="13">
        <v>46146</v>
      </c>
      <c r="AA80" s="35" t="s">
        <v>129</v>
      </c>
      <c r="AX80" s="204"/>
      <c r="AY80" s="204"/>
      <c r="AZ80" s="204"/>
      <c r="BC80" s="204"/>
    </row>
    <row r="81" spans="1:56" x14ac:dyDescent="0.3">
      <c r="A81" s="25" t="s">
        <v>138</v>
      </c>
      <c r="B81" s="6">
        <v>200</v>
      </c>
      <c r="C81" s="66">
        <v>336</v>
      </c>
      <c r="D81" s="234"/>
      <c r="F81" s="39">
        <v>124</v>
      </c>
      <c r="G81" s="39">
        <v>124</v>
      </c>
      <c r="H81" s="39">
        <v>124</v>
      </c>
      <c r="I81" s="39">
        <v>124</v>
      </c>
      <c r="J81" s="39">
        <v>124</v>
      </c>
      <c r="K81" s="39">
        <v>124</v>
      </c>
      <c r="L81" s="39">
        <v>124</v>
      </c>
      <c r="M81" s="39">
        <v>124</v>
      </c>
      <c r="N81" s="39">
        <v>142</v>
      </c>
      <c r="O81" s="39">
        <v>142</v>
      </c>
      <c r="P81" s="39">
        <v>142</v>
      </c>
      <c r="Q81" s="39">
        <v>142</v>
      </c>
      <c r="R81" s="39">
        <v>131</v>
      </c>
      <c r="S81" s="39">
        <v>123</v>
      </c>
      <c r="T81" s="39">
        <v>123</v>
      </c>
      <c r="U81" s="39">
        <v>123</v>
      </c>
      <c r="V81" s="39"/>
      <c r="W81" s="39"/>
      <c r="X81" s="39"/>
      <c r="Y81" s="39"/>
      <c r="Z81" s="39"/>
      <c r="AA81" s="26">
        <f ca="1">Y81+IF(NOT(ISBLANK(OFFSET(AA81,0,6))),N(OFFSET(AA81,0,6)),N(OFFSET(AA81,0,7)))-Z81</f>
        <v>0</v>
      </c>
      <c r="AX81" s="204"/>
      <c r="AY81" s="204"/>
      <c r="AZ81" s="204"/>
      <c r="BC81" s="204"/>
    </row>
    <row r="82" spans="1:56" x14ac:dyDescent="0.3">
      <c r="A82" s="25" t="s">
        <v>143</v>
      </c>
      <c r="B82" s="6">
        <v>200</v>
      </c>
      <c r="C82" s="66">
        <v>54</v>
      </c>
      <c r="D82" s="234"/>
      <c r="F82" s="39">
        <v>138</v>
      </c>
      <c r="G82" s="39">
        <v>137</v>
      </c>
      <c r="H82" s="39">
        <v>137</v>
      </c>
      <c r="I82" s="39">
        <v>137</v>
      </c>
      <c r="J82" s="39">
        <v>137</v>
      </c>
      <c r="K82" s="39">
        <v>137</v>
      </c>
      <c r="L82" s="39">
        <v>137</v>
      </c>
      <c r="M82" s="39">
        <v>137</v>
      </c>
      <c r="N82" s="39">
        <v>143</v>
      </c>
      <c r="O82" s="39">
        <v>143</v>
      </c>
      <c r="P82" s="39">
        <v>143</v>
      </c>
      <c r="Q82" s="39">
        <v>143</v>
      </c>
      <c r="R82" s="39">
        <v>143</v>
      </c>
      <c r="S82" s="39">
        <v>140</v>
      </c>
      <c r="T82" s="39">
        <v>140</v>
      </c>
      <c r="U82" s="39">
        <v>140</v>
      </c>
      <c r="V82" s="39"/>
      <c r="W82" s="39"/>
      <c r="X82" s="39"/>
      <c r="Y82" s="39"/>
      <c r="Z82" s="39"/>
      <c r="AA82" s="26">
        <f ca="1">Y82+IF(NOT(ISBLANK(OFFSET(AA82,0,6))),N(OFFSET(AA82,0,6)),N(OFFSET(AA82,0,7)))-Z82</f>
        <v>0</v>
      </c>
      <c r="AC82" s="75"/>
      <c r="AD82" s="75"/>
      <c r="AE82" s="1"/>
      <c r="AF82" s="15"/>
      <c r="AG82" s="41"/>
      <c r="AH82" s="75"/>
      <c r="AI82" s="75"/>
      <c r="AJ82" s="75"/>
      <c r="AK82" s="75"/>
      <c r="AL82" s="75"/>
      <c r="AM82" s="75"/>
      <c r="AN82" s="75"/>
      <c r="AO82" s="75"/>
      <c r="AP82" s="75"/>
      <c r="AQ82" s="75"/>
      <c r="AR82" s="75"/>
      <c r="AS82" s="75"/>
      <c r="AT82" s="75"/>
      <c r="AU82" s="75"/>
      <c r="AV82" s="75"/>
      <c r="AW82" s="75"/>
      <c r="AX82" s="201"/>
      <c r="AY82" s="201"/>
      <c r="AZ82" s="201"/>
      <c r="BA82" s="75"/>
      <c r="BB82" s="75"/>
      <c r="BC82" s="201"/>
      <c r="BD82" s="75"/>
    </row>
    <row r="83" spans="1:56" x14ac:dyDescent="0.3">
      <c r="A83" s="25" t="s">
        <v>479</v>
      </c>
      <c r="B83" s="6">
        <v>200</v>
      </c>
      <c r="C83" s="66">
        <v>40</v>
      </c>
      <c r="D83" s="234"/>
      <c r="F83" s="39">
        <v>2</v>
      </c>
      <c r="G83" s="39">
        <v>2</v>
      </c>
      <c r="H83" s="39">
        <v>2</v>
      </c>
      <c r="I83" s="39">
        <v>2</v>
      </c>
      <c r="J83" s="39">
        <v>2</v>
      </c>
      <c r="K83" s="39">
        <v>2</v>
      </c>
      <c r="L83" s="39">
        <v>1</v>
      </c>
      <c r="M83" s="39">
        <v>1</v>
      </c>
      <c r="N83" s="39">
        <v>1</v>
      </c>
      <c r="O83" s="39">
        <v>1</v>
      </c>
      <c r="P83" s="39">
        <v>1</v>
      </c>
      <c r="Q83" s="39">
        <v>1</v>
      </c>
      <c r="R83" s="39">
        <v>1</v>
      </c>
      <c r="S83" s="39">
        <v>1</v>
      </c>
      <c r="T83" s="39">
        <v>1</v>
      </c>
      <c r="U83" s="39">
        <v>0</v>
      </c>
      <c r="V83" s="39"/>
      <c r="W83" s="39"/>
      <c r="X83" s="39"/>
      <c r="Y83" s="39"/>
      <c r="Z83" s="39"/>
      <c r="AA83" s="26">
        <f ca="1">Y83+IF(NOT(ISBLANK(OFFSET(AA83,0,6))),N(OFFSET(AA83,0,6)),N(OFFSET(AA83,0,7)))-Z83</f>
        <v>0</v>
      </c>
      <c r="AC83" s="75"/>
      <c r="AD83" s="75"/>
      <c r="AE83" s="1"/>
      <c r="AF83" s="15"/>
      <c r="AG83" s="41"/>
      <c r="AH83" s="75"/>
      <c r="AI83" s="75"/>
      <c r="AJ83" s="75"/>
      <c r="AK83" s="75"/>
      <c r="AL83" s="75"/>
      <c r="AM83" s="75"/>
      <c r="AN83" s="75"/>
      <c r="AO83" s="75"/>
      <c r="AP83" s="75"/>
      <c r="AQ83" s="75"/>
      <c r="AR83" s="75"/>
      <c r="AS83" s="75"/>
      <c r="AT83" s="75"/>
      <c r="AU83" s="75"/>
      <c r="AV83" s="75"/>
      <c r="AW83" s="75"/>
      <c r="AX83" s="201"/>
      <c r="AY83" s="201"/>
      <c r="AZ83" s="201"/>
      <c r="BA83" s="75"/>
      <c r="BB83" s="75"/>
      <c r="BC83" s="201"/>
      <c r="BD83" s="75"/>
    </row>
    <row r="84" spans="1:56" x14ac:dyDescent="0.3">
      <c r="A84" s="153" t="s">
        <v>156</v>
      </c>
      <c r="B84" s="72">
        <v>100</v>
      </c>
      <c r="C84" s="77">
        <v>904</v>
      </c>
      <c r="D84" s="72"/>
      <c r="F84" s="39">
        <v>28</v>
      </c>
      <c r="G84" s="39">
        <v>25</v>
      </c>
      <c r="H84" s="39">
        <v>25</v>
      </c>
      <c r="I84" s="39">
        <v>25</v>
      </c>
      <c r="J84" s="39">
        <v>25</v>
      </c>
      <c r="K84" s="39">
        <v>25</v>
      </c>
      <c r="L84" s="39">
        <v>25</v>
      </c>
      <c r="M84" s="39">
        <v>25</v>
      </c>
      <c r="N84" s="39">
        <v>25</v>
      </c>
      <c r="O84" s="39">
        <v>25</v>
      </c>
      <c r="P84" s="39">
        <v>25</v>
      </c>
      <c r="Q84" s="39">
        <v>25</v>
      </c>
      <c r="R84" s="39">
        <v>25</v>
      </c>
      <c r="S84" s="39">
        <v>24</v>
      </c>
      <c r="T84" s="39">
        <v>24</v>
      </c>
      <c r="U84" s="39">
        <v>24</v>
      </c>
      <c r="V84" s="39"/>
      <c r="W84" s="39"/>
      <c r="X84" s="39"/>
      <c r="Y84" s="39"/>
      <c r="Z84" s="39"/>
      <c r="AA84" s="26">
        <f ca="1">Y84+IF(NOT(ISBLANK(OFFSET(AA84,0,6))),N(OFFSET(AA84,0,6)),N(OFFSET(AA84,0,7)))-Z84</f>
        <v>0</v>
      </c>
    </row>
    <row r="85" spans="1:56" x14ac:dyDescent="0.3">
      <c r="A85" s="153" t="s">
        <v>158</v>
      </c>
      <c r="B85" s="72">
        <v>200</v>
      </c>
      <c r="C85" s="77">
        <v>464</v>
      </c>
      <c r="D85" s="72"/>
      <c r="F85" s="39">
        <v>30</v>
      </c>
      <c r="G85" s="39">
        <v>30</v>
      </c>
      <c r="H85" s="39">
        <v>29</v>
      </c>
      <c r="I85" s="39">
        <v>29</v>
      </c>
      <c r="J85" s="39">
        <v>29</v>
      </c>
      <c r="K85" s="39">
        <v>29</v>
      </c>
      <c r="L85" s="39">
        <v>29</v>
      </c>
      <c r="M85" s="39">
        <v>29</v>
      </c>
      <c r="N85" s="39">
        <v>29</v>
      </c>
      <c r="O85" s="39">
        <v>29</v>
      </c>
      <c r="P85" s="39">
        <v>29</v>
      </c>
      <c r="Q85" s="39">
        <v>29</v>
      </c>
      <c r="R85" s="39">
        <v>29</v>
      </c>
      <c r="S85" s="39">
        <v>28</v>
      </c>
      <c r="T85" s="39">
        <v>28</v>
      </c>
      <c r="U85" s="39">
        <v>28</v>
      </c>
      <c r="V85" s="39"/>
      <c r="W85" s="39"/>
      <c r="X85" s="39"/>
      <c r="Y85" s="39"/>
      <c r="Z85" s="39"/>
      <c r="AA85" s="26">
        <f ca="1">Y85+IF(NOT(ISBLANK(OFFSET(AA85,0,6))),N(OFFSET(AA85,0,6)),N(OFFSET(AA85,0,7)))-Z85</f>
        <v>0</v>
      </c>
    </row>
    <row r="87" spans="1:56" x14ac:dyDescent="0.3">
      <c r="A87" s="272" t="s">
        <v>480</v>
      </c>
      <c r="B87" s="248" t="s">
        <v>151</v>
      </c>
      <c r="C87" s="248" t="s">
        <v>152</v>
      </c>
      <c r="D87" s="248"/>
      <c r="F87" s="13">
        <v>46006</v>
      </c>
      <c r="G87" s="13">
        <v>46013</v>
      </c>
      <c r="H87" s="13">
        <v>46020</v>
      </c>
      <c r="I87" s="13">
        <v>46027</v>
      </c>
      <c r="J87" s="13">
        <v>46034</v>
      </c>
      <c r="K87" s="13">
        <v>46041</v>
      </c>
      <c r="L87" s="13">
        <v>46048</v>
      </c>
      <c r="M87" s="13">
        <v>46055</v>
      </c>
      <c r="N87" s="13">
        <v>46062</v>
      </c>
      <c r="O87" s="13">
        <v>46069</v>
      </c>
      <c r="P87" s="13">
        <v>46076</v>
      </c>
      <c r="Q87" s="13">
        <v>46083</v>
      </c>
      <c r="R87" s="13">
        <v>46090</v>
      </c>
      <c r="S87" s="13">
        <v>46097</v>
      </c>
      <c r="T87" s="13">
        <v>46104</v>
      </c>
      <c r="U87" s="13">
        <v>46111</v>
      </c>
      <c r="V87" s="13">
        <v>46118</v>
      </c>
      <c r="W87" s="13">
        <v>46125</v>
      </c>
      <c r="X87" s="13">
        <v>46132</v>
      </c>
      <c r="Y87" s="13">
        <v>46139</v>
      </c>
      <c r="Z87" s="13">
        <v>46146</v>
      </c>
      <c r="AA87" s="35" t="s">
        <v>129</v>
      </c>
    </row>
    <row r="88" spans="1:56" hidden="1" x14ac:dyDescent="0.3">
      <c r="A88" s="25" t="s">
        <v>419</v>
      </c>
      <c r="B88" s="6">
        <v>200</v>
      </c>
      <c r="C88" s="66">
        <v>274.2</v>
      </c>
      <c r="D88" s="234"/>
      <c r="F88" s="39">
        <v>99</v>
      </c>
      <c r="G88" s="39">
        <v>54</v>
      </c>
      <c r="H88" s="39">
        <v>40</v>
      </c>
      <c r="I88" s="39">
        <v>38</v>
      </c>
      <c r="J88" s="39">
        <v>28</v>
      </c>
      <c r="K88" s="39">
        <v>0</v>
      </c>
      <c r="L88" s="39">
        <v>0</v>
      </c>
      <c r="M88" s="39">
        <v>0</v>
      </c>
      <c r="N88" s="39">
        <v>0</v>
      </c>
      <c r="O88" s="39">
        <v>0</v>
      </c>
      <c r="P88" s="39">
        <v>0</v>
      </c>
      <c r="Q88" s="39">
        <v>0</v>
      </c>
      <c r="R88" s="39">
        <v>0</v>
      </c>
      <c r="S88" s="39">
        <v>0</v>
      </c>
      <c r="T88" s="39"/>
      <c r="U88" s="39"/>
      <c r="V88" s="39"/>
      <c r="W88" s="39"/>
      <c r="X88" s="39"/>
      <c r="Y88" s="39"/>
      <c r="Z88" s="39"/>
      <c r="AA88" s="26">
        <f t="shared" ref="AA88:AA95" ca="1" si="4">Y88+IF(NOT(ISBLANK(OFFSET(AA88,0,6))),N(OFFSET(AA88,0,6)),N(OFFSET(AA88,0,7)))-Z88</f>
        <v>0</v>
      </c>
    </row>
    <row r="89" spans="1:56" hidden="1" x14ac:dyDescent="0.3">
      <c r="A89" s="25" t="s">
        <v>421</v>
      </c>
      <c r="B89" s="6">
        <v>200</v>
      </c>
      <c r="C89" s="66">
        <v>347.8</v>
      </c>
      <c r="D89" s="234"/>
      <c r="F89" s="39">
        <v>158</v>
      </c>
      <c r="G89" s="39">
        <v>141</v>
      </c>
      <c r="H89" s="39">
        <v>121</v>
      </c>
      <c r="I89" s="39">
        <v>121</v>
      </c>
      <c r="J89" s="39">
        <v>121</v>
      </c>
      <c r="K89" s="39">
        <v>0</v>
      </c>
      <c r="L89" s="39">
        <v>0</v>
      </c>
      <c r="M89" s="39">
        <v>0</v>
      </c>
      <c r="N89" s="39">
        <v>0</v>
      </c>
      <c r="O89" s="39">
        <v>0</v>
      </c>
      <c r="P89" s="39">
        <v>0</v>
      </c>
      <c r="Q89" s="39">
        <v>0</v>
      </c>
      <c r="R89" s="39">
        <v>0</v>
      </c>
      <c r="S89" s="39">
        <v>0</v>
      </c>
      <c r="T89" s="39"/>
      <c r="U89" s="39"/>
      <c r="V89" s="39"/>
      <c r="W89" s="39"/>
      <c r="X89" s="39"/>
      <c r="Y89" s="39"/>
      <c r="Z89" s="39"/>
      <c r="AA89" s="26">
        <f t="shared" ca="1" si="4"/>
        <v>0</v>
      </c>
    </row>
    <row r="90" spans="1:56" hidden="1" x14ac:dyDescent="0.3">
      <c r="A90" s="25" t="s">
        <v>422</v>
      </c>
      <c r="B90" s="6">
        <v>100</v>
      </c>
      <c r="C90" s="66">
        <v>267</v>
      </c>
      <c r="D90" s="234"/>
      <c r="F90" s="39">
        <v>32</v>
      </c>
      <c r="G90" s="39">
        <v>28</v>
      </c>
      <c r="H90" s="39">
        <v>28</v>
      </c>
      <c r="I90" s="39">
        <v>27</v>
      </c>
      <c r="J90" s="39">
        <v>27</v>
      </c>
      <c r="K90" s="39">
        <v>0</v>
      </c>
      <c r="L90" s="39">
        <v>0</v>
      </c>
      <c r="M90" s="39">
        <v>0</v>
      </c>
      <c r="N90" s="39">
        <v>0</v>
      </c>
      <c r="O90" s="39">
        <v>0</v>
      </c>
      <c r="P90" s="39">
        <v>0</v>
      </c>
      <c r="Q90" s="39">
        <v>0</v>
      </c>
      <c r="R90" s="39">
        <v>0</v>
      </c>
      <c r="S90" s="39">
        <v>0</v>
      </c>
      <c r="T90" s="39"/>
      <c r="U90" s="39"/>
      <c r="V90" s="39"/>
      <c r="W90" s="39"/>
      <c r="X90" s="39"/>
      <c r="Y90" s="39"/>
      <c r="Z90" s="39"/>
      <c r="AA90" s="26">
        <f t="shared" ca="1" si="4"/>
        <v>0</v>
      </c>
    </row>
    <row r="91" spans="1:56" hidden="1" x14ac:dyDescent="0.3">
      <c r="A91" s="153" t="s">
        <v>481</v>
      </c>
      <c r="B91" s="72">
        <v>200</v>
      </c>
      <c r="C91" s="77">
        <v>44.4</v>
      </c>
      <c r="D91" s="72"/>
      <c r="F91" s="39">
        <v>0</v>
      </c>
      <c r="G91" s="39">
        <v>0</v>
      </c>
      <c r="H91" s="39">
        <v>0</v>
      </c>
      <c r="I91" s="39">
        <v>0</v>
      </c>
      <c r="J91" s="39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/>
      <c r="U91" s="39"/>
      <c r="V91" s="39"/>
      <c r="W91" s="39"/>
      <c r="X91" s="39"/>
      <c r="Y91" s="39"/>
      <c r="Z91" s="39"/>
      <c r="AA91" s="26">
        <f t="shared" ca="1" si="4"/>
        <v>0</v>
      </c>
    </row>
    <row r="92" spans="1:56" x14ac:dyDescent="0.3">
      <c r="A92" s="153" t="s">
        <v>154</v>
      </c>
      <c r="B92" s="72">
        <v>150</v>
      </c>
      <c r="C92" s="77">
        <v>805.35</v>
      </c>
      <c r="D92" s="72"/>
      <c r="F92" s="39">
        <v>32</v>
      </c>
      <c r="G92" s="39">
        <v>19</v>
      </c>
      <c r="H92" s="39">
        <v>18</v>
      </c>
      <c r="I92" s="39">
        <v>18</v>
      </c>
      <c r="J92" s="39">
        <v>18</v>
      </c>
      <c r="K92" s="39">
        <v>18</v>
      </c>
      <c r="L92" s="39">
        <v>18</v>
      </c>
      <c r="M92" s="39">
        <v>18</v>
      </c>
      <c r="N92" s="39">
        <v>16</v>
      </c>
      <c r="O92" s="39">
        <v>16</v>
      </c>
      <c r="P92" s="39">
        <v>16</v>
      </c>
      <c r="Q92" s="39">
        <v>16</v>
      </c>
      <c r="R92" s="39">
        <v>16</v>
      </c>
      <c r="S92" s="39">
        <v>16</v>
      </c>
      <c r="T92" s="39">
        <v>16</v>
      </c>
      <c r="U92" s="39">
        <v>16</v>
      </c>
      <c r="V92" s="39"/>
      <c r="W92" s="39"/>
      <c r="X92" s="39"/>
      <c r="Y92" s="39"/>
      <c r="Z92" s="39"/>
      <c r="AA92" s="26">
        <f t="shared" ca="1" si="4"/>
        <v>0</v>
      </c>
    </row>
    <row r="93" spans="1:56" x14ac:dyDescent="0.3">
      <c r="A93" s="153" t="s">
        <v>156</v>
      </c>
      <c r="B93" s="72">
        <v>100</v>
      </c>
      <c r="C93" s="77">
        <v>792.2</v>
      </c>
      <c r="D93" s="72"/>
      <c r="F93" s="39">
        <v>58</v>
      </c>
      <c r="G93" s="39">
        <v>34</v>
      </c>
      <c r="H93" s="39">
        <v>34</v>
      </c>
      <c r="I93" s="39">
        <v>33</v>
      </c>
      <c r="J93" s="39">
        <v>33</v>
      </c>
      <c r="K93" s="39">
        <v>33</v>
      </c>
      <c r="L93" s="39">
        <v>33</v>
      </c>
      <c r="M93" s="39">
        <v>33</v>
      </c>
      <c r="N93" s="39">
        <v>23</v>
      </c>
      <c r="O93" s="39">
        <v>23</v>
      </c>
      <c r="P93" s="39">
        <v>23</v>
      </c>
      <c r="Q93" s="39">
        <v>23</v>
      </c>
      <c r="R93" s="39">
        <v>23</v>
      </c>
      <c r="S93" s="39">
        <v>22</v>
      </c>
      <c r="T93" s="39">
        <v>22</v>
      </c>
      <c r="U93" s="39">
        <v>22</v>
      </c>
      <c r="V93" s="39"/>
      <c r="W93" s="39"/>
      <c r="X93" s="39"/>
      <c r="Y93" s="39"/>
      <c r="Z93" s="39"/>
      <c r="AA93" s="26">
        <f t="shared" ca="1" si="4"/>
        <v>0</v>
      </c>
    </row>
    <row r="94" spans="1:56" x14ac:dyDescent="0.3">
      <c r="A94" s="153" t="s">
        <v>158</v>
      </c>
      <c r="B94" s="72">
        <v>200</v>
      </c>
      <c r="C94" s="77">
        <v>487.2</v>
      </c>
      <c r="D94" s="72"/>
      <c r="F94" s="39">
        <v>6</v>
      </c>
      <c r="G94" s="39">
        <v>6</v>
      </c>
      <c r="H94" s="39">
        <v>6</v>
      </c>
      <c r="I94" s="39">
        <v>6</v>
      </c>
      <c r="J94" s="39">
        <v>6</v>
      </c>
      <c r="K94" s="39">
        <v>6</v>
      </c>
      <c r="L94" s="39">
        <v>6</v>
      </c>
      <c r="M94" s="39">
        <v>6</v>
      </c>
      <c r="N94" s="39">
        <v>1</v>
      </c>
      <c r="O94" s="39">
        <v>1</v>
      </c>
      <c r="P94" s="39">
        <v>1</v>
      </c>
      <c r="Q94" s="39">
        <v>1</v>
      </c>
      <c r="R94" s="39">
        <v>1</v>
      </c>
      <c r="S94" s="39">
        <v>1</v>
      </c>
      <c r="T94" s="39">
        <v>1</v>
      </c>
      <c r="U94" s="39">
        <v>1</v>
      </c>
      <c r="V94" s="39"/>
      <c r="W94" s="39"/>
      <c r="X94" s="39"/>
      <c r="Y94" s="39"/>
      <c r="Z94" s="39"/>
      <c r="AA94" s="26">
        <f t="shared" ca="1" si="4"/>
        <v>0</v>
      </c>
    </row>
    <row r="95" spans="1:56" x14ac:dyDescent="0.3">
      <c r="A95" s="153" t="s">
        <v>160</v>
      </c>
      <c r="B95" s="72">
        <v>150</v>
      </c>
      <c r="C95" s="77">
        <v>460.35</v>
      </c>
      <c r="D95" s="72"/>
      <c r="F95" s="39">
        <v>52</v>
      </c>
      <c r="G95" s="39">
        <v>35</v>
      </c>
      <c r="H95" s="39">
        <v>34</v>
      </c>
      <c r="I95" s="39">
        <v>30</v>
      </c>
      <c r="J95" s="39">
        <v>30</v>
      </c>
      <c r="K95" s="39">
        <v>30</v>
      </c>
      <c r="L95" s="39">
        <v>30</v>
      </c>
      <c r="M95" s="39">
        <v>30</v>
      </c>
      <c r="N95" s="39">
        <v>30</v>
      </c>
      <c r="O95" s="39">
        <v>30</v>
      </c>
      <c r="P95" s="39">
        <v>30</v>
      </c>
      <c r="Q95" s="39">
        <v>30</v>
      </c>
      <c r="R95" s="39">
        <v>30</v>
      </c>
      <c r="S95" s="39">
        <v>31</v>
      </c>
      <c r="T95" s="39">
        <v>31</v>
      </c>
      <c r="U95" s="39">
        <v>31</v>
      </c>
      <c r="V95" s="39"/>
      <c r="W95" s="39"/>
      <c r="X95" s="39"/>
      <c r="Y95" s="39"/>
      <c r="Z95" s="39"/>
      <c r="AA95" s="26">
        <f t="shared" ca="1" si="4"/>
        <v>0</v>
      </c>
    </row>
    <row r="97" spans="1:27" x14ac:dyDescent="0.3">
      <c r="A97" s="256" t="s">
        <v>473</v>
      </c>
      <c r="B97" s="257" t="s">
        <v>151</v>
      </c>
      <c r="C97" s="257" t="s">
        <v>152</v>
      </c>
      <c r="D97" s="257"/>
      <c r="F97" s="13">
        <v>46006</v>
      </c>
      <c r="G97" s="13">
        <v>46013</v>
      </c>
      <c r="H97" s="13">
        <v>46020</v>
      </c>
      <c r="I97" s="13">
        <v>46027</v>
      </c>
      <c r="J97" s="13">
        <v>46034</v>
      </c>
      <c r="K97" s="13">
        <v>46041</v>
      </c>
      <c r="L97" s="13">
        <v>46048</v>
      </c>
      <c r="M97" s="13">
        <v>46055</v>
      </c>
      <c r="N97" s="13">
        <v>46062</v>
      </c>
      <c r="O97" s="13">
        <v>46069</v>
      </c>
      <c r="P97" s="13">
        <v>46076</v>
      </c>
      <c r="Q97" s="13">
        <v>46083</v>
      </c>
      <c r="R97" s="13">
        <v>46090</v>
      </c>
      <c r="S97" s="13">
        <v>46097</v>
      </c>
      <c r="T97" s="13">
        <v>46104</v>
      </c>
      <c r="U97" s="13">
        <v>46111</v>
      </c>
      <c r="V97" s="13">
        <v>46118</v>
      </c>
      <c r="W97" s="13">
        <v>46125</v>
      </c>
      <c r="X97" s="13">
        <v>46132</v>
      </c>
      <c r="Y97" s="13">
        <v>46139</v>
      </c>
      <c r="Z97" s="13">
        <v>46146</v>
      </c>
      <c r="AA97" s="35" t="s">
        <v>129</v>
      </c>
    </row>
    <row r="98" spans="1:27" hidden="1" x14ac:dyDescent="0.3">
      <c r="A98" s="25" t="s">
        <v>474</v>
      </c>
      <c r="B98" s="6">
        <v>100</v>
      </c>
      <c r="C98" s="66">
        <v>316</v>
      </c>
      <c r="D98" s="234"/>
      <c r="F98" s="39">
        <v>0</v>
      </c>
      <c r="G98" s="39">
        <v>0</v>
      </c>
      <c r="H98" s="39">
        <v>0</v>
      </c>
      <c r="I98" s="39">
        <v>0</v>
      </c>
      <c r="J98" s="39">
        <v>0</v>
      </c>
      <c r="K98" s="39">
        <v>0</v>
      </c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26">
        <f ca="1">Y98+IF(NOT(ISBLANK(OFFSET(AA98,0,6))),N(OFFSET(AA98,0,6)),N(OFFSET(AA98,0,7)))-Z98</f>
        <v>0</v>
      </c>
    </row>
    <row r="99" spans="1:27" hidden="1" x14ac:dyDescent="0.3">
      <c r="A99" s="25" t="s">
        <v>475</v>
      </c>
      <c r="B99" s="6">
        <v>100</v>
      </c>
      <c r="C99" s="66">
        <v>41</v>
      </c>
      <c r="D99" s="234"/>
      <c r="F99" s="39">
        <v>0</v>
      </c>
      <c r="G99" s="39">
        <v>0</v>
      </c>
      <c r="H99" s="39">
        <v>0</v>
      </c>
      <c r="I99" s="39">
        <v>0</v>
      </c>
      <c r="J99" s="39">
        <v>0</v>
      </c>
      <c r="K99" s="39">
        <v>0</v>
      </c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26">
        <f ca="1">Y99+IF(NOT(ISBLANK(OFFSET(AA99,0,6))),N(OFFSET(AA99,0,6)),N(OFFSET(AA99,0,7)))-Z99</f>
        <v>0</v>
      </c>
    </row>
    <row r="100" spans="1:27" x14ac:dyDescent="0.3">
      <c r="A100" s="25" t="s">
        <v>476</v>
      </c>
      <c r="B100" s="6">
        <v>150</v>
      </c>
      <c r="C100" s="66">
        <v>478.5</v>
      </c>
      <c r="D100" s="234"/>
      <c r="F100" s="39">
        <v>10</v>
      </c>
      <c r="G100" s="39">
        <v>10</v>
      </c>
      <c r="H100" s="39">
        <v>10</v>
      </c>
      <c r="I100" s="39">
        <v>10</v>
      </c>
      <c r="J100" s="39">
        <v>10</v>
      </c>
      <c r="K100" s="39">
        <v>10</v>
      </c>
      <c r="L100" s="39">
        <v>10</v>
      </c>
      <c r="M100" s="39">
        <v>10</v>
      </c>
      <c r="N100" s="39">
        <v>10</v>
      </c>
      <c r="O100" s="39">
        <v>10</v>
      </c>
      <c r="P100" s="39">
        <v>10</v>
      </c>
      <c r="Q100" s="39">
        <v>10</v>
      </c>
      <c r="R100" s="39">
        <v>10</v>
      </c>
      <c r="S100" s="39">
        <v>10</v>
      </c>
      <c r="T100" s="39">
        <v>10</v>
      </c>
      <c r="U100" s="39">
        <v>10</v>
      </c>
      <c r="V100" s="39"/>
      <c r="W100" s="39"/>
      <c r="X100" s="39"/>
      <c r="Y100" s="39"/>
      <c r="Z100" s="39"/>
      <c r="AA100" s="26">
        <f ca="1">Y100+IF(NOT(ISBLANK(OFFSET(AA100,0,6))),N(OFFSET(AA100,0,6)),N(OFFSET(AA100,0,7)))-Z100</f>
        <v>0</v>
      </c>
    </row>
    <row r="101" spans="1:27" ht="19.5" customHeight="1" thickBot="1" x14ac:dyDescent="0.35"/>
    <row r="102" spans="1:27" ht="24" customHeight="1" thickBot="1" x14ac:dyDescent="0.4">
      <c r="A102" s="499">
        <v>2026</v>
      </c>
      <c r="B102" s="497"/>
      <c r="C102" s="497"/>
      <c r="D102" s="497"/>
      <c r="E102" s="497"/>
      <c r="F102" s="497"/>
      <c r="G102" s="497"/>
      <c r="H102" s="497"/>
      <c r="I102" s="497"/>
      <c r="J102" s="497"/>
      <c r="K102" s="497"/>
      <c r="L102" s="497"/>
      <c r="M102" s="497"/>
      <c r="N102" s="497"/>
      <c r="O102" s="497"/>
      <c r="P102" s="497"/>
      <c r="Q102" s="497"/>
      <c r="R102" s="497"/>
      <c r="S102" s="497"/>
      <c r="T102" s="497"/>
      <c r="U102" s="497"/>
      <c r="V102" s="497"/>
      <c r="W102" s="497"/>
      <c r="X102" s="497"/>
      <c r="Y102" s="497"/>
      <c r="Z102" s="497"/>
      <c r="AA102" s="500"/>
    </row>
    <row r="104" spans="1:27" x14ac:dyDescent="0.3">
      <c r="A104" s="270" t="s">
        <v>485</v>
      </c>
      <c r="B104" s="271" t="s">
        <v>151</v>
      </c>
      <c r="C104" s="271" t="s">
        <v>152</v>
      </c>
      <c r="D104" s="271"/>
      <c r="N104" s="13">
        <v>46062</v>
      </c>
      <c r="O104" s="13">
        <v>46069</v>
      </c>
      <c r="P104" s="13">
        <v>46076</v>
      </c>
      <c r="Q104" s="13">
        <v>46083</v>
      </c>
      <c r="R104" s="13">
        <v>46090</v>
      </c>
      <c r="S104" s="13">
        <v>46097</v>
      </c>
      <c r="T104" s="13">
        <v>46104</v>
      </c>
      <c r="U104" s="13">
        <v>46111</v>
      </c>
      <c r="V104" s="13">
        <v>46118</v>
      </c>
      <c r="W104" s="13">
        <v>46125</v>
      </c>
      <c r="X104" s="13">
        <v>46132</v>
      </c>
      <c r="Y104" s="13">
        <v>46139</v>
      </c>
      <c r="Z104" s="13">
        <v>46146</v>
      </c>
      <c r="AA104" s="35" t="s">
        <v>129</v>
      </c>
    </row>
    <row r="105" spans="1:27" x14ac:dyDescent="0.3">
      <c r="A105" s="25" t="s">
        <v>138</v>
      </c>
      <c r="B105" s="6">
        <v>150</v>
      </c>
      <c r="C105" s="66"/>
      <c r="D105" s="234"/>
      <c r="N105" s="39">
        <v>0</v>
      </c>
      <c r="O105" s="39">
        <v>0</v>
      </c>
      <c r="P105" s="39">
        <v>0</v>
      </c>
      <c r="Q105" s="39">
        <v>0</v>
      </c>
      <c r="R105" s="39">
        <f>AN10</f>
        <v>150</v>
      </c>
      <c r="S105" s="39">
        <v>150</v>
      </c>
      <c r="T105" s="39">
        <v>120</v>
      </c>
      <c r="U105" s="39">
        <v>117</v>
      </c>
      <c r="V105" s="39">
        <v>111</v>
      </c>
      <c r="W105" s="39">
        <v>95</v>
      </c>
      <c r="X105" s="39">
        <v>95</v>
      </c>
      <c r="Y105" s="39">
        <v>73</v>
      </c>
      <c r="Z105" s="39">
        <v>65</v>
      </c>
      <c r="AA105" s="26">
        <f t="shared" ref="AA105:AA111" ca="1" si="5">Y105+IF(NOT(ISBLANK(OFFSET(AA105,0,6))),N(OFFSET(AA105,0,6)),N(OFFSET(AA105,0,7)))-Z105</f>
        <v>8</v>
      </c>
    </row>
    <row r="106" spans="1:27" x14ac:dyDescent="0.3">
      <c r="A106" s="25" t="s">
        <v>486</v>
      </c>
      <c r="B106" s="6">
        <v>1000</v>
      </c>
      <c r="C106" s="66"/>
      <c r="D106" s="234"/>
      <c r="N106" s="39">
        <v>0</v>
      </c>
      <c r="O106" s="39">
        <v>0</v>
      </c>
      <c r="P106" s="39">
        <v>0</v>
      </c>
      <c r="Q106" s="39">
        <v>0</v>
      </c>
      <c r="R106" s="39">
        <f>AN17</f>
        <v>1</v>
      </c>
      <c r="S106" s="39">
        <v>1</v>
      </c>
      <c r="T106" s="39">
        <v>1</v>
      </c>
      <c r="U106" s="39">
        <v>1</v>
      </c>
      <c r="V106" s="39">
        <v>1</v>
      </c>
      <c r="W106" s="39">
        <v>1</v>
      </c>
      <c r="X106" s="39">
        <v>1</v>
      </c>
      <c r="Y106" s="39">
        <v>1</v>
      </c>
      <c r="Z106" s="39">
        <v>1</v>
      </c>
      <c r="AA106" s="26">
        <f t="shared" ca="1" si="5"/>
        <v>0</v>
      </c>
    </row>
    <row r="107" spans="1:27" x14ac:dyDescent="0.3">
      <c r="A107" s="25" t="s">
        <v>143</v>
      </c>
      <c r="B107" s="6">
        <v>200</v>
      </c>
      <c r="C107" s="66"/>
      <c r="D107" s="234"/>
      <c r="N107" s="39">
        <v>0</v>
      </c>
      <c r="O107" s="39">
        <v>0</v>
      </c>
      <c r="P107" s="39">
        <v>0</v>
      </c>
      <c r="Q107" s="39">
        <v>0</v>
      </c>
      <c r="R107" s="39">
        <f>AN16</f>
        <v>200</v>
      </c>
      <c r="S107" s="39">
        <v>200</v>
      </c>
      <c r="T107" s="39">
        <v>200</v>
      </c>
      <c r="U107" s="39">
        <v>1</v>
      </c>
      <c r="V107" s="39">
        <v>200</v>
      </c>
      <c r="W107" s="39">
        <v>200</v>
      </c>
      <c r="X107" s="39">
        <v>200</v>
      </c>
      <c r="Y107" s="39">
        <v>200</v>
      </c>
      <c r="Z107" s="39">
        <v>200</v>
      </c>
      <c r="AA107" s="26">
        <f t="shared" ca="1" si="5"/>
        <v>0</v>
      </c>
    </row>
    <row r="108" spans="1:27" x14ac:dyDescent="0.3">
      <c r="A108" s="25" t="s">
        <v>487</v>
      </c>
      <c r="B108" s="6">
        <v>150</v>
      </c>
      <c r="C108" s="66"/>
      <c r="D108" s="234"/>
      <c r="N108" s="39">
        <v>0</v>
      </c>
      <c r="O108" s="39">
        <v>0</v>
      </c>
      <c r="P108" s="39">
        <v>0</v>
      </c>
      <c r="Q108" s="39">
        <v>0</v>
      </c>
      <c r="R108" s="39">
        <v>0</v>
      </c>
      <c r="S108" s="39">
        <v>150</v>
      </c>
      <c r="T108" s="39">
        <v>130</v>
      </c>
      <c r="U108" s="39">
        <v>122</v>
      </c>
      <c r="V108" s="39"/>
      <c r="W108" s="39"/>
      <c r="X108" s="39"/>
      <c r="Y108" s="39"/>
      <c r="Z108" s="39"/>
      <c r="AA108" s="26">
        <f t="shared" ca="1" si="5"/>
        <v>0</v>
      </c>
    </row>
    <row r="109" spans="1:27" x14ac:dyDescent="0.3">
      <c r="A109" s="25" t="s">
        <v>479</v>
      </c>
      <c r="B109" s="6">
        <v>200</v>
      </c>
      <c r="C109" s="66"/>
      <c r="D109" s="234"/>
      <c r="N109" s="39">
        <v>0</v>
      </c>
      <c r="O109" s="39">
        <v>0</v>
      </c>
      <c r="P109" s="39">
        <v>0</v>
      </c>
      <c r="Q109" s="39">
        <v>0</v>
      </c>
      <c r="R109" s="39">
        <v>0</v>
      </c>
      <c r="S109" s="39">
        <v>2</v>
      </c>
      <c r="T109" s="39">
        <v>3</v>
      </c>
      <c r="U109" s="39">
        <v>3</v>
      </c>
      <c r="V109" s="39"/>
      <c r="W109" s="39"/>
      <c r="X109" s="39"/>
      <c r="Y109" s="39"/>
      <c r="Z109" s="39"/>
      <c r="AA109" s="26">
        <f t="shared" ca="1" si="5"/>
        <v>0</v>
      </c>
    </row>
    <row r="110" spans="1:27" x14ac:dyDescent="0.3">
      <c r="A110" s="153" t="s">
        <v>156</v>
      </c>
      <c r="B110" s="72">
        <v>100</v>
      </c>
      <c r="C110" s="77"/>
      <c r="D110" s="72"/>
      <c r="N110" s="39">
        <v>0</v>
      </c>
      <c r="O110" s="39">
        <v>0</v>
      </c>
      <c r="P110" s="39">
        <v>0</v>
      </c>
      <c r="Q110" s="39">
        <v>0</v>
      </c>
      <c r="R110" s="39">
        <v>0</v>
      </c>
      <c r="S110" s="39">
        <v>50</v>
      </c>
      <c r="T110" s="39">
        <v>50</v>
      </c>
      <c r="U110" s="39">
        <v>50</v>
      </c>
      <c r="V110" s="39"/>
      <c r="W110" s="39"/>
      <c r="X110" s="39"/>
      <c r="Y110" s="39"/>
      <c r="Z110" s="39"/>
      <c r="AA110" s="26">
        <f t="shared" ca="1" si="5"/>
        <v>0</v>
      </c>
    </row>
    <row r="111" spans="1:27" x14ac:dyDescent="0.3">
      <c r="A111" s="153" t="s">
        <v>158</v>
      </c>
      <c r="B111" s="72">
        <v>200</v>
      </c>
      <c r="C111" s="77"/>
      <c r="D111" s="72"/>
      <c r="N111" s="39">
        <v>0</v>
      </c>
      <c r="O111" s="39">
        <v>0</v>
      </c>
      <c r="P111" s="39">
        <v>0</v>
      </c>
      <c r="Q111" s="39">
        <v>0</v>
      </c>
      <c r="R111" s="39">
        <v>0</v>
      </c>
      <c r="S111" s="39">
        <v>50</v>
      </c>
      <c r="T111" s="39">
        <v>50</v>
      </c>
      <c r="U111" s="39">
        <v>50</v>
      </c>
      <c r="V111" s="39"/>
      <c r="W111" s="39"/>
      <c r="X111" s="39"/>
      <c r="Y111" s="39"/>
      <c r="Z111" s="39"/>
      <c r="AA111" s="26">
        <f t="shared" ca="1" si="5"/>
        <v>0</v>
      </c>
    </row>
    <row r="113" spans="1:27" x14ac:dyDescent="0.3">
      <c r="A113" s="272" t="s">
        <v>488</v>
      </c>
      <c r="B113" s="248" t="s">
        <v>151</v>
      </c>
      <c r="C113" s="248" t="s">
        <v>152</v>
      </c>
      <c r="D113" s="248"/>
      <c r="N113" s="13">
        <v>46062</v>
      </c>
      <c r="O113" s="13">
        <v>46069</v>
      </c>
      <c r="P113" s="13">
        <v>46076</v>
      </c>
      <c r="Q113" s="13">
        <v>46083</v>
      </c>
      <c r="R113" s="13">
        <v>46090</v>
      </c>
      <c r="S113" s="13">
        <v>46097</v>
      </c>
      <c r="T113" s="13">
        <v>46104</v>
      </c>
      <c r="U113" s="13">
        <v>46111</v>
      </c>
      <c r="V113" s="13">
        <v>46118</v>
      </c>
      <c r="W113" s="13">
        <v>46125</v>
      </c>
      <c r="X113" s="13">
        <v>46132</v>
      </c>
      <c r="Y113" s="13">
        <v>46139</v>
      </c>
      <c r="Z113" s="13">
        <v>46146</v>
      </c>
      <c r="AA113" s="35" t="s">
        <v>129</v>
      </c>
    </row>
    <row r="114" spans="1:27" x14ac:dyDescent="0.3">
      <c r="A114" s="25" t="s">
        <v>419</v>
      </c>
      <c r="B114" s="6">
        <v>200</v>
      </c>
      <c r="C114" s="66"/>
      <c r="D114" s="234"/>
      <c r="N114" s="39">
        <v>0</v>
      </c>
      <c r="O114" s="39">
        <v>0</v>
      </c>
      <c r="P114" s="39">
        <v>0</v>
      </c>
      <c r="Q114" s="39">
        <v>0</v>
      </c>
      <c r="R114" s="39">
        <v>0</v>
      </c>
      <c r="S114" s="39">
        <v>0</v>
      </c>
      <c r="T114" s="39">
        <f>AL9</f>
        <v>400</v>
      </c>
      <c r="U114" s="39">
        <v>400</v>
      </c>
      <c r="V114" s="39">
        <v>400</v>
      </c>
      <c r="W114" s="39">
        <v>290</v>
      </c>
      <c r="X114" s="39">
        <v>200</v>
      </c>
      <c r="Y114" s="39">
        <v>200</v>
      </c>
      <c r="Z114" s="39">
        <v>170</v>
      </c>
      <c r="AA114" s="26">
        <f t="shared" ref="AA114:AA123" ca="1" si="6">Y114+IF(NOT(ISBLANK(OFFSET(AA114,0,6))),N(OFFSET(AA114,0,6)),N(OFFSET(AA114,0,7)))-Z114</f>
        <v>30</v>
      </c>
    </row>
    <row r="115" spans="1:27" x14ac:dyDescent="0.3">
      <c r="A115" s="25" t="s">
        <v>421</v>
      </c>
      <c r="B115" s="6">
        <v>200</v>
      </c>
      <c r="C115" s="66"/>
      <c r="D115" s="234"/>
      <c r="N115" s="39">
        <v>0</v>
      </c>
      <c r="O115" s="39">
        <v>0</v>
      </c>
      <c r="P115" s="39">
        <v>0</v>
      </c>
      <c r="Q115" s="39">
        <v>0</v>
      </c>
      <c r="R115" s="39">
        <v>0</v>
      </c>
      <c r="S115" s="39">
        <v>0</v>
      </c>
      <c r="T115" s="39">
        <f>AL10</f>
        <v>200</v>
      </c>
      <c r="U115" s="39">
        <v>200</v>
      </c>
      <c r="V115" s="39">
        <v>0</v>
      </c>
      <c r="W115" s="39">
        <v>0</v>
      </c>
      <c r="X115" s="39">
        <v>0</v>
      </c>
      <c r="Y115" s="39">
        <v>0</v>
      </c>
      <c r="Z115" s="39">
        <v>190</v>
      </c>
      <c r="AA115" s="26">
        <f t="shared" ca="1" si="6"/>
        <v>-190</v>
      </c>
    </row>
    <row r="116" spans="1:27" x14ac:dyDescent="0.3">
      <c r="A116" s="25" t="s">
        <v>422</v>
      </c>
      <c r="B116" s="6">
        <v>100</v>
      </c>
      <c r="C116" s="66"/>
      <c r="D116" s="234"/>
      <c r="N116" s="39">
        <v>0</v>
      </c>
      <c r="O116" s="39">
        <v>0</v>
      </c>
      <c r="P116" s="39">
        <v>0</v>
      </c>
      <c r="Q116" s="39">
        <v>0</v>
      </c>
      <c r="R116" s="39">
        <v>0</v>
      </c>
      <c r="S116" s="39">
        <v>0</v>
      </c>
      <c r="T116" s="39">
        <f>AL11</f>
        <v>100</v>
      </c>
      <c r="U116" s="39">
        <v>100</v>
      </c>
      <c r="V116" s="39">
        <v>0</v>
      </c>
      <c r="W116" s="39">
        <v>0</v>
      </c>
      <c r="X116" s="39">
        <v>0</v>
      </c>
      <c r="Y116" s="39">
        <v>0</v>
      </c>
      <c r="Z116" s="39">
        <v>65</v>
      </c>
      <c r="AA116" s="26">
        <f t="shared" ca="1" si="6"/>
        <v>-65</v>
      </c>
    </row>
    <row r="117" spans="1:27" x14ac:dyDescent="0.3">
      <c r="A117" s="25" t="s">
        <v>489</v>
      </c>
      <c r="B117" s="6">
        <v>200</v>
      </c>
      <c r="C117" s="66"/>
      <c r="D117" s="234"/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50</v>
      </c>
      <c r="V117" s="39"/>
      <c r="W117" s="39"/>
      <c r="X117" s="39"/>
      <c r="Y117" s="39"/>
      <c r="Z117" s="39"/>
      <c r="AA117" s="26">
        <f t="shared" ca="1" si="6"/>
        <v>0</v>
      </c>
    </row>
    <row r="118" spans="1:27" x14ac:dyDescent="0.3">
      <c r="A118" s="25" t="s">
        <v>487</v>
      </c>
      <c r="B118" s="6">
        <v>200</v>
      </c>
      <c r="C118" s="66"/>
      <c r="D118" s="234"/>
      <c r="N118" s="39">
        <v>0</v>
      </c>
      <c r="O118" s="39">
        <v>0</v>
      </c>
      <c r="P118" s="39">
        <v>0</v>
      </c>
      <c r="Q118" s="39">
        <v>0</v>
      </c>
      <c r="R118" s="39">
        <v>0</v>
      </c>
      <c r="S118" s="39">
        <v>0</v>
      </c>
      <c r="T118" s="39">
        <v>0</v>
      </c>
      <c r="U118" s="39">
        <v>50</v>
      </c>
      <c r="V118" s="39"/>
      <c r="W118" s="39"/>
      <c r="X118" s="39"/>
      <c r="Y118" s="39"/>
      <c r="Z118" s="39"/>
      <c r="AA118" s="26">
        <f t="shared" ca="1" si="6"/>
        <v>0</v>
      </c>
    </row>
    <row r="119" spans="1:27" x14ac:dyDescent="0.3">
      <c r="A119" s="25" t="s">
        <v>526</v>
      </c>
      <c r="B119" s="6">
        <v>100</v>
      </c>
      <c r="C119" s="66"/>
      <c r="D119" s="234"/>
      <c r="N119" s="39">
        <v>0</v>
      </c>
      <c r="O119" s="39">
        <v>0</v>
      </c>
      <c r="P119" s="39">
        <v>0</v>
      </c>
      <c r="Q119" s="39">
        <v>0</v>
      </c>
      <c r="R119" s="39">
        <v>0</v>
      </c>
      <c r="S119" s="39">
        <v>0</v>
      </c>
      <c r="T119" s="39">
        <v>0</v>
      </c>
      <c r="U119" s="39">
        <v>0</v>
      </c>
      <c r="V119" s="39"/>
      <c r="W119" s="39"/>
      <c r="X119" s="39"/>
      <c r="Y119" s="39"/>
      <c r="Z119" s="39"/>
      <c r="AA119" s="26">
        <f t="shared" ca="1" si="6"/>
        <v>0</v>
      </c>
    </row>
    <row r="120" spans="1:27" x14ac:dyDescent="0.3">
      <c r="A120" s="153" t="s">
        <v>481</v>
      </c>
      <c r="B120" s="72">
        <v>200</v>
      </c>
      <c r="C120" s="77"/>
      <c r="D120" s="72"/>
      <c r="N120" s="39">
        <v>0</v>
      </c>
      <c r="O120" s="39">
        <v>0</v>
      </c>
      <c r="P120" s="39">
        <v>0</v>
      </c>
      <c r="Q120" s="39">
        <v>0</v>
      </c>
      <c r="R120" s="39">
        <v>0</v>
      </c>
      <c r="S120" s="39">
        <v>0</v>
      </c>
      <c r="T120" s="39">
        <v>0</v>
      </c>
      <c r="U120" s="39">
        <v>2</v>
      </c>
      <c r="V120" s="39"/>
      <c r="W120" s="39"/>
      <c r="X120" s="39"/>
      <c r="Y120" s="39"/>
      <c r="Z120" s="39"/>
      <c r="AA120" s="26">
        <f t="shared" ca="1" si="6"/>
        <v>0</v>
      </c>
    </row>
    <row r="121" spans="1:27" x14ac:dyDescent="0.3">
      <c r="A121" s="153" t="s">
        <v>154</v>
      </c>
      <c r="B121" s="72">
        <v>150</v>
      </c>
      <c r="C121" s="77"/>
      <c r="D121" s="72"/>
      <c r="N121" s="39">
        <v>0</v>
      </c>
      <c r="O121" s="39">
        <v>0</v>
      </c>
      <c r="P121" s="39">
        <v>0</v>
      </c>
      <c r="Q121" s="39">
        <v>0</v>
      </c>
      <c r="R121" s="39">
        <v>0</v>
      </c>
      <c r="S121" s="39">
        <v>0</v>
      </c>
      <c r="T121" s="39">
        <v>0</v>
      </c>
      <c r="U121" s="39">
        <v>20</v>
      </c>
      <c r="V121" s="39"/>
      <c r="W121" s="39"/>
      <c r="X121" s="39"/>
      <c r="Y121" s="39"/>
      <c r="Z121" s="39"/>
      <c r="AA121" s="26">
        <f t="shared" ca="1" si="6"/>
        <v>0</v>
      </c>
    </row>
    <row r="122" spans="1:27" x14ac:dyDescent="0.3">
      <c r="A122" s="153" t="s">
        <v>156</v>
      </c>
      <c r="B122" s="72">
        <v>100</v>
      </c>
      <c r="C122" s="77"/>
      <c r="D122" s="72"/>
      <c r="N122" s="39">
        <v>0</v>
      </c>
      <c r="O122" s="39">
        <v>0</v>
      </c>
      <c r="P122" s="39">
        <v>0</v>
      </c>
      <c r="Q122" s="39">
        <v>0</v>
      </c>
      <c r="R122" s="39">
        <v>0</v>
      </c>
      <c r="S122" s="39">
        <v>0</v>
      </c>
      <c r="T122" s="39">
        <v>0</v>
      </c>
      <c r="U122" s="39">
        <v>30</v>
      </c>
      <c r="V122" s="39"/>
      <c r="W122" s="39"/>
      <c r="X122" s="39"/>
      <c r="Y122" s="39"/>
      <c r="Z122" s="39"/>
      <c r="AA122" s="26">
        <f t="shared" ca="1" si="6"/>
        <v>0</v>
      </c>
    </row>
    <row r="123" spans="1:27" x14ac:dyDescent="0.3">
      <c r="A123" s="153" t="s">
        <v>160</v>
      </c>
      <c r="B123" s="72">
        <v>150</v>
      </c>
      <c r="C123" s="77"/>
      <c r="D123" s="72"/>
      <c r="N123" s="39">
        <v>0</v>
      </c>
      <c r="O123" s="39">
        <v>0</v>
      </c>
      <c r="P123" s="39">
        <v>0</v>
      </c>
      <c r="Q123" s="39">
        <v>0</v>
      </c>
      <c r="R123" s="39">
        <v>0</v>
      </c>
      <c r="S123" s="39">
        <v>0</v>
      </c>
      <c r="T123" s="39">
        <v>0</v>
      </c>
      <c r="U123" s="39">
        <v>50</v>
      </c>
      <c r="V123" s="39"/>
      <c r="W123" s="39"/>
      <c r="X123" s="39"/>
      <c r="Y123" s="39"/>
      <c r="Z123" s="39"/>
      <c r="AA123" s="26">
        <f t="shared" ca="1" si="6"/>
        <v>0</v>
      </c>
    </row>
  </sheetData>
  <mergeCells count="9">
    <mergeCell ref="A102:AA102"/>
    <mergeCell ref="B5:B6"/>
    <mergeCell ref="B2:D2"/>
    <mergeCell ref="D5:D6"/>
    <mergeCell ref="A5:A6"/>
    <mergeCell ref="B3:D3"/>
    <mergeCell ref="F5:AA5"/>
    <mergeCell ref="A1:AB1"/>
    <mergeCell ref="C5:C6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49" orientation="landscape" horizontalDpi="4294967295" verticalDpi="4294967295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64">
    <tabColor theme="8"/>
    <pageSetUpPr fitToPage="1"/>
  </sheetPr>
  <dimension ref="A1:BG133"/>
  <sheetViews>
    <sheetView showGridLines="0" topLeftCell="A46" zoomScale="80" zoomScaleNormal="80" zoomScaleSheetLayoutView="50" workbookViewId="0">
      <selection activeCell="AA63" sqref="AA63:AA65"/>
    </sheetView>
  </sheetViews>
  <sheetFormatPr defaultColWidth="9.140625" defaultRowHeight="18.75" x14ac:dyDescent="0.3"/>
  <cols>
    <col min="1" max="1" width="34.5703125" style="62" customWidth="1"/>
    <col min="2" max="2" width="8.140625" style="11" customWidth="1"/>
    <col min="3" max="3" width="16.140625" style="11" customWidth="1"/>
    <col min="4" max="4" width="17.42578125" style="11" customWidth="1"/>
    <col min="5" max="5" width="2" style="11" customWidth="1"/>
    <col min="6" max="24" width="9.28515625" style="11" hidden="1" customWidth="1"/>
    <col min="25" max="26" width="9.28515625" style="11" customWidth="1"/>
    <col min="27" max="27" width="9.5703125" style="11" customWidth="1"/>
    <col min="28" max="28" width="1.42578125" style="11" customWidth="1"/>
    <col min="29" max="29" width="17.85546875" style="71" customWidth="1"/>
    <col min="30" max="30" width="14.28515625" style="71" customWidth="1"/>
    <col min="31" max="31" width="0.85546875" style="11" customWidth="1"/>
    <col min="32" max="32" width="17.42578125" style="34" customWidth="1"/>
    <col min="33" max="33" width="1.85546875" style="11" customWidth="1"/>
    <col min="34" max="44" width="9.140625" style="34" customWidth="1"/>
    <col min="45" max="55" width="9.140625" style="34" hidden="1" customWidth="1"/>
    <col min="56" max="56" width="14.28515625" style="34" hidden="1" customWidth="1"/>
    <col min="57" max="59" width="9.140625" style="34" hidden="1" customWidth="1"/>
    <col min="60" max="60" width="9.140625" style="11" customWidth="1"/>
    <col min="61" max="16384" width="9.140625" style="11"/>
  </cols>
  <sheetData>
    <row r="1" spans="1:59" ht="23.25" customHeight="1" x14ac:dyDescent="0.3">
      <c r="A1" s="477" t="s">
        <v>117</v>
      </c>
      <c r="B1" s="479"/>
      <c r="C1" s="479"/>
      <c r="D1" s="479"/>
      <c r="E1" s="479"/>
      <c r="F1" s="479"/>
      <c r="G1" s="479"/>
      <c r="H1" s="479"/>
      <c r="I1" s="479"/>
      <c r="J1" s="479"/>
      <c r="K1" s="479"/>
      <c r="L1" s="479"/>
      <c r="M1" s="479"/>
      <c r="N1" s="479"/>
      <c r="O1" s="479"/>
      <c r="P1" s="479"/>
      <c r="Q1" s="479"/>
      <c r="R1" s="479"/>
      <c r="S1" s="479"/>
      <c r="T1" s="479"/>
      <c r="U1" s="479"/>
      <c r="V1" s="479"/>
      <c r="W1" s="479"/>
      <c r="X1" s="479"/>
      <c r="Y1" s="479"/>
      <c r="Z1" s="479"/>
      <c r="AA1" s="479"/>
      <c r="AB1" s="479"/>
      <c r="AE1" s="34"/>
      <c r="AF1" s="11"/>
      <c r="AG1" s="34"/>
    </row>
    <row r="2" spans="1:59" x14ac:dyDescent="0.3">
      <c r="A2" s="63" t="s">
        <v>118</v>
      </c>
      <c r="B2" s="473" t="s">
        <v>423</v>
      </c>
      <c r="C2" s="463"/>
      <c r="D2" s="464"/>
      <c r="AE2" s="34"/>
      <c r="AF2" s="11"/>
      <c r="AG2" s="34"/>
    </row>
    <row r="3" spans="1:59" x14ac:dyDescent="0.3">
      <c r="A3" s="63" t="s">
        <v>120</v>
      </c>
      <c r="B3" s="465" t="s">
        <v>425</v>
      </c>
      <c r="C3" s="463"/>
      <c r="D3" s="464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E3" s="7"/>
      <c r="AG3" s="34"/>
    </row>
    <row r="4" spans="1:59" x14ac:dyDescent="0.3">
      <c r="AC4" s="41"/>
      <c r="AD4" s="41"/>
      <c r="AF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</row>
    <row r="5" spans="1:59" ht="24.75" customHeight="1" x14ac:dyDescent="0.3">
      <c r="A5" s="460" t="s">
        <v>122</v>
      </c>
      <c r="B5" s="471" t="s">
        <v>123</v>
      </c>
      <c r="C5" s="471" t="s">
        <v>124</v>
      </c>
      <c r="D5" s="474" t="s">
        <v>125</v>
      </c>
      <c r="F5" s="501"/>
      <c r="G5" s="467"/>
      <c r="H5" s="467"/>
      <c r="I5" s="467"/>
      <c r="J5" s="467"/>
      <c r="K5" s="467"/>
      <c r="L5" s="467"/>
      <c r="M5" s="467"/>
      <c r="N5" s="467"/>
      <c r="O5" s="467"/>
      <c r="P5" s="467"/>
      <c r="Q5" s="467"/>
      <c r="R5" s="467"/>
      <c r="S5" s="467"/>
      <c r="T5" s="467"/>
      <c r="U5" s="467"/>
      <c r="V5" s="467"/>
      <c r="W5" s="467"/>
      <c r="X5" s="467"/>
      <c r="Y5" s="467"/>
      <c r="Z5" s="467"/>
      <c r="AA5" s="469"/>
      <c r="AC5" s="29" t="s">
        <v>126</v>
      </c>
      <c r="AD5" s="29" t="s">
        <v>126</v>
      </c>
      <c r="AF5" s="9" t="s">
        <v>127</v>
      </c>
      <c r="AH5" s="17">
        <v>46149</v>
      </c>
      <c r="AI5" s="17">
        <v>46142</v>
      </c>
      <c r="AJ5" s="17">
        <v>46114</v>
      </c>
      <c r="AK5" s="17">
        <v>46107</v>
      </c>
      <c r="AL5" s="17">
        <v>46099</v>
      </c>
      <c r="AM5" s="294">
        <v>46065</v>
      </c>
      <c r="AN5" s="17">
        <v>46092</v>
      </c>
      <c r="AO5" s="17">
        <v>46084</v>
      </c>
      <c r="AP5" s="294">
        <v>46065</v>
      </c>
      <c r="AQ5" s="292">
        <v>46045</v>
      </c>
      <c r="AR5" s="17">
        <v>46077</v>
      </c>
      <c r="AS5" s="17">
        <v>46071</v>
      </c>
      <c r="AT5" s="17">
        <v>46056</v>
      </c>
      <c r="AU5" s="17">
        <v>46048</v>
      </c>
      <c r="AV5" s="17">
        <v>46029</v>
      </c>
      <c r="AW5" s="17">
        <v>46029</v>
      </c>
      <c r="AX5" s="17">
        <v>46043</v>
      </c>
      <c r="AY5" s="17">
        <v>46029</v>
      </c>
      <c r="AZ5" s="17">
        <v>46017</v>
      </c>
      <c r="BA5" s="17">
        <v>46007</v>
      </c>
      <c r="BB5" s="17">
        <v>46001</v>
      </c>
      <c r="BC5" s="17">
        <v>46001</v>
      </c>
      <c r="BD5" s="207" t="s">
        <v>128</v>
      </c>
      <c r="BE5" s="17">
        <v>45994</v>
      </c>
      <c r="BF5" s="17">
        <v>45986</v>
      </c>
      <c r="BG5" s="17">
        <v>45986</v>
      </c>
    </row>
    <row r="6" spans="1:59" s="3" customFormat="1" x14ac:dyDescent="0.3">
      <c r="A6" s="461"/>
      <c r="B6" s="461"/>
      <c r="C6" s="461"/>
      <c r="D6" s="461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149" t="s">
        <v>129</v>
      </c>
      <c r="AB6" s="30"/>
      <c r="AC6" s="18"/>
      <c r="AD6" s="18">
        <v>46149</v>
      </c>
      <c r="AE6" s="31"/>
      <c r="AF6" s="179">
        <v>46155</v>
      </c>
      <c r="AG6" s="31"/>
      <c r="AH6" s="17">
        <v>46154</v>
      </c>
      <c r="AI6" s="17">
        <v>46149</v>
      </c>
      <c r="AJ6" s="17">
        <v>46125</v>
      </c>
      <c r="AK6" s="17">
        <v>46112</v>
      </c>
      <c r="AL6" s="17">
        <v>46106</v>
      </c>
      <c r="AM6" s="294">
        <v>46104</v>
      </c>
      <c r="AN6" s="17">
        <v>46100</v>
      </c>
      <c r="AO6" s="17">
        <v>46090</v>
      </c>
      <c r="AP6" s="294">
        <v>46087</v>
      </c>
      <c r="AQ6" s="292">
        <v>46087</v>
      </c>
      <c r="AR6" s="17">
        <v>46084</v>
      </c>
      <c r="AS6" s="17">
        <v>46077</v>
      </c>
      <c r="AT6" s="17">
        <v>46064</v>
      </c>
      <c r="AU6" s="17">
        <v>46057</v>
      </c>
      <c r="AV6" s="17">
        <v>46041</v>
      </c>
      <c r="AW6" s="17">
        <v>46045</v>
      </c>
      <c r="AX6" s="17">
        <v>46049</v>
      </c>
      <c r="AY6" s="17">
        <v>46041</v>
      </c>
      <c r="AZ6" s="17">
        <v>46028</v>
      </c>
      <c r="BA6" s="17">
        <v>46014</v>
      </c>
      <c r="BB6" s="17">
        <v>46010</v>
      </c>
      <c r="BC6" s="17">
        <v>46006</v>
      </c>
      <c r="BD6" s="207">
        <v>46014</v>
      </c>
      <c r="BE6" s="17">
        <v>46001</v>
      </c>
      <c r="BF6" s="17">
        <v>46000</v>
      </c>
      <c r="BG6" s="17">
        <v>45994</v>
      </c>
    </row>
    <row r="7" spans="1:59" s="3" customFormat="1" ht="21.75" customHeight="1" x14ac:dyDescent="0.3">
      <c r="A7" s="20" t="s">
        <v>426</v>
      </c>
      <c r="B7" s="4"/>
      <c r="C7" s="5"/>
      <c r="D7" s="233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1"/>
      <c r="AC7" s="84"/>
      <c r="AD7" s="84"/>
      <c r="AE7" s="11"/>
      <c r="AF7" s="111"/>
      <c r="AG7" s="11"/>
      <c r="AH7" s="114"/>
      <c r="AI7" s="114"/>
      <c r="AJ7" s="114"/>
      <c r="AK7" s="114"/>
      <c r="AL7" s="114"/>
      <c r="AM7" s="114" t="s">
        <v>131</v>
      </c>
      <c r="AN7" s="114"/>
      <c r="AO7" s="114"/>
      <c r="AP7" s="114" t="s">
        <v>131</v>
      </c>
      <c r="AQ7" s="114" t="s">
        <v>131</v>
      </c>
      <c r="AR7" s="114"/>
      <c r="AS7" s="114"/>
      <c r="AT7" s="114"/>
      <c r="AU7" s="114"/>
      <c r="AV7" s="114"/>
      <c r="AW7" s="114"/>
      <c r="AX7" s="114"/>
      <c r="AY7" s="114"/>
      <c r="AZ7" s="114"/>
      <c r="BA7" s="114"/>
      <c r="BB7" s="114"/>
      <c r="BC7" s="114"/>
      <c r="BD7" s="114"/>
      <c r="BE7" s="114"/>
      <c r="BF7" s="114"/>
      <c r="BG7" s="114"/>
    </row>
    <row r="8" spans="1:59" s="3" customFormat="1" x14ac:dyDescent="0.3">
      <c r="A8" s="21" t="s">
        <v>132</v>
      </c>
      <c r="B8" s="6">
        <v>300</v>
      </c>
      <c r="C8" s="82">
        <v>178.21</v>
      </c>
      <c r="D8" s="234">
        <v>1000</v>
      </c>
      <c r="E8" s="11"/>
      <c r="F8" s="122">
        <v>2400</v>
      </c>
      <c r="G8" s="122">
        <v>2400</v>
      </c>
      <c r="H8" s="122">
        <v>1800</v>
      </c>
      <c r="I8" s="122">
        <v>1800</v>
      </c>
      <c r="J8" s="122">
        <f>1500+AY8</f>
        <v>2100</v>
      </c>
      <c r="K8" s="122">
        <v>1800</v>
      </c>
      <c r="L8" s="122">
        <v>1500</v>
      </c>
      <c r="M8" s="122">
        <v>1500</v>
      </c>
      <c r="N8" s="122">
        <v>1200</v>
      </c>
      <c r="O8" s="122">
        <v>1200</v>
      </c>
      <c r="P8" s="122">
        <v>900</v>
      </c>
      <c r="Q8" s="122">
        <f>600+AO8</f>
        <v>900</v>
      </c>
      <c r="R8" s="122">
        <f>600+AN8</f>
        <v>900</v>
      </c>
      <c r="S8" s="122">
        <v>900</v>
      </c>
      <c r="T8" s="122">
        <v>600</v>
      </c>
      <c r="U8" s="122">
        <v>300</v>
      </c>
      <c r="V8" s="122">
        <v>300</v>
      </c>
      <c r="W8" s="122">
        <v>600</v>
      </c>
      <c r="X8" s="122">
        <v>300</v>
      </c>
      <c r="Y8" s="122">
        <f>0+AI8</f>
        <v>900</v>
      </c>
      <c r="Z8" s="122">
        <v>900</v>
      </c>
      <c r="AA8" s="372">
        <f ca="1">Y8+IF(NOT(ISBLANK(OFFSET(AA8,0,6))),N(OFFSET(AA8,0,6)),N(OFFSET(AA8,0,7)))-Z8</f>
        <v>0</v>
      </c>
      <c r="AB8" s="11"/>
      <c r="AC8" s="78"/>
      <c r="AD8" s="78"/>
      <c r="AE8" s="11"/>
      <c r="AF8" s="32"/>
      <c r="AG8" s="11"/>
      <c r="AH8" s="19">
        <v>0</v>
      </c>
      <c r="AI8" s="19">
        <v>900</v>
      </c>
      <c r="AJ8" s="19">
        <v>900</v>
      </c>
      <c r="AK8" s="19"/>
      <c r="AL8" s="19"/>
      <c r="AM8" s="19"/>
      <c r="AN8" s="19">
        <v>300</v>
      </c>
      <c r="AO8" s="19">
        <v>300</v>
      </c>
      <c r="AP8" s="19"/>
      <c r="AQ8" s="19"/>
      <c r="AR8" s="19"/>
      <c r="AS8" s="19"/>
      <c r="AT8" s="19"/>
      <c r="AU8" s="19"/>
      <c r="AV8" s="19"/>
      <c r="AW8" s="19"/>
      <c r="AX8" s="19"/>
      <c r="AY8" s="19">
        <v>600</v>
      </c>
      <c r="AZ8" s="19"/>
      <c r="BA8" s="19"/>
      <c r="BB8" s="19"/>
      <c r="BC8" s="19"/>
      <c r="BD8" s="19"/>
      <c r="BE8" s="19">
        <v>1800</v>
      </c>
      <c r="BF8" s="19"/>
      <c r="BG8" s="19"/>
    </row>
    <row r="9" spans="1:59" s="3" customFormat="1" x14ac:dyDescent="0.3">
      <c r="A9" s="21" t="s">
        <v>134</v>
      </c>
      <c r="B9" s="6">
        <v>200</v>
      </c>
      <c r="C9" s="82">
        <v>183.89</v>
      </c>
      <c r="D9" s="234">
        <v>2400</v>
      </c>
      <c r="E9" s="11"/>
      <c r="F9" s="122">
        <v>3600</v>
      </c>
      <c r="G9" s="122">
        <v>2800</v>
      </c>
      <c r="H9" s="122">
        <f>1800+AZ9</f>
        <v>3800</v>
      </c>
      <c r="I9" s="122">
        <v>2800</v>
      </c>
      <c r="J9" s="122">
        <f>1600+AY9</f>
        <v>2600</v>
      </c>
      <c r="K9" s="122">
        <f>1400+AX9</f>
        <v>3800</v>
      </c>
      <c r="L9" s="122">
        <f>2800+AU9</f>
        <v>4000</v>
      </c>
      <c r="M9" s="122">
        <f>3800+AT9</f>
        <v>5000</v>
      </c>
      <c r="N9" s="122">
        <v>4000</v>
      </c>
      <c r="O9" s="122">
        <f>2600+AS9</f>
        <v>6600</v>
      </c>
      <c r="P9" s="122">
        <f>5600+AR9</f>
        <v>7000</v>
      </c>
      <c r="Q9" s="122">
        <v>4000</v>
      </c>
      <c r="R9" s="122">
        <f>4000+AN9</f>
        <v>7000</v>
      </c>
      <c r="S9" s="122">
        <v>6800</v>
      </c>
      <c r="T9" s="122">
        <v>5800</v>
      </c>
      <c r="U9" s="122">
        <v>5000</v>
      </c>
      <c r="V9" s="122">
        <v>4200</v>
      </c>
      <c r="W9" s="122">
        <v>4800</v>
      </c>
      <c r="X9" s="122">
        <v>4800</v>
      </c>
      <c r="Y9" s="122">
        <v>4800</v>
      </c>
      <c r="Z9" s="122">
        <v>400</v>
      </c>
      <c r="AA9" s="372">
        <f ca="1">Y9+IF(NOT(ISBLANK(OFFSET(AA9,0,6))),N(OFFSET(AA9,0,6)),N(OFFSET(AA9,0,7)))-Z9</f>
        <v>4400</v>
      </c>
      <c r="AB9" s="11"/>
      <c r="AC9" s="78"/>
      <c r="AD9" s="78"/>
      <c r="AE9" s="11"/>
      <c r="AF9" s="32">
        <v>2000</v>
      </c>
      <c r="AG9" s="11"/>
      <c r="AH9" s="19">
        <v>0</v>
      </c>
      <c r="AI9" s="19">
        <v>0</v>
      </c>
      <c r="AJ9" s="19">
        <v>2000</v>
      </c>
      <c r="AK9" s="19"/>
      <c r="AL9" s="19"/>
      <c r="AM9" s="244">
        <v>4000</v>
      </c>
      <c r="AN9" s="19">
        <v>3000</v>
      </c>
      <c r="AO9" s="19"/>
      <c r="AP9" s="19"/>
      <c r="AQ9" s="19"/>
      <c r="AR9" s="19">
        <v>1400</v>
      </c>
      <c r="AS9" s="19">
        <v>4000</v>
      </c>
      <c r="AT9" s="19">
        <v>1200</v>
      </c>
      <c r="AU9" s="19">
        <v>1200</v>
      </c>
      <c r="AV9" s="19"/>
      <c r="AW9" s="19"/>
      <c r="AX9" s="19">
        <v>2400</v>
      </c>
      <c r="AY9" s="19">
        <v>1000</v>
      </c>
      <c r="AZ9" s="19">
        <v>2000</v>
      </c>
      <c r="BA9" s="19"/>
      <c r="BB9" s="19"/>
      <c r="BC9" s="19"/>
      <c r="BD9" s="253" t="s">
        <v>135</v>
      </c>
      <c r="BE9" s="19">
        <v>4000</v>
      </c>
      <c r="BF9" s="19">
        <v>1000</v>
      </c>
      <c r="BG9" s="19"/>
    </row>
    <row r="10" spans="1:59" s="3" customFormat="1" x14ac:dyDescent="0.3">
      <c r="A10" s="21" t="s">
        <v>137</v>
      </c>
      <c r="B10" s="6">
        <v>200</v>
      </c>
      <c r="C10" s="82">
        <v>241.74</v>
      </c>
      <c r="D10" s="238">
        <v>800</v>
      </c>
      <c r="E10" s="11"/>
      <c r="F10" s="122">
        <v>2600</v>
      </c>
      <c r="G10" s="122">
        <v>2400</v>
      </c>
      <c r="H10" s="122">
        <v>2200</v>
      </c>
      <c r="I10" s="122">
        <v>2000</v>
      </c>
      <c r="J10" s="122">
        <f>2000+AY10</f>
        <v>2400</v>
      </c>
      <c r="K10" s="122">
        <v>2200</v>
      </c>
      <c r="L10" s="122">
        <v>2200</v>
      </c>
      <c r="M10" s="122">
        <v>2200</v>
      </c>
      <c r="N10" s="122">
        <v>1800</v>
      </c>
      <c r="O10" s="122">
        <v>1800</v>
      </c>
      <c r="P10" s="122">
        <f>1800+AR10</f>
        <v>2200</v>
      </c>
      <c r="Q10" s="122">
        <v>1400</v>
      </c>
      <c r="R10" s="122">
        <v>1400</v>
      </c>
      <c r="S10" s="122">
        <v>1200</v>
      </c>
      <c r="T10" s="122">
        <v>1200</v>
      </c>
      <c r="U10" s="122">
        <v>1000</v>
      </c>
      <c r="V10" s="122">
        <v>800</v>
      </c>
      <c r="W10" s="122">
        <v>800</v>
      </c>
      <c r="X10" s="122">
        <v>800</v>
      </c>
      <c r="Y10" s="122">
        <v>800</v>
      </c>
      <c r="Z10" s="122">
        <v>800</v>
      </c>
      <c r="AA10" s="372">
        <f ca="1">Y10+IF(NOT(ISBLANK(OFFSET(AA10,0,6))),N(OFFSET(AA10,0,6)),N(OFFSET(AA10,0,7)))-Z10</f>
        <v>0</v>
      </c>
      <c r="AB10" s="11"/>
      <c r="AC10" s="78"/>
      <c r="AD10" s="78"/>
      <c r="AE10" s="11"/>
      <c r="AF10" s="32"/>
      <c r="AG10" s="11"/>
      <c r="AH10" s="19">
        <v>0</v>
      </c>
      <c r="AI10" s="19">
        <v>0</v>
      </c>
      <c r="AJ10" s="19"/>
      <c r="AK10" s="19"/>
      <c r="AL10" s="19"/>
      <c r="AM10" s="244">
        <v>2200</v>
      </c>
      <c r="AN10" s="19"/>
      <c r="AO10" s="19"/>
      <c r="AP10" s="19"/>
      <c r="AQ10" s="293">
        <v>2100</v>
      </c>
      <c r="AR10" s="19">
        <v>400</v>
      </c>
      <c r="AS10" s="19"/>
      <c r="AT10" s="19"/>
      <c r="AU10" s="19"/>
      <c r="AV10" s="19"/>
      <c r="AW10" s="19"/>
      <c r="AX10" s="19"/>
      <c r="AY10" s="19">
        <v>400</v>
      </c>
      <c r="AZ10" s="19"/>
      <c r="BA10" s="19"/>
      <c r="BB10" s="19"/>
      <c r="BC10" s="19"/>
      <c r="BD10" s="19"/>
      <c r="BE10" s="19">
        <v>1000</v>
      </c>
      <c r="BF10" s="19">
        <v>800</v>
      </c>
      <c r="BG10" s="19"/>
    </row>
    <row r="11" spans="1:59" s="3" customFormat="1" ht="19.5" customHeight="1" x14ac:dyDescent="0.3">
      <c r="A11" s="22" t="s">
        <v>139</v>
      </c>
      <c r="B11" s="6">
        <v>100</v>
      </c>
      <c r="C11" s="82">
        <v>175.78</v>
      </c>
      <c r="D11" s="234">
        <v>300</v>
      </c>
      <c r="E11" s="11"/>
      <c r="F11" s="39">
        <v>300</v>
      </c>
      <c r="G11" s="39">
        <v>100</v>
      </c>
      <c r="H11" s="39">
        <v>0</v>
      </c>
      <c r="I11" s="39">
        <v>0</v>
      </c>
      <c r="J11" s="39">
        <f>0+AY11</f>
        <v>500</v>
      </c>
      <c r="K11" s="39">
        <v>500</v>
      </c>
      <c r="L11" s="39">
        <v>500</v>
      </c>
      <c r="M11" s="39">
        <v>500</v>
      </c>
      <c r="N11" s="39">
        <v>400</v>
      </c>
      <c r="O11" s="39">
        <v>400</v>
      </c>
      <c r="P11" s="39">
        <f>200+AR11</f>
        <v>500</v>
      </c>
      <c r="Q11" s="39">
        <f>500+AO11</f>
        <v>900</v>
      </c>
      <c r="R11" s="39">
        <v>800</v>
      </c>
      <c r="S11" s="39">
        <v>800</v>
      </c>
      <c r="T11" s="39">
        <v>600</v>
      </c>
      <c r="U11" s="39">
        <v>600</v>
      </c>
      <c r="V11" s="39">
        <v>500</v>
      </c>
      <c r="W11" s="39">
        <v>900</v>
      </c>
      <c r="X11" s="39">
        <v>900</v>
      </c>
      <c r="Y11" s="39">
        <v>900</v>
      </c>
      <c r="Z11" s="39">
        <v>900</v>
      </c>
      <c r="AA11" s="372">
        <f ca="1">Y11+IF(NOT(ISBLANK(OFFSET(AA11,0,6))),N(OFFSET(AA11,0,6)),N(OFFSET(AA11,0,7)))-Z11</f>
        <v>0</v>
      </c>
      <c r="AB11" s="11"/>
      <c r="AC11" s="78"/>
      <c r="AD11" s="78"/>
      <c r="AE11" s="11"/>
      <c r="AF11" s="32"/>
      <c r="AG11" s="11"/>
      <c r="AH11" s="19">
        <v>0</v>
      </c>
      <c r="AI11" s="19">
        <v>0</v>
      </c>
      <c r="AJ11" s="19">
        <v>400</v>
      </c>
      <c r="AK11" s="19"/>
      <c r="AL11" s="19"/>
      <c r="AM11" s="244">
        <v>800</v>
      </c>
      <c r="AN11" s="19"/>
      <c r="AO11" s="19">
        <v>400</v>
      </c>
      <c r="AP11" s="19"/>
      <c r="AQ11" s="19"/>
      <c r="AR11" s="19">
        <v>300</v>
      </c>
      <c r="AS11" s="19"/>
      <c r="AT11" s="19"/>
      <c r="AU11" s="19"/>
      <c r="AV11" s="19"/>
      <c r="AW11" s="19"/>
      <c r="AX11" s="19"/>
      <c r="AY11" s="19">
        <v>500</v>
      </c>
      <c r="AZ11" s="19"/>
      <c r="BA11" s="19"/>
      <c r="BB11" s="19"/>
      <c r="BC11" s="19"/>
      <c r="BD11" s="253" t="s">
        <v>427</v>
      </c>
      <c r="BE11" s="19">
        <v>300</v>
      </c>
      <c r="BF11" s="19">
        <v>200</v>
      </c>
      <c r="BG11" s="19"/>
    </row>
    <row r="12" spans="1:59" s="3" customFormat="1" ht="19.5" customHeight="1" x14ac:dyDescent="0.3">
      <c r="A12" s="129"/>
      <c r="B12" s="130"/>
      <c r="C12" s="67"/>
      <c r="D12" s="67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11"/>
      <c r="AC12" s="10"/>
      <c r="AD12" s="10"/>
      <c r="AE12" s="11"/>
      <c r="AF12" s="33"/>
      <c r="AG12" s="11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A12" s="75"/>
      <c r="BB12" s="75"/>
      <c r="BC12" s="75"/>
      <c r="BD12" s="75"/>
      <c r="BE12" s="75"/>
      <c r="BF12" s="75"/>
      <c r="BG12" s="75"/>
    </row>
    <row r="13" spans="1:59" s="3" customFormat="1" ht="18.75" customHeight="1" x14ac:dyDescent="0.25">
      <c r="A13" s="24" t="s">
        <v>428</v>
      </c>
      <c r="B13" s="12" t="s">
        <v>151</v>
      </c>
      <c r="C13" s="65" t="s">
        <v>152</v>
      </c>
      <c r="D13" s="12" t="s">
        <v>125</v>
      </c>
      <c r="E13" s="1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149" t="s">
        <v>129</v>
      </c>
      <c r="AC13" s="29" t="s">
        <v>126</v>
      </c>
      <c r="AD13" s="29" t="s">
        <v>126</v>
      </c>
      <c r="AE13" s="126"/>
      <c r="AF13" s="9" t="s">
        <v>127</v>
      </c>
      <c r="AG13" s="126"/>
      <c r="AH13" s="17">
        <v>46149</v>
      </c>
      <c r="AI13" s="17">
        <v>46142</v>
      </c>
      <c r="AJ13" s="17">
        <v>46114</v>
      </c>
      <c r="AK13" s="17">
        <v>46107</v>
      </c>
      <c r="AL13" s="17">
        <v>46099</v>
      </c>
      <c r="AM13" s="294">
        <v>46065</v>
      </c>
      <c r="AN13" s="17">
        <v>46092</v>
      </c>
      <c r="AO13" s="17">
        <v>46084</v>
      </c>
      <c r="AP13" s="294">
        <v>46065</v>
      </c>
      <c r="AQ13" s="292">
        <v>46045</v>
      </c>
      <c r="AR13" s="17">
        <v>46077</v>
      </c>
      <c r="AS13" s="17">
        <v>46071</v>
      </c>
      <c r="AT13" s="17">
        <v>46056</v>
      </c>
      <c r="AU13" s="17">
        <v>46048</v>
      </c>
      <c r="AV13" s="17">
        <v>46029</v>
      </c>
      <c r="AW13" s="17">
        <v>46029</v>
      </c>
      <c r="AX13" s="17">
        <v>46043</v>
      </c>
      <c r="AY13" s="17">
        <v>46029</v>
      </c>
      <c r="AZ13" s="17">
        <v>46017</v>
      </c>
      <c r="BA13" s="17">
        <v>46007</v>
      </c>
      <c r="BB13" s="17">
        <v>46001</v>
      </c>
      <c r="BC13" s="17">
        <v>46001</v>
      </c>
      <c r="BD13" s="207">
        <v>46014</v>
      </c>
      <c r="BE13" s="17">
        <v>45994</v>
      </c>
      <c r="BF13" s="17">
        <v>45986</v>
      </c>
      <c r="BG13" s="17">
        <v>45986</v>
      </c>
    </row>
    <row r="14" spans="1:59" s="3" customFormat="1" ht="18.75" customHeight="1" x14ac:dyDescent="0.25">
      <c r="A14" s="25" t="s">
        <v>429</v>
      </c>
      <c r="B14" s="6">
        <v>300</v>
      </c>
      <c r="C14" s="66">
        <v>216</v>
      </c>
      <c r="D14" s="234">
        <v>300</v>
      </c>
      <c r="E14" s="1"/>
      <c r="F14" s="128">
        <v>460</v>
      </c>
      <c r="G14" s="128">
        <v>424</v>
      </c>
      <c r="H14" s="128">
        <v>397</v>
      </c>
      <c r="I14" s="128">
        <v>357</v>
      </c>
      <c r="J14" s="128">
        <v>357</v>
      </c>
      <c r="K14" s="128">
        <v>326</v>
      </c>
      <c r="L14" s="128">
        <v>301</v>
      </c>
      <c r="M14" s="128">
        <v>261</v>
      </c>
      <c r="N14" s="128">
        <v>287</v>
      </c>
      <c r="O14" s="128">
        <v>262</v>
      </c>
      <c r="P14" s="128">
        <f>240+AR14</f>
        <v>540</v>
      </c>
      <c r="Q14" s="128">
        <v>495</v>
      </c>
      <c r="R14" s="128">
        <v>484</v>
      </c>
      <c r="S14" s="128">
        <v>436</v>
      </c>
      <c r="T14" s="128">
        <v>411</v>
      </c>
      <c r="U14" s="128"/>
      <c r="V14" s="128"/>
      <c r="W14" s="128"/>
      <c r="X14" s="128"/>
      <c r="Y14" s="128"/>
      <c r="Z14" s="128">
        <v>190</v>
      </c>
      <c r="AA14" s="372">
        <f ca="1">Y14+IF(NOT(ISBLANK(OFFSET(AA14,0,6))),N(OFFSET(AA14,0,6)),N(OFFSET(AA14,0,7)))-Z14</f>
        <v>-190</v>
      </c>
      <c r="AC14" s="78"/>
      <c r="AD14" s="78"/>
      <c r="AE14" s="126"/>
      <c r="AF14" s="32"/>
      <c r="AG14" s="126"/>
      <c r="AH14" s="19">
        <v>0</v>
      </c>
      <c r="AI14" s="19">
        <v>0</v>
      </c>
      <c r="AJ14" s="19"/>
      <c r="AK14" s="19"/>
      <c r="AL14" s="19"/>
      <c r="AM14" s="19"/>
      <c r="AN14" s="19"/>
      <c r="AO14" s="19"/>
      <c r="AP14" s="19"/>
      <c r="AQ14" s="19"/>
      <c r="AR14" s="19">
        <v>300</v>
      </c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>
        <v>600</v>
      </c>
    </row>
    <row r="15" spans="1:59" s="3" customFormat="1" ht="18.75" customHeight="1" x14ac:dyDescent="0.25">
      <c r="A15" s="25" t="s">
        <v>430</v>
      </c>
      <c r="B15" s="6">
        <v>200</v>
      </c>
      <c r="C15" s="66">
        <v>246.28</v>
      </c>
      <c r="D15" s="234">
        <v>400</v>
      </c>
      <c r="E15" s="1"/>
      <c r="F15" s="39">
        <v>378</v>
      </c>
      <c r="G15" s="39">
        <v>347</v>
      </c>
      <c r="H15" s="39">
        <v>321</v>
      </c>
      <c r="I15" s="39">
        <v>312</v>
      </c>
      <c r="J15" s="39">
        <v>304</v>
      </c>
      <c r="K15" s="39">
        <v>304</v>
      </c>
      <c r="L15" s="39">
        <v>274</v>
      </c>
      <c r="M15" s="39">
        <f>248+AT15</f>
        <v>448</v>
      </c>
      <c r="N15" s="39">
        <v>448</v>
      </c>
      <c r="O15" s="39">
        <v>437</v>
      </c>
      <c r="P15" s="39">
        <v>409</v>
      </c>
      <c r="Q15" s="39">
        <v>374</v>
      </c>
      <c r="R15" s="39">
        <v>312</v>
      </c>
      <c r="S15" s="39">
        <v>236</v>
      </c>
      <c r="T15" s="39">
        <v>167</v>
      </c>
      <c r="U15" s="39"/>
      <c r="V15" s="39"/>
      <c r="W15" s="39"/>
      <c r="X15" s="39"/>
      <c r="Y15" s="39"/>
      <c r="Z15" s="39">
        <v>0</v>
      </c>
      <c r="AA15" s="372">
        <f ca="1">Y15+IF(NOT(ISBLANK(OFFSET(AA15,0,6))),N(OFFSET(AA15,0,6)),N(OFFSET(AA15,0,7)))-Z15</f>
        <v>0</v>
      </c>
      <c r="AC15" s="78"/>
      <c r="AD15" s="78"/>
      <c r="AE15" s="126"/>
      <c r="AF15" s="32">
        <v>200</v>
      </c>
      <c r="AG15" s="126"/>
      <c r="AH15" s="19">
        <v>0</v>
      </c>
      <c r="AI15" s="19">
        <v>0</v>
      </c>
      <c r="AJ15" s="19"/>
      <c r="AK15" s="19"/>
      <c r="AL15" s="19"/>
      <c r="AM15" s="244">
        <v>400</v>
      </c>
      <c r="AN15" s="19"/>
      <c r="AO15" s="19"/>
      <c r="AP15" s="19"/>
      <c r="AQ15" s="19"/>
      <c r="AR15" s="19"/>
      <c r="AS15" s="19"/>
      <c r="AT15" s="19">
        <v>200</v>
      </c>
      <c r="AU15" s="19"/>
      <c r="AV15" s="19"/>
      <c r="AW15" s="19"/>
      <c r="AX15" s="19"/>
      <c r="AY15" s="19"/>
      <c r="AZ15" s="19"/>
      <c r="BA15" s="19"/>
      <c r="BB15" s="19">
        <v>200</v>
      </c>
      <c r="BC15" s="19"/>
      <c r="BD15" s="19"/>
      <c r="BE15" s="19"/>
      <c r="BF15" s="19"/>
      <c r="BG15" s="19">
        <v>200</v>
      </c>
    </row>
    <row r="16" spans="1:59" s="3" customFormat="1" ht="18.75" customHeight="1" x14ac:dyDescent="0.25">
      <c r="A16" s="25" t="s">
        <v>431</v>
      </c>
      <c r="B16" s="6">
        <v>200</v>
      </c>
      <c r="C16" s="66">
        <v>316.91000000000003</v>
      </c>
      <c r="D16" s="234">
        <v>200</v>
      </c>
      <c r="E16" s="1"/>
      <c r="F16" s="39">
        <v>72</v>
      </c>
      <c r="G16" s="39">
        <v>38</v>
      </c>
      <c r="H16" s="39">
        <v>19</v>
      </c>
      <c r="I16" s="39">
        <v>17</v>
      </c>
      <c r="J16" s="39">
        <v>16</v>
      </c>
      <c r="K16" s="39">
        <v>16</v>
      </c>
      <c r="L16" s="39">
        <v>9</v>
      </c>
      <c r="M16" s="39">
        <f>0+AT16</f>
        <v>200</v>
      </c>
      <c r="N16" s="39">
        <v>200</v>
      </c>
      <c r="O16" s="39">
        <v>197</v>
      </c>
      <c r="P16" s="39">
        <v>188</v>
      </c>
      <c r="Q16" s="39">
        <v>160</v>
      </c>
      <c r="R16" s="39">
        <v>143</v>
      </c>
      <c r="S16" s="39">
        <v>112</v>
      </c>
      <c r="T16" s="39">
        <v>93</v>
      </c>
      <c r="U16" s="39"/>
      <c r="V16" s="39"/>
      <c r="W16" s="39"/>
      <c r="X16" s="39"/>
      <c r="Y16" s="39"/>
      <c r="Z16" s="39">
        <v>0</v>
      </c>
      <c r="AA16" s="372">
        <f ca="1">Y16+IF(NOT(ISBLANK(OFFSET(AA16,0,6))),N(OFFSET(AA16,0,6)),N(OFFSET(AA16,0,7)))-Z16</f>
        <v>0</v>
      </c>
      <c r="AC16" s="78"/>
      <c r="AD16" s="78"/>
      <c r="AE16" s="126"/>
      <c r="AF16" s="32">
        <v>200</v>
      </c>
      <c r="AG16" s="126"/>
      <c r="AH16" s="19">
        <v>0</v>
      </c>
      <c r="AI16" s="19">
        <v>0</v>
      </c>
      <c r="AJ16" s="19"/>
      <c r="AK16" s="19"/>
      <c r="AL16" s="19"/>
      <c r="AM16" s="244">
        <v>200</v>
      </c>
      <c r="AN16" s="19"/>
      <c r="AO16" s="19"/>
      <c r="AP16" s="19"/>
      <c r="AQ16" s="293">
        <v>600</v>
      </c>
      <c r="AR16" s="19"/>
      <c r="AS16" s="19"/>
      <c r="AT16" s="19">
        <v>200</v>
      </c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</row>
    <row r="17" spans="1:59" s="3" customFormat="1" ht="16.5" customHeight="1" x14ac:dyDescent="0.3">
      <c r="A17" s="23"/>
      <c r="B17" s="1"/>
      <c r="C17" s="64"/>
      <c r="D17" s="64"/>
      <c r="E17" s="11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11"/>
      <c r="AC17" s="10"/>
      <c r="AD17" s="10"/>
      <c r="AE17" s="11"/>
      <c r="AF17" s="33"/>
      <c r="AG17" s="11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</row>
    <row r="18" spans="1:59" s="3" customFormat="1" x14ac:dyDescent="0.3">
      <c r="A18" s="24" t="s">
        <v>432</v>
      </c>
      <c r="B18" s="12" t="s">
        <v>151</v>
      </c>
      <c r="C18" s="65" t="s">
        <v>152</v>
      </c>
      <c r="D18" s="12" t="s">
        <v>125</v>
      </c>
      <c r="E18" s="7"/>
      <c r="F18" s="13">
        <v>46013</v>
      </c>
      <c r="G18" s="13">
        <v>46020</v>
      </c>
      <c r="H18" s="13">
        <v>46027</v>
      </c>
      <c r="I18" s="13">
        <v>46034</v>
      </c>
      <c r="J18" s="13">
        <v>46041</v>
      </c>
      <c r="K18" s="13">
        <v>46048</v>
      </c>
      <c r="L18" s="13">
        <v>46055</v>
      </c>
      <c r="M18" s="13">
        <v>46062</v>
      </c>
      <c r="N18" s="13">
        <v>46069</v>
      </c>
      <c r="O18" s="13">
        <v>46076</v>
      </c>
      <c r="P18" s="13">
        <v>46083</v>
      </c>
      <c r="Q18" s="13">
        <v>46090</v>
      </c>
      <c r="R18" s="13">
        <v>46097</v>
      </c>
      <c r="S18" s="13">
        <v>46104</v>
      </c>
      <c r="T18" s="13">
        <v>46111</v>
      </c>
      <c r="U18" s="13">
        <v>46118</v>
      </c>
      <c r="V18" s="13">
        <v>46125</v>
      </c>
      <c r="W18" s="13">
        <v>46132</v>
      </c>
      <c r="X18" s="13">
        <v>46139</v>
      </c>
      <c r="Y18" s="13">
        <v>46146</v>
      </c>
      <c r="Z18" s="13">
        <v>46154</v>
      </c>
      <c r="AA18" s="35" t="s">
        <v>129</v>
      </c>
      <c r="AB18" s="7"/>
      <c r="AC18" s="29" t="s">
        <v>126</v>
      </c>
      <c r="AD18" s="29" t="s">
        <v>126</v>
      </c>
      <c r="AE18" s="11"/>
      <c r="AF18" s="9" t="s">
        <v>127</v>
      </c>
      <c r="AG18" s="7"/>
      <c r="AH18" s="17">
        <v>46149</v>
      </c>
      <c r="AI18" s="17">
        <v>46142</v>
      </c>
      <c r="AJ18" s="17">
        <v>46114</v>
      </c>
      <c r="AK18" s="17">
        <v>46107</v>
      </c>
      <c r="AL18" s="17">
        <v>46099</v>
      </c>
      <c r="AM18" s="294">
        <v>46065</v>
      </c>
      <c r="AN18" s="17">
        <v>46092</v>
      </c>
      <c r="AO18" s="17">
        <v>46084</v>
      </c>
      <c r="AP18" s="294">
        <v>46065</v>
      </c>
      <c r="AQ18" s="292">
        <v>46045</v>
      </c>
      <c r="AR18" s="17">
        <v>46077</v>
      </c>
      <c r="AS18" s="17">
        <v>46071</v>
      </c>
      <c r="AT18" s="17">
        <v>46056</v>
      </c>
      <c r="AU18" s="17">
        <v>46048</v>
      </c>
      <c r="AV18" s="17">
        <v>46029</v>
      </c>
      <c r="AW18" s="17">
        <v>46029</v>
      </c>
      <c r="AX18" s="17">
        <v>46043</v>
      </c>
      <c r="AY18" s="17">
        <v>46029</v>
      </c>
      <c r="AZ18" s="17">
        <v>46017</v>
      </c>
      <c r="BA18" s="17">
        <v>46007</v>
      </c>
      <c r="BB18" s="17">
        <v>46001</v>
      </c>
      <c r="BC18" s="17">
        <v>46001</v>
      </c>
      <c r="BD18" s="207">
        <v>46014</v>
      </c>
      <c r="BE18" s="17">
        <v>45994</v>
      </c>
      <c r="BF18" s="17">
        <v>45986</v>
      </c>
      <c r="BG18" s="17">
        <v>45986</v>
      </c>
    </row>
    <row r="19" spans="1:59" s="3" customFormat="1" x14ac:dyDescent="0.3">
      <c r="A19" s="25" t="s">
        <v>142</v>
      </c>
      <c r="B19" s="6">
        <v>200</v>
      </c>
      <c r="C19" s="66">
        <v>38</v>
      </c>
      <c r="D19" s="234">
        <v>200</v>
      </c>
      <c r="E19" s="7"/>
      <c r="F19" s="39">
        <v>305</v>
      </c>
      <c r="G19" s="39">
        <v>295</v>
      </c>
      <c r="H19" s="39">
        <v>270</v>
      </c>
      <c r="I19" s="39">
        <v>223</v>
      </c>
      <c r="J19" s="39">
        <v>183</v>
      </c>
      <c r="K19" s="39">
        <f>174+AX19</f>
        <v>374</v>
      </c>
      <c r="L19" s="39">
        <v>374</v>
      </c>
      <c r="M19" s="39">
        <v>321</v>
      </c>
      <c r="N19" s="39">
        <v>307</v>
      </c>
      <c r="O19" s="39">
        <v>207</v>
      </c>
      <c r="P19" s="39">
        <f>162+AR19</f>
        <v>362</v>
      </c>
      <c r="Q19" s="39">
        <v>345</v>
      </c>
      <c r="R19" s="39">
        <v>345</v>
      </c>
      <c r="S19" s="39">
        <v>311</v>
      </c>
      <c r="T19" s="39">
        <v>301</v>
      </c>
      <c r="U19" s="39"/>
      <c r="V19" s="39"/>
      <c r="W19" s="39"/>
      <c r="X19" s="39"/>
      <c r="Y19" s="39"/>
      <c r="Z19" s="39">
        <v>0</v>
      </c>
      <c r="AA19" s="372">
        <f ca="1">Y19+IF(NOT(ISBLANK(OFFSET(AA19,0,6))),N(OFFSET(AA19,0,6)),N(OFFSET(AA19,0,7)))-Z19</f>
        <v>0</v>
      </c>
      <c r="AB19" s="7"/>
      <c r="AC19" s="134"/>
      <c r="AD19" s="134"/>
      <c r="AE19" s="11"/>
      <c r="AF19" s="32">
        <v>200</v>
      </c>
      <c r="AG19" s="7"/>
      <c r="AH19" s="19">
        <v>0</v>
      </c>
      <c r="AI19" s="19">
        <v>0</v>
      </c>
      <c r="AJ19" s="19"/>
      <c r="AK19" s="19"/>
      <c r="AL19" s="19"/>
      <c r="AM19" s="244">
        <v>10</v>
      </c>
      <c r="AN19" s="19"/>
      <c r="AO19" s="19"/>
      <c r="AP19" s="19"/>
      <c r="AQ19" s="293">
        <v>200</v>
      </c>
      <c r="AR19" s="19">
        <v>200</v>
      </c>
      <c r="AS19" s="19"/>
      <c r="AT19" s="19"/>
      <c r="AU19" s="19"/>
      <c r="AV19" s="19"/>
      <c r="AW19" s="19"/>
      <c r="AX19" s="19">
        <v>200</v>
      </c>
      <c r="AY19" s="19"/>
      <c r="AZ19" s="19"/>
      <c r="BA19" s="19"/>
      <c r="BB19" s="19"/>
      <c r="BC19" s="19"/>
      <c r="BD19" s="267"/>
      <c r="BE19" s="19"/>
      <c r="BF19" s="19"/>
      <c r="BG19" s="19">
        <v>600</v>
      </c>
    </row>
    <row r="20" spans="1:59" s="3" customFormat="1" x14ac:dyDescent="0.3">
      <c r="A20" s="25" t="s">
        <v>433</v>
      </c>
      <c r="B20" s="6">
        <v>2500</v>
      </c>
      <c r="C20" s="66">
        <v>66.87</v>
      </c>
      <c r="D20" s="234">
        <v>15</v>
      </c>
      <c r="E20" s="7"/>
      <c r="F20" s="39">
        <v>0</v>
      </c>
      <c r="G20" s="39">
        <v>0</v>
      </c>
      <c r="H20" s="39">
        <v>0</v>
      </c>
      <c r="I20" s="39">
        <v>0</v>
      </c>
      <c r="J20" s="39">
        <v>0</v>
      </c>
      <c r="K20" s="39">
        <v>0</v>
      </c>
      <c r="L20" s="39">
        <v>0</v>
      </c>
      <c r="M20" s="39">
        <v>0</v>
      </c>
      <c r="N20" s="39">
        <v>0</v>
      </c>
      <c r="O20" s="39">
        <v>0</v>
      </c>
      <c r="P20" s="39">
        <v>0</v>
      </c>
      <c r="Q20" s="39">
        <v>0</v>
      </c>
      <c r="R20" s="39">
        <v>0</v>
      </c>
      <c r="S20" s="39">
        <v>0</v>
      </c>
      <c r="T20" s="39">
        <v>0</v>
      </c>
      <c r="U20" s="39"/>
      <c r="V20" s="39"/>
      <c r="W20" s="39"/>
      <c r="X20" s="39"/>
      <c r="Y20" s="39"/>
      <c r="Z20" s="39">
        <v>0</v>
      </c>
      <c r="AA20" s="372">
        <f ca="1">Y20+IF(NOT(ISBLANK(OFFSET(AA20,0,6))),N(OFFSET(AA20,0,6)),N(OFFSET(AA20,0,7)))-Z20</f>
        <v>0</v>
      </c>
      <c r="AB20" s="7"/>
      <c r="AC20" s="78"/>
      <c r="AD20" s="78"/>
      <c r="AE20" s="7"/>
      <c r="AF20" s="76">
        <v>1</v>
      </c>
      <c r="AG20" s="7"/>
      <c r="AH20" s="19">
        <v>0</v>
      </c>
      <c r="AI20" s="19">
        <v>0</v>
      </c>
      <c r="AJ20" s="19"/>
      <c r="AK20" s="19"/>
      <c r="AL20" s="19"/>
      <c r="AM20" s="19"/>
      <c r="AN20" s="19"/>
      <c r="AO20" s="19"/>
      <c r="AP20" s="19"/>
      <c r="AQ20" s="293">
        <v>3</v>
      </c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</row>
    <row r="21" spans="1:59" s="3" customFormat="1" x14ac:dyDescent="0.25">
      <c r="A21" s="25" t="s">
        <v>434</v>
      </c>
      <c r="B21" s="6">
        <v>1050</v>
      </c>
      <c r="C21" s="66">
        <v>52.14</v>
      </c>
      <c r="D21" s="234">
        <v>15</v>
      </c>
      <c r="E21" s="1"/>
      <c r="F21" s="39">
        <v>8</v>
      </c>
      <c r="G21" s="39">
        <v>7</v>
      </c>
      <c r="H21" s="39">
        <v>6</v>
      </c>
      <c r="I21" s="39">
        <v>0</v>
      </c>
      <c r="J21" s="39">
        <v>0</v>
      </c>
      <c r="K21" s="39">
        <v>0</v>
      </c>
      <c r="L21" s="39">
        <v>0</v>
      </c>
      <c r="M21" s="39">
        <v>0</v>
      </c>
      <c r="N21" s="39">
        <v>0</v>
      </c>
      <c r="O21" s="39">
        <v>0</v>
      </c>
      <c r="P21" s="39">
        <v>0</v>
      </c>
      <c r="Q21" s="39">
        <v>0</v>
      </c>
      <c r="R21" s="39">
        <v>0</v>
      </c>
      <c r="S21" s="39">
        <v>0</v>
      </c>
      <c r="T21" s="39">
        <v>0</v>
      </c>
      <c r="U21" s="39"/>
      <c r="V21" s="39"/>
      <c r="W21" s="39"/>
      <c r="X21" s="39"/>
      <c r="Y21" s="39"/>
      <c r="Z21" s="39">
        <v>0</v>
      </c>
      <c r="AA21" s="372">
        <f ca="1">Y21+IF(NOT(ISBLANK(OFFSET(AA21,0,6))),N(OFFSET(AA21,0,6)),N(OFFSET(AA21,0,7)))-Z21</f>
        <v>0</v>
      </c>
      <c r="AB21" s="1"/>
      <c r="AC21" s="78"/>
      <c r="AD21" s="78"/>
      <c r="AE21" s="1"/>
      <c r="AF21" s="76">
        <v>1</v>
      </c>
      <c r="AG21" s="1"/>
      <c r="AH21" s="19">
        <v>0</v>
      </c>
      <c r="AI21" s="19">
        <v>0</v>
      </c>
      <c r="AJ21" s="19"/>
      <c r="AK21" s="19"/>
      <c r="AL21" s="19"/>
      <c r="AM21" s="19"/>
      <c r="AN21" s="19"/>
      <c r="AO21" s="19"/>
      <c r="AP21" s="19"/>
      <c r="AQ21" s="293">
        <v>10</v>
      </c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>
        <v>20</v>
      </c>
      <c r="BC21" s="19"/>
      <c r="BD21" s="117"/>
      <c r="BE21" s="19"/>
      <c r="BF21" s="19"/>
      <c r="BG21" s="19"/>
    </row>
    <row r="22" spans="1:59" s="3" customFormat="1" ht="14.25" customHeight="1" x14ac:dyDescent="0.25">
      <c r="A22" s="23"/>
      <c r="C22" s="67"/>
      <c r="D22" s="67"/>
      <c r="AC22" s="341"/>
      <c r="AD22" s="341"/>
      <c r="AF22" s="344"/>
      <c r="AH22" s="406"/>
      <c r="AI22" s="406"/>
      <c r="AJ22" s="406"/>
      <c r="AK22" s="406"/>
      <c r="AL22" s="406"/>
      <c r="AM22" s="406"/>
      <c r="AN22" s="406"/>
      <c r="AO22" s="406"/>
      <c r="AP22" s="406"/>
      <c r="AQ22" s="406"/>
      <c r="AR22" s="406"/>
      <c r="AS22" s="406"/>
      <c r="AT22" s="406"/>
      <c r="AU22" s="406"/>
      <c r="AV22" s="406"/>
      <c r="AW22" s="406"/>
      <c r="AX22" s="406"/>
      <c r="AY22" s="406"/>
      <c r="AZ22" s="406"/>
      <c r="BA22" s="406"/>
      <c r="BB22" s="406"/>
      <c r="BC22" s="406"/>
      <c r="BD22" s="406"/>
      <c r="BE22" s="406"/>
      <c r="BF22" s="406"/>
      <c r="BG22" s="406"/>
    </row>
    <row r="23" spans="1:59" s="3" customFormat="1" x14ac:dyDescent="0.3">
      <c r="A23" s="24" t="s">
        <v>435</v>
      </c>
      <c r="B23" s="12" t="s">
        <v>151</v>
      </c>
      <c r="C23" s="65" t="s">
        <v>152</v>
      </c>
      <c r="D23" s="12" t="s">
        <v>125</v>
      </c>
      <c r="E23" s="1"/>
      <c r="F23" s="13">
        <v>46013</v>
      </c>
      <c r="G23" s="13">
        <v>46020</v>
      </c>
      <c r="H23" s="13">
        <v>46027</v>
      </c>
      <c r="I23" s="13">
        <v>46034</v>
      </c>
      <c r="J23" s="13">
        <v>46041</v>
      </c>
      <c r="K23" s="13">
        <v>46048</v>
      </c>
      <c r="L23" s="13">
        <v>46055</v>
      </c>
      <c r="M23" s="13">
        <v>46062</v>
      </c>
      <c r="N23" s="13">
        <v>46069</v>
      </c>
      <c r="O23" s="13">
        <v>46076</v>
      </c>
      <c r="P23" s="13">
        <v>46083</v>
      </c>
      <c r="Q23" s="13">
        <v>46090</v>
      </c>
      <c r="R23" s="13">
        <v>46097</v>
      </c>
      <c r="S23" s="13">
        <v>46104</v>
      </c>
      <c r="T23" s="13">
        <v>46111</v>
      </c>
      <c r="U23" s="13">
        <v>46118</v>
      </c>
      <c r="V23" s="13">
        <v>46125</v>
      </c>
      <c r="W23" s="13">
        <v>46132</v>
      </c>
      <c r="X23" s="13">
        <v>46139</v>
      </c>
      <c r="Y23" s="13">
        <v>46146</v>
      </c>
      <c r="Z23" s="13">
        <v>46154</v>
      </c>
      <c r="AA23" s="35" t="s">
        <v>129</v>
      </c>
      <c r="AB23" s="11"/>
      <c r="AC23" s="29" t="s">
        <v>126</v>
      </c>
      <c r="AD23" s="29" t="s">
        <v>126</v>
      </c>
      <c r="AE23" s="11"/>
      <c r="AF23" s="9" t="s">
        <v>127</v>
      </c>
      <c r="AG23" s="1"/>
      <c r="AH23" s="17">
        <v>46149</v>
      </c>
      <c r="AI23" s="17">
        <v>46142</v>
      </c>
      <c r="AJ23" s="17">
        <v>46114</v>
      </c>
      <c r="AK23" s="17">
        <v>46107</v>
      </c>
      <c r="AL23" s="17">
        <v>46099</v>
      </c>
      <c r="AM23" s="294">
        <v>46065</v>
      </c>
      <c r="AN23" s="17">
        <v>46092</v>
      </c>
      <c r="AO23" s="17">
        <v>46084</v>
      </c>
      <c r="AP23" s="294">
        <v>46065</v>
      </c>
      <c r="AQ23" s="292">
        <v>46045</v>
      </c>
      <c r="AR23" s="17">
        <v>46077</v>
      </c>
      <c r="AS23" s="17">
        <v>46071</v>
      </c>
      <c r="AT23" s="17">
        <v>46056</v>
      </c>
      <c r="AU23" s="17">
        <v>46048</v>
      </c>
      <c r="AV23" s="17">
        <v>46029</v>
      </c>
      <c r="AW23" s="17">
        <v>46029</v>
      </c>
      <c r="AX23" s="17">
        <v>46043</v>
      </c>
      <c r="AY23" s="17">
        <v>46029</v>
      </c>
      <c r="AZ23" s="17">
        <v>46017</v>
      </c>
      <c r="BA23" s="17">
        <v>46007</v>
      </c>
      <c r="BB23" s="17">
        <v>46001</v>
      </c>
      <c r="BC23" s="17">
        <v>46001</v>
      </c>
      <c r="BD23" s="207">
        <v>46014</v>
      </c>
      <c r="BE23" s="17">
        <v>45994</v>
      </c>
      <c r="BF23" s="17">
        <v>45986</v>
      </c>
      <c r="BG23" s="17">
        <v>45986</v>
      </c>
    </row>
    <row r="24" spans="1:59" s="3" customFormat="1" x14ac:dyDescent="0.3">
      <c r="A24" s="25" t="s">
        <v>436</v>
      </c>
      <c r="B24" s="135">
        <v>75</v>
      </c>
      <c r="C24" s="81">
        <v>225.67</v>
      </c>
      <c r="D24" s="234">
        <v>20</v>
      </c>
      <c r="E24" s="1"/>
      <c r="F24" s="39">
        <v>0</v>
      </c>
      <c r="G24" s="39">
        <v>0</v>
      </c>
      <c r="H24" s="39">
        <v>0</v>
      </c>
      <c r="I24" s="39">
        <v>0</v>
      </c>
      <c r="J24" s="39">
        <v>0</v>
      </c>
      <c r="K24" s="39">
        <f>0+AX24</f>
        <v>150</v>
      </c>
      <c r="L24" s="39">
        <v>149</v>
      </c>
      <c r="M24" s="39">
        <v>146</v>
      </c>
      <c r="N24" s="39">
        <v>146</v>
      </c>
      <c r="O24" s="39">
        <v>145</v>
      </c>
      <c r="P24" s="39">
        <v>133</v>
      </c>
      <c r="Q24" s="39">
        <v>128</v>
      </c>
      <c r="R24" s="39">
        <v>124</v>
      </c>
      <c r="S24" s="39">
        <v>117</v>
      </c>
      <c r="T24" s="39">
        <v>113</v>
      </c>
      <c r="U24" s="39"/>
      <c r="V24" s="39"/>
      <c r="W24" s="39"/>
      <c r="X24" s="39"/>
      <c r="Y24" s="39"/>
      <c r="Z24" s="39">
        <v>100</v>
      </c>
      <c r="AA24" s="372">
        <f ca="1">Y24+IF(NOT(ISBLANK(OFFSET(AA24,0,6))),N(OFFSET(AA24,0,6)),N(OFFSET(AA24,0,7)))-Z24</f>
        <v>-100</v>
      </c>
      <c r="AB24" s="11"/>
      <c r="AC24" s="78"/>
      <c r="AD24" s="78"/>
      <c r="AE24" s="1"/>
      <c r="AF24" s="32"/>
      <c r="AG24" s="1"/>
      <c r="AH24" s="343">
        <v>0</v>
      </c>
      <c r="AI24" s="343">
        <v>0</v>
      </c>
      <c r="AJ24" s="343"/>
      <c r="AK24" s="343"/>
      <c r="AL24" s="343"/>
      <c r="AM24" s="19"/>
      <c r="AN24" s="343"/>
      <c r="AO24" s="343"/>
      <c r="AP24" s="244">
        <v>150</v>
      </c>
      <c r="AQ24" s="343"/>
      <c r="AR24" s="343"/>
      <c r="AS24" s="343"/>
      <c r="AT24" s="343"/>
      <c r="AU24" s="343"/>
      <c r="AV24" s="343"/>
      <c r="AW24" s="343"/>
      <c r="AX24" s="343">
        <v>150</v>
      </c>
      <c r="AY24" s="343"/>
      <c r="AZ24" s="343"/>
      <c r="BA24" s="343"/>
      <c r="BB24" s="343"/>
      <c r="BC24" s="343"/>
      <c r="BD24" s="343"/>
      <c r="BE24" s="343"/>
      <c r="BF24" s="343"/>
      <c r="BG24" s="343"/>
    </row>
    <row r="25" spans="1:59" s="3" customFormat="1" ht="18" customHeight="1" x14ac:dyDescent="0.3">
      <c r="A25" s="25" t="s">
        <v>437</v>
      </c>
      <c r="B25" s="135">
        <v>75</v>
      </c>
      <c r="C25" s="66">
        <v>294.58999999999997</v>
      </c>
      <c r="D25" s="234">
        <v>20</v>
      </c>
      <c r="E25" s="1"/>
      <c r="F25" s="39">
        <v>0</v>
      </c>
      <c r="G25" s="39">
        <v>0</v>
      </c>
      <c r="H25" s="39">
        <v>0</v>
      </c>
      <c r="I25" s="39">
        <v>0</v>
      </c>
      <c r="J25" s="39">
        <v>0</v>
      </c>
      <c r="K25" s="39">
        <f>0+AX25</f>
        <v>100</v>
      </c>
      <c r="L25" s="39">
        <v>100</v>
      </c>
      <c r="M25" s="39">
        <v>100</v>
      </c>
      <c r="N25" s="39">
        <v>100</v>
      </c>
      <c r="O25" s="39">
        <v>100</v>
      </c>
      <c r="P25" s="39">
        <v>92</v>
      </c>
      <c r="Q25" s="39">
        <v>89</v>
      </c>
      <c r="R25" s="39">
        <v>85</v>
      </c>
      <c r="S25" s="39">
        <v>75</v>
      </c>
      <c r="T25" s="39">
        <v>74</v>
      </c>
      <c r="U25" s="39"/>
      <c r="V25" s="39"/>
      <c r="W25" s="39"/>
      <c r="X25" s="39"/>
      <c r="Y25" s="39"/>
      <c r="Z25" s="39">
        <v>49</v>
      </c>
      <c r="AA25" s="372">
        <f ca="1">Y25+IF(NOT(ISBLANK(OFFSET(AA25,0,6))),N(OFFSET(AA25,0,6)),N(OFFSET(AA25,0,7)))-Z25</f>
        <v>-49</v>
      </c>
      <c r="AB25" s="11"/>
      <c r="AC25" s="78"/>
      <c r="AD25" s="78"/>
      <c r="AF25" s="32"/>
      <c r="AH25" s="19">
        <v>0</v>
      </c>
      <c r="AI25" s="19">
        <v>0</v>
      </c>
      <c r="AJ25" s="19"/>
      <c r="AK25" s="19"/>
      <c r="AL25" s="19"/>
      <c r="AM25" s="244">
        <v>200</v>
      </c>
      <c r="AN25" s="19"/>
      <c r="AO25" s="19"/>
      <c r="AP25" s="19"/>
      <c r="AQ25" s="293">
        <v>100</v>
      </c>
      <c r="AR25" s="19"/>
      <c r="AS25" s="19"/>
      <c r="AT25" s="19"/>
      <c r="AU25" s="19"/>
      <c r="AV25" s="19"/>
      <c r="AW25" s="19"/>
      <c r="AX25" s="19">
        <v>100</v>
      </c>
      <c r="AY25" s="19"/>
      <c r="AZ25" s="19"/>
      <c r="BA25" s="19"/>
      <c r="BB25" s="19"/>
      <c r="BC25" s="19"/>
      <c r="BD25" s="19"/>
      <c r="BE25" s="19"/>
      <c r="BF25" s="19"/>
      <c r="BG25" s="19"/>
    </row>
    <row r="26" spans="1:59" x14ac:dyDescent="0.3">
      <c r="A26" s="25" t="s">
        <v>438</v>
      </c>
      <c r="B26" s="135">
        <v>50</v>
      </c>
      <c r="C26" s="66">
        <v>346.84</v>
      </c>
      <c r="D26" s="234">
        <v>10</v>
      </c>
      <c r="F26" s="39">
        <v>4</v>
      </c>
      <c r="G26" s="39">
        <v>3</v>
      </c>
      <c r="H26" s="39">
        <v>2</v>
      </c>
      <c r="I26" s="39">
        <v>2</v>
      </c>
      <c r="J26" s="39">
        <v>2</v>
      </c>
      <c r="K26" s="39">
        <v>1</v>
      </c>
      <c r="L26" s="39">
        <v>1</v>
      </c>
      <c r="M26" s="39">
        <v>1</v>
      </c>
      <c r="N26" s="39">
        <v>1</v>
      </c>
      <c r="O26" s="39">
        <v>1</v>
      </c>
      <c r="P26" s="39">
        <v>1</v>
      </c>
      <c r="Q26" s="39">
        <v>0</v>
      </c>
      <c r="R26" s="39">
        <v>0</v>
      </c>
      <c r="S26" s="39">
        <v>0</v>
      </c>
      <c r="T26" s="39">
        <v>0</v>
      </c>
      <c r="U26" s="39"/>
      <c r="V26" s="39"/>
      <c r="W26" s="39"/>
      <c r="X26" s="39"/>
      <c r="Y26" s="39"/>
      <c r="Z26" s="39">
        <v>0</v>
      </c>
      <c r="AA26" s="372">
        <f ca="1">Y26+IF(NOT(ISBLANK(OFFSET(AA26,0,6))),N(OFFSET(AA26,0,6)),N(OFFSET(AA26,0,7)))-Z26</f>
        <v>0</v>
      </c>
      <c r="AC26" s="78"/>
      <c r="AD26" s="78"/>
      <c r="AE26" s="1"/>
      <c r="AF26" s="32"/>
      <c r="AG26" s="1"/>
      <c r="AH26" s="19">
        <v>0</v>
      </c>
      <c r="AI26" s="19">
        <v>0</v>
      </c>
      <c r="AJ26" s="19"/>
      <c r="AK26" s="19"/>
      <c r="AL26" s="19"/>
      <c r="AM26" s="244">
        <v>150</v>
      </c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273"/>
      <c r="BE26" s="19"/>
      <c r="BF26" s="19"/>
      <c r="BG26" s="19"/>
    </row>
    <row r="27" spans="1:59" s="3" customFormat="1" ht="21" customHeight="1" x14ac:dyDescent="0.3">
      <c r="A27" s="23"/>
      <c r="B27" s="1"/>
      <c r="C27" s="64"/>
      <c r="D27" s="64"/>
      <c r="E27" s="11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B27" s="11"/>
      <c r="AC27" s="10"/>
      <c r="AD27" s="10"/>
      <c r="AE27" s="1"/>
      <c r="AF27" s="10"/>
      <c r="AG27" s="1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5"/>
      <c r="BA27" s="75"/>
      <c r="BB27" s="75"/>
      <c r="BC27" s="75"/>
      <c r="BD27" s="75"/>
      <c r="BE27" s="75"/>
      <c r="BF27" s="75"/>
      <c r="BG27" s="75"/>
    </row>
    <row r="28" spans="1:59" x14ac:dyDescent="0.3">
      <c r="A28" s="24" t="s">
        <v>439</v>
      </c>
      <c r="B28" s="12" t="s">
        <v>151</v>
      </c>
      <c r="C28" s="12" t="s">
        <v>152</v>
      </c>
      <c r="D28" s="12" t="s">
        <v>125</v>
      </c>
      <c r="E28" s="1"/>
      <c r="F28" s="13">
        <v>46013</v>
      </c>
      <c r="G28" s="13">
        <v>46020</v>
      </c>
      <c r="H28" s="13">
        <v>46027</v>
      </c>
      <c r="I28" s="13">
        <v>46034</v>
      </c>
      <c r="J28" s="13">
        <v>46041</v>
      </c>
      <c r="K28" s="13">
        <v>46048</v>
      </c>
      <c r="L28" s="13">
        <v>46055</v>
      </c>
      <c r="M28" s="13">
        <v>46062</v>
      </c>
      <c r="N28" s="13">
        <v>46069</v>
      </c>
      <c r="O28" s="13">
        <v>46076</v>
      </c>
      <c r="P28" s="13">
        <v>46083</v>
      </c>
      <c r="Q28" s="13">
        <v>46090</v>
      </c>
      <c r="R28" s="13">
        <v>46097</v>
      </c>
      <c r="S28" s="13">
        <v>46104</v>
      </c>
      <c r="T28" s="13">
        <v>46111</v>
      </c>
      <c r="U28" s="13">
        <v>46118</v>
      </c>
      <c r="V28" s="13">
        <v>46125</v>
      </c>
      <c r="W28" s="13">
        <v>46132</v>
      </c>
      <c r="X28" s="13">
        <v>46139</v>
      </c>
      <c r="Y28" s="13">
        <v>46146</v>
      </c>
      <c r="Z28" s="13">
        <v>46154</v>
      </c>
      <c r="AA28" s="35" t="s">
        <v>129</v>
      </c>
      <c r="AB28" s="41"/>
      <c r="AC28" s="29" t="s">
        <v>126</v>
      </c>
      <c r="AD28" s="29" t="s">
        <v>126</v>
      </c>
      <c r="AF28" s="9" t="s">
        <v>127</v>
      </c>
      <c r="AG28" s="41"/>
      <c r="AH28" s="17">
        <v>46149</v>
      </c>
      <c r="AI28" s="17">
        <v>46142</v>
      </c>
      <c r="AJ28" s="17">
        <v>46114</v>
      </c>
      <c r="AK28" s="17">
        <v>46107</v>
      </c>
      <c r="AL28" s="17">
        <v>46099</v>
      </c>
      <c r="AM28" s="294">
        <v>46065</v>
      </c>
      <c r="AN28" s="17">
        <v>46092</v>
      </c>
      <c r="AO28" s="17">
        <v>46084</v>
      </c>
      <c r="AP28" s="294">
        <v>46065</v>
      </c>
      <c r="AQ28" s="292">
        <v>46045</v>
      </c>
      <c r="AR28" s="17">
        <v>46077</v>
      </c>
      <c r="AS28" s="17">
        <v>46071</v>
      </c>
      <c r="AT28" s="17">
        <v>46056</v>
      </c>
      <c r="AU28" s="17">
        <v>46048</v>
      </c>
      <c r="AV28" s="17">
        <v>46029</v>
      </c>
      <c r="AW28" s="17">
        <v>46029</v>
      </c>
      <c r="AX28" s="17">
        <v>46043</v>
      </c>
      <c r="AY28" s="17">
        <v>46029</v>
      </c>
      <c r="AZ28" s="17">
        <v>46017</v>
      </c>
      <c r="BA28" s="17">
        <v>46007</v>
      </c>
      <c r="BB28" s="17">
        <v>46001</v>
      </c>
      <c r="BC28" s="17">
        <v>46001</v>
      </c>
      <c r="BD28" s="207">
        <v>46014</v>
      </c>
      <c r="BE28" s="17">
        <v>45994</v>
      </c>
      <c r="BF28" s="17">
        <v>45986</v>
      </c>
      <c r="BG28" s="17">
        <v>45986</v>
      </c>
    </row>
    <row r="29" spans="1:59" x14ac:dyDescent="0.3">
      <c r="A29" s="25" t="s">
        <v>440</v>
      </c>
      <c r="B29" s="6">
        <v>25</v>
      </c>
      <c r="C29" s="66">
        <v>41.75</v>
      </c>
      <c r="D29" s="234">
        <v>20</v>
      </c>
      <c r="E29" s="1"/>
      <c r="F29" s="72">
        <v>0</v>
      </c>
      <c r="G29" s="72">
        <v>0</v>
      </c>
      <c r="H29" s="72">
        <v>0</v>
      </c>
      <c r="I29" s="72">
        <v>0</v>
      </c>
      <c r="J29" s="72">
        <v>0</v>
      </c>
      <c r="K29" s="72">
        <v>0</v>
      </c>
      <c r="L29" s="72">
        <v>0</v>
      </c>
      <c r="M29" s="72">
        <v>0</v>
      </c>
      <c r="N29" s="72">
        <v>0</v>
      </c>
      <c r="O29" s="72">
        <v>0</v>
      </c>
      <c r="P29" s="72">
        <v>0</v>
      </c>
      <c r="Q29" s="72">
        <v>0</v>
      </c>
      <c r="R29" s="72">
        <v>0</v>
      </c>
      <c r="S29" s="72">
        <v>0</v>
      </c>
      <c r="T29" s="72">
        <v>0</v>
      </c>
      <c r="U29" s="72">
        <v>0</v>
      </c>
      <c r="V29" s="72">
        <v>0</v>
      </c>
      <c r="W29" s="72">
        <v>0</v>
      </c>
      <c r="X29" s="72">
        <v>0</v>
      </c>
      <c r="Y29" s="72">
        <v>0</v>
      </c>
      <c r="Z29" s="72">
        <v>0</v>
      </c>
      <c r="AA29" s="26">
        <v>0</v>
      </c>
      <c r="AB29" s="41"/>
      <c r="AC29" s="78"/>
      <c r="AD29" s="78"/>
      <c r="AE29" s="7"/>
      <c r="AF29" s="32"/>
      <c r="AG29" s="41"/>
      <c r="AH29" s="19">
        <v>0</v>
      </c>
      <c r="AI29" s="19">
        <v>0</v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17"/>
      <c r="BE29" s="19"/>
      <c r="BF29" s="19"/>
      <c r="BG29" s="19"/>
    </row>
    <row r="30" spans="1:59" x14ac:dyDescent="0.3">
      <c r="A30" s="25" t="s">
        <v>441</v>
      </c>
      <c r="B30" s="6">
        <v>25</v>
      </c>
      <c r="C30" s="66">
        <v>57</v>
      </c>
      <c r="D30" s="234">
        <v>20</v>
      </c>
      <c r="E30" s="1"/>
      <c r="F30" s="72">
        <v>3</v>
      </c>
      <c r="G30" s="72">
        <v>3</v>
      </c>
      <c r="H30" s="72">
        <v>2</v>
      </c>
      <c r="I30" s="72">
        <v>2</v>
      </c>
      <c r="J30" s="72">
        <v>2</v>
      </c>
      <c r="K30" s="72">
        <v>2</v>
      </c>
      <c r="L30" s="72">
        <v>2</v>
      </c>
      <c r="M30" s="72">
        <v>0</v>
      </c>
      <c r="N30" s="72">
        <v>0</v>
      </c>
      <c r="O30" s="72">
        <v>0</v>
      </c>
      <c r="P30" s="72">
        <v>0</v>
      </c>
      <c r="Q30" s="72">
        <v>0</v>
      </c>
      <c r="R30" s="72">
        <v>0</v>
      </c>
      <c r="S30" s="72">
        <v>0</v>
      </c>
      <c r="T30" s="72">
        <v>0</v>
      </c>
      <c r="U30" s="72">
        <v>0</v>
      </c>
      <c r="V30" s="72">
        <v>0</v>
      </c>
      <c r="W30" s="72">
        <v>0</v>
      </c>
      <c r="X30" s="72">
        <v>0</v>
      </c>
      <c r="Y30" s="72">
        <v>0</v>
      </c>
      <c r="Z30" s="72">
        <v>0</v>
      </c>
      <c r="AA30" s="26">
        <v>0</v>
      </c>
      <c r="AB30" s="41"/>
      <c r="AC30" s="78"/>
      <c r="AD30" s="78"/>
      <c r="AE30" s="7"/>
      <c r="AF30" s="32"/>
      <c r="AG30" s="41"/>
      <c r="AH30" s="19">
        <v>0</v>
      </c>
      <c r="AI30" s="19">
        <v>0</v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17"/>
      <c r="BE30" s="19"/>
      <c r="BF30" s="19"/>
      <c r="BG30" s="19"/>
    </row>
    <row r="31" spans="1:59" x14ac:dyDescent="0.3"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E31" s="41"/>
      <c r="AG31" s="41"/>
    </row>
    <row r="32" spans="1:59" x14ac:dyDescent="0.3">
      <c r="A32" s="143" t="s">
        <v>442</v>
      </c>
      <c r="B32" s="144" t="s">
        <v>151</v>
      </c>
      <c r="C32" s="144" t="s">
        <v>152</v>
      </c>
      <c r="D32" s="144" t="s">
        <v>125</v>
      </c>
      <c r="E32" s="1"/>
      <c r="F32" s="13">
        <v>46013</v>
      </c>
      <c r="G32" s="13">
        <v>46020</v>
      </c>
      <c r="H32" s="13">
        <v>46027</v>
      </c>
      <c r="I32" s="13">
        <v>46034</v>
      </c>
      <c r="J32" s="13">
        <v>46041</v>
      </c>
      <c r="K32" s="13">
        <v>46048</v>
      </c>
      <c r="L32" s="13">
        <v>46055</v>
      </c>
      <c r="M32" s="13">
        <v>46062</v>
      </c>
      <c r="N32" s="13">
        <v>46069</v>
      </c>
      <c r="O32" s="13">
        <v>46076</v>
      </c>
      <c r="P32" s="13">
        <v>46083</v>
      </c>
      <c r="Q32" s="13">
        <v>46090</v>
      </c>
      <c r="R32" s="13">
        <v>46097</v>
      </c>
      <c r="S32" s="13">
        <v>46104</v>
      </c>
      <c r="T32" s="13">
        <v>46111</v>
      </c>
      <c r="U32" s="13">
        <v>46118</v>
      </c>
      <c r="V32" s="13">
        <v>46125</v>
      </c>
      <c r="W32" s="13">
        <v>46132</v>
      </c>
      <c r="X32" s="13">
        <v>46139</v>
      </c>
      <c r="Y32" s="13">
        <v>46146</v>
      </c>
      <c r="Z32" s="13">
        <v>46154</v>
      </c>
      <c r="AA32" s="35" t="s">
        <v>129</v>
      </c>
      <c r="AB32" s="41"/>
      <c r="AC32" s="29" t="s">
        <v>126</v>
      </c>
      <c r="AD32" s="29" t="s">
        <v>126</v>
      </c>
      <c r="AF32" s="9" t="s">
        <v>127</v>
      </c>
      <c r="AG32" s="41"/>
      <c r="AH32" s="17">
        <v>46149</v>
      </c>
      <c r="AI32" s="17">
        <v>46142</v>
      </c>
      <c r="AJ32" s="17">
        <v>46114</v>
      </c>
      <c r="AK32" s="17">
        <v>46107</v>
      </c>
      <c r="AL32" s="17">
        <v>46099</v>
      </c>
      <c r="AM32" s="294">
        <v>46065</v>
      </c>
      <c r="AN32" s="17">
        <v>46092</v>
      </c>
      <c r="AO32" s="17">
        <v>46084</v>
      </c>
      <c r="AP32" s="294">
        <v>46065</v>
      </c>
      <c r="AQ32" s="292">
        <v>46045</v>
      </c>
      <c r="AR32" s="17">
        <v>46077</v>
      </c>
      <c r="AS32" s="17">
        <v>46071</v>
      </c>
      <c r="AT32" s="17">
        <v>46056</v>
      </c>
      <c r="AU32" s="17">
        <v>46048</v>
      </c>
      <c r="AV32" s="17">
        <v>46029</v>
      </c>
      <c r="AW32" s="17">
        <v>46029</v>
      </c>
      <c r="AX32" s="17">
        <v>46043</v>
      </c>
      <c r="AY32" s="17">
        <v>46029</v>
      </c>
      <c r="AZ32" s="17">
        <v>46017</v>
      </c>
      <c r="BA32" s="17">
        <v>46007</v>
      </c>
      <c r="BB32" s="17">
        <v>46001</v>
      </c>
      <c r="BC32" s="17">
        <v>46001</v>
      </c>
      <c r="BD32" s="207">
        <v>46014</v>
      </c>
      <c r="BE32" s="17">
        <v>45994</v>
      </c>
      <c r="BF32" s="17">
        <v>45986</v>
      </c>
      <c r="BG32" s="17">
        <v>45986</v>
      </c>
    </row>
    <row r="33" spans="1:59" x14ac:dyDescent="0.3">
      <c r="A33" s="25" t="s">
        <v>443</v>
      </c>
      <c r="B33" s="72">
        <v>150</v>
      </c>
      <c r="C33" s="77">
        <v>453.38</v>
      </c>
      <c r="D33" s="234">
        <v>10</v>
      </c>
      <c r="E33" s="41"/>
      <c r="F33" s="72">
        <v>144</v>
      </c>
      <c r="G33" s="72">
        <v>144</v>
      </c>
      <c r="H33" s="72">
        <v>144</v>
      </c>
      <c r="I33" s="72">
        <v>143</v>
      </c>
      <c r="J33" s="72">
        <v>143</v>
      </c>
      <c r="K33" s="72">
        <v>141</v>
      </c>
      <c r="L33" s="72">
        <v>139</v>
      </c>
      <c r="M33" s="72">
        <v>134</v>
      </c>
      <c r="N33" s="72">
        <v>133</v>
      </c>
      <c r="O33" s="72">
        <v>132</v>
      </c>
      <c r="P33" s="72">
        <v>132</v>
      </c>
      <c r="Q33" s="72">
        <v>132</v>
      </c>
      <c r="R33" s="72">
        <v>131</v>
      </c>
      <c r="S33" s="72">
        <v>128</v>
      </c>
      <c r="T33" s="72">
        <v>128</v>
      </c>
      <c r="U33" s="72"/>
      <c r="V33" s="72"/>
      <c r="W33" s="72"/>
      <c r="X33" s="72"/>
      <c r="Y33" s="72"/>
      <c r="Z33" s="72">
        <v>116</v>
      </c>
      <c r="AA33" s="372">
        <f ca="1">Y33+IF(NOT(ISBLANK(OFFSET(AA33,0,6))),N(OFFSET(AA33,0,6)),N(OFFSET(AA33,0,7)))-Z33</f>
        <v>-116</v>
      </c>
      <c r="AB33" s="41"/>
      <c r="AC33" s="134"/>
      <c r="AD33" s="134"/>
      <c r="AE33" s="1"/>
      <c r="AF33" s="32"/>
      <c r="AG33" s="41"/>
      <c r="AH33" s="19">
        <v>0</v>
      </c>
      <c r="AI33" s="19">
        <v>0</v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>
        <v>150</v>
      </c>
      <c r="BG33" s="19"/>
    </row>
    <row r="34" spans="1:59" x14ac:dyDescent="0.3">
      <c r="A34" s="25" t="s">
        <v>444</v>
      </c>
      <c r="B34" s="72">
        <v>100</v>
      </c>
      <c r="C34" s="77">
        <v>355.78</v>
      </c>
      <c r="D34" s="234">
        <v>10</v>
      </c>
      <c r="E34" s="41"/>
      <c r="F34" s="72">
        <v>96</v>
      </c>
      <c r="G34" s="72">
        <v>95</v>
      </c>
      <c r="H34" s="72">
        <v>94</v>
      </c>
      <c r="I34" s="72">
        <v>93</v>
      </c>
      <c r="J34" s="72">
        <v>93</v>
      </c>
      <c r="K34" s="72">
        <v>92</v>
      </c>
      <c r="L34" s="72">
        <v>90</v>
      </c>
      <c r="M34" s="72">
        <v>90</v>
      </c>
      <c r="N34" s="72">
        <v>90</v>
      </c>
      <c r="O34" s="72">
        <v>90</v>
      </c>
      <c r="P34" s="72">
        <v>90</v>
      </c>
      <c r="Q34" s="72">
        <v>89</v>
      </c>
      <c r="R34" s="72">
        <v>88</v>
      </c>
      <c r="S34" s="72">
        <v>86</v>
      </c>
      <c r="T34" s="72">
        <v>86</v>
      </c>
      <c r="U34" s="72"/>
      <c r="V34" s="72"/>
      <c r="W34" s="72"/>
      <c r="X34" s="72"/>
      <c r="Y34" s="72"/>
      <c r="Z34" s="72">
        <v>79</v>
      </c>
      <c r="AA34" s="372">
        <f ca="1">Y34+IF(NOT(ISBLANK(OFFSET(AA34,0,6))),N(OFFSET(AA34,0,6)),N(OFFSET(AA34,0,7)))-Z34</f>
        <v>-79</v>
      </c>
      <c r="AB34" s="41"/>
      <c r="AC34" s="78"/>
      <c r="AD34" s="78"/>
      <c r="AE34" s="1"/>
      <c r="AF34" s="32"/>
      <c r="AG34" s="41"/>
      <c r="AH34" s="19">
        <v>0</v>
      </c>
      <c r="AI34" s="19">
        <v>0</v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>
        <v>100</v>
      </c>
      <c r="BG34" s="19"/>
    </row>
    <row r="35" spans="1:59" x14ac:dyDescent="0.3">
      <c r="A35" s="25" t="s">
        <v>445</v>
      </c>
      <c r="B35" s="72">
        <v>50</v>
      </c>
      <c r="C35" s="77">
        <v>249.26</v>
      </c>
      <c r="D35" s="234">
        <v>5</v>
      </c>
      <c r="E35" s="41"/>
      <c r="F35" s="72">
        <v>7</v>
      </c>
      <c r="G35" s="72">
        <v>7</v>
      </c>
      <c r="H35" s="72">
        <v>7</v>
      </c>
      <c r="I35" s="72">
        <v>7</v>
      </c>
      <c r="J35" s="72">
        <v>7</v>
      </c>
      <c r="K35" s="72">
        <v>7</v>
      </c>
      <c r="L35" s="72">
        <v>7</v>
      </c>
      <c r="M35" s="72">
        <v>7</v>
      </c>
      <c r="N35" s="72">
        <v>7</v>
      </c>
      <c r="O35" s="72">
        <v>7</v>
      </c>
      <c r="P35" s="72">
        <v>7</v>
      </c>
      <c r="Q35" s="72">
        <v>7</v>
      </c>
      <c r="R35" s="72">
        <v>7</v>
      </c>
      <c r="S35" s="72">
        <v>7</v>
      </c>
      <c r="T35" s="72">
        <v>7</v>
      </c>
      <c r="U35" s="72"/>
      <c r="V35" s="72"/>
      <c r="W35" s="72"/>
      <c r="X35" s="72"/>
      <c r="Y35" s="72"/>
      <c r="Z35" s="72">
        <v>7</v>
      </c>
      <c r="AA35" s="372">
        <f ca="1">Y35+IF(NOT(ISBLANK(OFFSET(AA35,0,6))),N(OFFSET(AA35,0,6)),N(OFFSET(AA35,0,7)))-Z35</f>
        <v>-7</v>
      </c>
      <c r="AB35" s="41"/>
      <c r="AC35" s="134"/>
      <c r="AD35" s="134"/>
      <c r="AE35" s="3"/>
      <c r="AF35" s="32"/>
      <c r="AG35" s="41"/>
      <c r="AH35" s="19">
        <v>0</v>
      </c>
      <c r="AI35" s="19">
        <v>0</v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</row>
    <row r="36" spans="1:59" x14ac:dyDescent="0.3">
      <c r="A36" s="25" t="s">
        <v>446</v>
      </c>
      <c r="B36" s="6">
        <v>200</v>
      </c>
      <c r="C36" s="66">
        <v>249.78</v>
      </c>
      <c r="D36" s="234">
        <v>150</v>
      </c>
      <c r="E36" s="1"/>
      <c r="F36" s="72">
        <v>400</v>
      </c>
      <c r="G36" s="72">
        <v>400</v>
      </c>
      <c r="H36" s="72">
        <v>400</v>
      </c>
      <c r="I36" s="72">
        <v>400</v>
      </c>
      <c r="J36" s="72">
        <v>400</v>
      </c>
      <c r="K36" s="72">
        <v>400</v>
      </c>
      <c r="L36" s="72">
        <v>200</v>
      </c>
      <c r="M36" s="72">
        <v>200</v>
      </c>
      <c r="N36" s="72">
        <v>200</v>
      </c>
      <c r="O36" s="72">
        <v>200</v>
      </c>
      <c r="P36" s="72">
        <v>200</v>
      </c>
      <c r="Q36" s="72">
        <v>200</v>
      </c>
      <c r="R36" s="72">
        <v>200</v>
      </c>
      <c r="S36" s="72">
        <v>200</v>
      </c>
      <c r="T36" s="72">
        <v>200</v>
      </c>
      <c r="U36" s="72">
        <v>200</v>
      </c>
      <c r="V36" s="72">
        <v>0</v>
      </c>
      <c r="W36" s="72">
        <v>0</v>
      </c>
      <c r="X36" s="72">
        <v>0</v>
      </c>
      <c r="Y36" s="72">
        <f>0+AI36</f>
        <v>200</v>
      </c>
      <c r="Z36" s="72">
        <v>200</v>
      </c>
      <c r="AA36" s="372">
        <f ca="1">Y36+IF(NOT(ISBLANK(OFFSET(AA36,0,6))),N(OFFSET(AA36,0,6)),N(OFFSET(AA36,0,7)))-Z36</f>
        <v>0</v>
      </c>
      <c r="AB36" s="41"/>
      <c r="AC36" s="78"/>
      <c r="AD36" s="78"/>
      <c r="AE36" s="7"/>
      <c r="AF36" s="32"/>
      <c r="AG36" s="41"/>
      <c r="AH36" s="19">
        <v>0</v>
      </c>
      <c r="AI36" s="19">
        <v>200</v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</row>
    <row r="37" spans="1:59" x14ac:dyDescent="0.3">
      <c r="B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B37" s="41"/>
      <c r="AE37" s="41"/>
      <c r="AG37" s="41"/>
    </row>
    <row r="38" spans="1:59" x14ac:dyDescent="0.3">
      <c r="A38" s="143" t="s">
        <v>447</v>
      </c>
      <c r="B38" s="144" t="s">
        <v>151</v>
      </c>
      <c r="C38" s="144" t="s">
        <v>152</v>
      </c>
      <c r="D38" s="144" t="s">
        <v>125</v>
      </c>
      <c r="E38" s="1"/>
      <c r="F38" s="13">
        <v>46013</v>
      </c>
      <c r="G38" s="13">
        <v>46020</v>
      </c>
      <c r="H38" s="13">
        <v>46027</v>
      </c>
      <c r="I38" s="13">
        <v>46034</v>
      </c>
      <c r="J38" s="13">
        <v>46041</v>
      </c>
      <c r="K38" s="13">
        <v>46048</v>
      </c>
      <c r="L38" s="13">
        <v>46055</v>
      </c>
      <c r="M38" s="13">
        <v>46062</v>
      </c>
      <c r="N38" s="13">
        <v>46069</v>
      </c>
      <c r="O38" s="13">
        <v>46076</v>
      </c>
      <c r="P38" s="13">
        <v>46083</v>
      </c>
      <c r="Q38" s="13">
        <v>46090</v>
      </c>
      <c r="R38" s="13">
        <v>46097</v>
      </c>
      <c r="S38" s="13">
        <v>46104</v>
      </c>
      <c r="T38" s="13">
        <v>46111</v>
      </c>
      <c r="U38" s="13">
        <v>46118</v>
      </c>
      <c r="V38" s="13">
        <v>46125</v>
      </c>
      <c r="W38" s="13">
        <v>46132</v>
      </c>
      <c r="X38" s="13">
        <v>46139</v>
      </c>
      <c r="Y38" s="13">
        <v>46146</v>
      </c>
      <c r="Z38" s="13">
        <v>46154</v>
      </c>
      <c r="AA38" s="35" t="s">
        <v>129</v>
      </c>
      <c r="AB38" s="41"/>
      <c r="AC38" s="29" t="s">
        <v>126</v>
      </c>
      <c r="AD38" s="29" t="s">
        <v>126</v>
      </c>
      <c r="AF38" s="9" t="s">
        <v>127</v>
      </c>
      <c r="AG38" s="41"/>
      <c r="AH38" s="17">
        <v>46149</v>
      </c>
      <c r="AI38" s="17">
        <v>46142</v>
      </c>
      <c r="AJ38" s="17">
        <v>46114</v>
      </c>
      <c r="AK38" s="17">
        <v>46107</v>
      </c>
      <c r="AL38" s="17">
        <v>46099</v>
      </c>
      <c r="AM38" s="294">
        <v>46065</v>
      </c>
      <c r="AN38" s="17">
        <v>46092</v>
      </c>
      <c r="AO38" s="17">
        <v>46084</v>
      </c>
      <c r="AP38" s="294">
        <v>46065</v>
      </c>
      <c r="AQ38" s="292">
        <v>46045</v>
      </c>
      <c r="AR38" s="17">
        <v>46077</v>
      </c>
      <c r="AS38" s="17">
        <v>46071</v>
      </c>
      <c r="AT38" s="17">
        <v>46056</v>
      </c>
      <c r="AU38" s="17">
        <v>46048</v>
      </c>
      <c r="AV38" s="17">
        <v>46029</v>
      </c>
      <c r="AW38" s="17">
        <v>46029</v>
      </c>
      <c r="AX38" s="17">
        <v>46043</v>
      </c>
      <c r="AY38" s="17">
        <v>46029</v>
      </c>
      <c r="AZ38" s="17">
        <v>46017</v>
      </c>
      <c r="BA38" s="17">
        <v>46007</v>
      </c>
      <c r="BB38" s="17">
        <v>46001</v>
      </c>
      <c r="BC38" s="17">
        <v>46001</v>
      </c>
      <c r="BD38" s="207">
        <v>46014</v>
      </c>
      <c r="BE38" s="17">
        <v>45994</v>
      </c>
      <c r="BF38" s="17">
        <v>45986</v>
      </c>
      <c r="BG38" s="17">
        <v>45986</v>
      </c>
    </row>
    <row r="39" spans="1:59" x14ac:dyDescent="0.3">
      <c r="A39" s="25" t="s">
        <v>448</v>
      </c>
      <c r="B39" s="72">
        <v>100</v>
      </c>
      <c r="C39" s="77">
        <v>539.70000000000005</v>
      </c>
      <c r="D39" s="234">
        <v>20</v>
      </c>
      <c r="E39" s="41"/>
      <c r="F39" s="72">
        <v>43</v>
      </c>
      <c r="G39" s="72">
        <v>43</v>
      </c>
      <c r="H39" s="72">
        <v>43</v>
      </c>
      <c r="I39" s="72">
        <v>43</v>
      </c>
      <c r="J39" s="72">
        <v>43</v>
      </c>
      <c r="K39" s="72">
        <v>43</v>
      </c>
      <c r="L39" s="72">
        <v>43</v>
      </c>
      <c r="M39" s="72">
        <v>43</v>
      </c>
      <c r="N39" s="72">
        <v>43</v>
      </c>
      <c r="O39" s="72">
        <v>43</v>
      </c>
      <c r="P39" s="72">
        <v>43</v>
      </c>
      <c r="Q39" s="72">
        <v>41</v>
      </c>
      <c r="R39" s="72">
        <v>40</v>
      </c>
      <c r="S39" s="72">
        <v>40</v>
      </c>
      <c r="T39" s="72">
        <v>40</v>
      </c>
      <c r="U39" s="72"/>
      <c r="V39" s="72"/>
      <c r="W39" s="72"/>
      <c r="X39" s="72"/>
      <c r="Y39" s="72"/>
      <c r="Z39" s="72">
        <v>39</v>
      </c>
      <c r="AA39" s="372">
        <f ca="1">Y39+IF(NOT(ISBLANK(OFFSET(AA39,0,6))),N(OFFSET(AA39,0,6)),N(OFFSET(AA39,0,7)))-Z39</f>
        <v>-39</v>
      </c>
      <c r="AB39" s="41"/>
      <c r="AC39" s="134"/>
      <c r="AD39" s="134"/>
      <c r="AE39" s="7"/>
      <c r="AF39" s="32"/>
      <c r="AG39" s="41"/>
      <c r="AH39" s="19">
        <v>0</v>
      </c>
      <c r="AI39" s="19">
        <v>0</v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</row>
    <row r="40" spans="1:59" x14ac:dyDescent="0.3">
      <c r="A40" s="25" t="s">
        <v>449</v>
      </c>
      <c r="B40" s="72">
        <v>100</v>
      </c>
      <c r="C40" s="77">
        <v>652.04999999999995</v>
      </c>
      <c r="D40" s="234">
        <v>30</v>
      </c>
      <c r="E40" s="41"/>
      <c r="F40" s="72">
        <v>67</v>
      </c>
      <c r="G40" s="72">
        <v>66</v>
      </c>
      <c r="H40" s="72">
        <v>66</v>
      </c>
      <c r="I40" s="72">
        <v>66</v>
      </c>
      <c r="J40" s="72">
        <v>66</v>
      </c>
      <c r="K40" s="72">
        <v>66</v>
      </c>
      <c r="L40" s="72">
        <v>66</v>
      </c>
      <c r="M40" s="72">
        <v>66</v>
      </c>
      <c r="N40" s="72">
        <v>65</v>
      </c>
      <c r="O40" s="72">
        <v>65</v>
      </c>
      <c r="P40" s="72">
        <v>65</v>
      </c>
      <c r="Q40" s="72">
        <v>62</v>
      </c>
      <c r="R40" s="72">
        <v>61</v>
      </c>
      <c r="S40" s="72">
        <v>60</v>
      </c>
      <c r="T40" s="72">
        <v>58</v>
      </c>
      <c r="U40" s="72"/>
      <c r="V40" s="72"/>
      <c r="W40" s="72"/>
      <c r="X40" s="72"/>
      <c r="Y40" s="72"/>
      <c r="Z40" s="72">
        <v>50</v>
      </c>
      <c r="AA40" s="372">
        <f ca="1">Y40+IF(NOT(ISBLANK(OFFSET(AA40,0,6))),N(OFFSET(AA40,0,6)),N(OFFSET(AA40,0,7)))-Z40</f>
        <v>-50</v>
      </c>
      <c r="AB40" s="41"/>
      <c r="AC40" s="134"/>
      <c r="AD40" s="134"/>
      <c r="AE40" s="1"/>
      <c r="AF40" s="32"/>
      <c r="AG40" s="41"/>
      <c r="AH40" s="19">
        <v>0</v>
      </c>
      <c r="AI40" s="19">
        <v>0</v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</row>
    <row r="41" spans="1:59" x14ac:dyDescent="0.3">
      <c r="A41" s="25" t="s">
        <v>450</v>
      </c>
      <c r="B41" s="72">
        <v>50</v>
      </c>
      <c r="C41" s="77">
        <v>567.53</v>
      </c>
      <c r="D41" s="234">
        <v>10</v>
      </c>
      <c r="E41" s="41"/>
      <c r="F41" s="72">
        <v>19</v>
      </c>
      <c r="G41" s="72">
        <v>19</v>
      </c>
      <c r="H41" s="72">
        <v>19</v>
      </c>
      <c r="I41" s="72">
        <v>19</v>
      </c>
      <c r="J41" s="72">
        <v>19</v>
      </c>
      <c r="K41" s="72">
        <v>19</v>
      </c>
      <c r="L41" s="72">
        <v>19</v>
      </c>
      <c r="M41" s="72">
        <v>19</v>
      </c>
      <c r="N41" s="72">
        <v>19</v>
      </c>
      <c r="O41" s="72">
        <v>19</v>
      </c>
      <c r="P41" s="72">
        <v>19</v>
      </c>
      <c r="Q41" s="72">
        <v>19</v>
      </c>
      <c r="R41" s="72">
        <v>19</v>
      </c>
      <c r="S41" s="72">
        <v>19</v>
      </c>
      <c r="T41" s="72">
        <v>19</v>
      </c>
      <c r="U41" s="72"/>
      <c r="V41" s="72"/>
      <c r="W41" s="72"/>
      <c r="X41" s="72"/>
      <c r="Y41" s="72"/>
      <c r="Z41" s="72">
        <v>19</v>
      </c>
      <c r="AA41" s="372">
        <f ca="1">Y41+IF(NOT(ISBLANK(OFFSET(AA41,0,6))),N(OFFSET(AA41,0,6)),N(OFFSET(AA41,0,7)))-Z41</f>
        <v>-19</v>
      </c>
      <c r="AB41" s="41"/>
      <c r="AC41" s="134"/>
      <c r="AD41" s="134"/>
      <c r="AE41" s="1"/>
      <c r="AF41" s="32"/>
      <c r="AG41" s="41"/>
      <c r="AH41" s="19">
        <v>0</v>
      </c>
      <c r="AI41" s="19">
        <v>0</v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</row>
    <row r="42" spans="1:59" x14ac:dyDescent="0.3"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E42" s="41"/>
      <c r="AG42" s="41"/>
      <c r="AH42" s="116"/>
      <c r="AI42" s="116"/>
      <c r="AJ42" s="116"/>
      <c r="AK42" s="116"/>
      <c r="AL42" s="116"/>
      <c r="AM42" s="116"/>
      <c r="AN42" s="116"/>
      <c r="AO42" s="116"/>
      <c r="AP42" s="116"/>
      <c r="AQ42" s="116"/>
      <c r="AR42" s="116"/>
      <c r="AS42" s="116"/>
      <c r="AT42" s="116"/>
      <c r="AU42" s="116"/>
      <c r="AV42" s="116"/>
      <c r="AW42" s="116"/>
      <c r="AX42" s="116"/>
      <c r="AY42" s="116"/>
      <c r="AZ42" s="116"/>
      <c r="BA42" s="116"/>
      <c r="BB42" s="116"/>
      <c r="BC42" s="116"/>
      <c r="BD42" s="116"/>
      <c r="BE42" s="116"/>
      <c r="BF42" s="116"/>
      <c r="BG42" s="116"/>
    </row>
    <row r="43" spans="1:59" x14ac:dyDescent="0.3">
      <c r="A43" s="145" t="s">
        <v>451</v>
      </c>
      <c r="B43" s="146" t="s">
        <v>151</v>
      </c>
      <c r="C43" s="146" t="s">
        <v>152</v>
      </c>
      <c r="D43" s="146" t="s">
        <v>125</v>
      </c>
      <c r="E43" s="1"/>
      <c r="F43" s="13">
        <v>46013</v>
      </c>
      <c r="G43" s="13">
        <v>46020</v>
      </c>
      <c r="H43" s="13">
        <v>46027</v>
      </c>
      <c r="I43" s="13">
        <v>46034</v>
      </c>
      <c r="J43" s="13">
        <v>46041</v>
      </c>
      <c r="K43" s="13">
        <v>46048</v>
      </c>
      <c r="L43" s="13">
        <v>46055</v>
      </c>
      <c r="M43" s="13">
        <v>46062</v>
      </c>
      <c r="N43" s="13">
        <v>46069</v>
      </c>
      <c r="O43" s="13">
        <v>46076</v>
      </c>
      <c r="P43" s="13">
        <v>46083</v>
      </c>
      <c r="Q43" s="13">
        <v>46090</v>
      </c>
      <c r="R43" s="13">
        <v>46097</v>
      </c>
      <c r="S43" s="13">
        <v>46104</v>
      </c>
      <c r="T43" s="13">
        <v>46111</v>
      </c>
      <c r="U43" s="13">
        <v>46118</v>
      </c>
      <c r="V43" s="13">
        <v>46125</v>
      </c>
      <c r="W43" s="13">
        <v>46132</v>
      </c>
      <c r="X43" s="13">
        <v>46139</v>
      </c>
      <c r="Y43" s="13">
        <v>46146</v>
      </c>
      <c r="Z43" s="13">
        <v>46154</v>
      </c>
      <c r="AA43" s="35" t="s">
        <v>129</v>
      </c>
      <c r="AB43" s="41"/>
      <c r="AC43" s="29" t="s">
        <v>126</v>
      </c>
      <c r="AD43" s="29" t="s">
        <v>126</v>
      </c>
      <c r="AF43" s="9" t="s">
        <v>127</v>
      </c>
      <c r="AG43" s="41"/>
      <c r="AH43" s="17">
        <v>46149</v>
      </c>
      <c r="AI43" s="17">
        <v>46142</v>
      </c>
      <c r="AJ43" s="17">
        <v>46114</v>
      </c>
      <c r="AK43" s="17">
        <v>46107</v>
      </c>
      <c r="AL43" s="17">
        <v>46099</v>
      </c>
      <c r="AM43" s="294">
        <v>46065</v>
      </c>
      <c r="AN43" s="17">
        <v>46092</v>
      </c>
      <c r="AO43" s="17">
        <v>46084</v>
      </c>
      <c r="AP43" s="294">
        <v>46065</v>
      </c>
      <c r="AQ43" s="292">
        <v>46045</v>
      </c>
      <c r="AR43" s="17">
        <v>46077</v>
      </c>
      <c r="AS43" s="17">
        <v>46071</v>
      </c>
      <c r="AT43" s="17">
        <v>46056</v>
      </c>
      <c r="AU43" s="17">
        <v>46048</v>
      </c>
      <c r="AV43" s="17">
        <v>46029</v>
      </c>
      <c r="AW43" s="17">
        <v>46029</v>
      </c>
      <c r="AX43" s="17">
        <v>46043</v>
      </c>
      <c r="AY43" s="17">
        <v>46029</v>
      </c>
      <c r="AZ43" s="17">
        <v>46017</v>
      </c>
      <c r="BA43" s="17">
        <v>46007</v>
      </c>
      <c r="BB43" s="17">
        <v>46001</v>
      </c>
      <c r="BC43" s="17">
        <v>46001</v>
      </c>
      <c r="BD43" s="207">
        <v>46014</v>
      </c>
      <c r="BE43" s="17">
        <v>45994</v>
      </c>
      <c r="BF43" s="17">
        <v>45986</v>
      </c>
      <c r="BG43" s="17">
        <v>45986</v>
      </c>
    </row>
    <row r="44" spans="1:59" x14ac:dyDescent="0.3">
      <c r="A44" s="25" t="s">
        <v>452</v>
      </c>
      <c r="B44" s="6">
        <v>300</v>
      </c>
      <c r="C44" s="66">
        <v>169.8</v>
      </c>
      <c r="D44" s="234">
        <v>0</v>
      </c>
      <c r="E44" s="1"/>
      <c r="F44" s="39">
        <v>0</v>
      </c>
      <c r="G44" s="39">
        <v>0</v>
      </c>
      <c r="H44" s="39">
        <v>0</v>
      </c>
      <c r="I44" s="39">
        <v>0</v>
      </c>
      <c r="J44" s="39">
        <v>0</v>
      </c>
      <c r="K44" s="39">
        <v>0</v>
      </c>
      <c r="L44" s="39">
        <v>0</v>
      </c>
      <c r="M44" s="39">
        <v>0</v>
      </c>
      <c r="N44" s="39">
        <v>0</v>
      </c>
      <c r="O44" s="39">
        <v>0</v>
      </c>
      <c r="P44" s="39">
        <v>0</v>
      </c>
      <c r="Q44" s="39">
        <v>0</v>
      </c>
      <c r="R44" s="39">
        <v>0</v>
      </c>
      <c r="S44" s="39">
        <v>0</v>
      </c>
      <c r="T44" s="39">
        <v>0</v>
      </c>
      <c r="U44" s="39">
        <v>0</v>
      </c>
      <c r="V44" s="39">
        <v>0</v>
      </c>
      <c r="W44" s="39">
        <v>0</v>
      </c>
      <c r="X44" s="39">
        <v>0</v>
      </c>
      <c r="Y44" s="39">
        <v>0</v>
      </c>
      <c r="Z44" s="39">
        <v>0</v>
      </c>
      <c r="AA44" s="372">
        <f t="shared" ref="AA44:AA49" ca="1" si="0">Y44+IF(NOT(ISBLANK(OFFSET(AA44,0,6))),N(OFFSET(AA44,0,6)),N(OFFSET(AA44,0,7)))-Z44</f>
        <v>0</v>
      </c>
      <c r="AB44" s="41"/>
      <c r="AC44" s="134"/>
      <c r="AD44" s="134"/>
      <c r="AF44" s="76"/>
      <c r="AG44" s="41"/>
      <c r="AH44" s="19">
        <v>0</v>
      </c>
      <c r="AI44" s="19">
        <v>0</v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</row>
    <row r="45" spans="1:59" x14ac:dyDescent="0.3">
      <c r="A45" s="25" t="s">
        <v>453</v>
      </c>
      <c r="B45" s="6">
        <v>200</v>
      </c>
      <c r="C45" s="66">
        <v>175.22</v>
      </c>
      <c r="D45" s="234">
        <v>0</v>
      </c>
      <c r="E45" s="1"/>
      <c r="F45" s="39">
        <v>0</v>
      </c>
      <c r="G45" s="39">
        <v>0</v>
      </c>
      <c r="H45" s="39">
        <v>0</v>
      </c>
      <c r="I45" s="39">
        <v>0</v>
      </c>
      <c r="J45" s="39">
        <v>0</v>
      </c>
      <c r="K45" s="39">
        <v>0</v>
      </c>
      <c r="L45" s="39">
        <v>0</v>
      </c>
      <c r="M45" s="39">
        <v>0</v>
      </c>
      <c r="N45" s="39">
        <v>0</v>
      </c>
      <c r="O45" s="39">
        <v>0</v>
      </c>
      <c r="P45" s="39">
        <v>0</v>
      </c>
      <c r="Q45" s="39">
        <v>0</v>
      </c>
      <c r="R45" s="39">
        <v>0</v>
      </c>
      <c r="S45" s="39">
        <v>0</v>
      </c>
      <c r="T45" s="39">
        <v>0</v>
      </c>
      <c r="U45" s="39">
        <v>0</v>
      </c>
      <c r="V45" s="39">
        <v>0</v>
      </c>
      <c r="W45" s="39">
        <v>0</v>
      </c>
      <c r="X45" s="39">
        <v>0</v>
      </c>
      <c r="Y45" s="39">
        <v>0</v>
      </c>
      <c r="Z45" s="39">
        <v>0</v>
      </c>
      <c r="AA45" s="372">
        <f t="shared" ca="1" si="0"/>
        <v>0</v>
      </c>
      <c r="AB45" s="41"/>
      <c r="AC45" s="134"/>
      <c r="AD45" s="134"/>
      <c r="AF45" s="76"/>
      <c r="AG45" s="41"/>
      <c r="AH45" s="19">
        <v>0</v>
      </c>
      <c r="AI45" s="19">
        <v>0</v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</row>
    <row r="46" spans="1:59" x14ac:dyDescent="0.3">
      <c r="A46" s="25" t="s">
        <v>454</v>
      </c>
      <c r="B46" s="6">
        <v>200</v>
      </c>
      <c r="C46" s="66">
        <v>230.34</v>
      </c>
      <c r="D46" s="234">
        <v>0</v>
      </c>
      <c r="E46" s="1"/>
      <c r="F46" s="39">
        <v>0</v>
      </c>
      <c r="G46" s="39">
        <v>0</v>
      </c>
      <c r="H46" s="39">
        <v>0</v>
      </c>
      <c r="I46" s="39">
        <v>0</v>
      </c>
      <c r="J46" s="39">
        <v>0</v>
      </c>
      <c r="K46" s="39">
        <v>0</v>
      </c>
      <c r="L46" s="39">
        <v>0</v>
      </c>
      <c r="M46" s="39">
        <v>0</v>
      </c>
      <c r="N46" s="39">
        <v>0</v>
      </c>
      <c r="O46" s="39">
        <v>0</v>
      </c>
      <c r="P46" s="39">
        <v>0</v>
      </c>
      <c r="Q46" s="39">
        <v>0</v>
      </c>
      <c r="R46" s="39">
        <v>0</v>
      </c>
      <c r="S46" s="39">
        <v>0</v>
      </c>
      <c r="T46" s="39">
        <v>0</v>
      </c>
      <c r="U46" s="39">
        <v>0</v>
      </c>
      <c r="V46" s="39">
        <v>0</v>
      </c>
      <c r="W46" s="39">
        <v>0</v>
      </c>
      <c r="X46" s="39">
        <v>0</v>
      </c>
      <c r="Y46" s="39">
        <v>0</v>
      </c>
      <c r="Z46" s="39">
        <v>0</v>
      </c>
      <c r="AA46" s="372">
        <f t="shared" ca="1" si="0"/>
        <v>0</v>
      </c>
      <c r="AB46" s="41"/>
      <c r="AC46" s="134"/>
      <c r="AD46" s="134"/>
      <c r="AF46" s="76"/>
      <c r="AG46" s="41"/>
      <c r="AH46" s="19">
        <v>0</v>
      </c>
      <c r="AI46" s="19">
        <v>0</v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</row>
    <row r="47" spans="1:59" x14ac:dyDescent="0.3">
      <c r="A47" s="25" t="s">
        <v>455</v>
      </c>
      <c r="B47" s="6">
        <v>150</v>
      </c>
      <c r="C47" s="66">
        <v>295.72000000000003</v>
      </c>
      <c r="D47" s="234">
        <v>10</v>
      </c>
      <c r="E47" s="1"/>
      <c r="F47" s="39">
        <v>0</v>
      </c>
      <c r="G47" s="39">
        <v>0</v>
      </c>
      <c r="H47" s="39">
        <v>0</v>
      </c>
      <c r="I47" s="39">
        <v>0</v>
      </c>
      <c r="J47" s="39">
        <v>0</v>
      </c>
      <c r="K47" s="39">
        <v>0</v>
      </c>
      <c r="L47" s="39">
        <v>0</v>
      </c>
      <c r="M47" s="39">
        <v>0</v>
      </c>
      <c r="N47" s="39">
        <v>0</v>
      </c>
      <c r="O47" s="39">
        <v>0</v>
      </c>
      <c r="P47" s="39">
        <v>0</v>
      </c>
      <c r="Q47" s="39">
        <v>0</v>
      </c>
      <c r="R47" s="39">
        <v>0</v>
      </c>
      <c r="S47" s="39">
        <v>0</v>
      </c>
      <c r="T47" s="39">
        <v>0</v>
      </c>
      <c r="U47" s="39">
        <v>0</v>
      </c>
      <c r="V47" s="39">
        <v>0</v>
      </c>
      <c r="W47" s="39">
        <v>0</v>
      </c>
      <c r="X47" s="39">
        <v>0</v>
      </c>
      <c r="Y47" s="39">
        <v>0</v>
      </c>
      <c r="Z47" s="39">
        <v>0</v>
      </c>
      <c r="AA47" s="372">
        <f t="shared" ca="1" si="0"/>
        <v>0</v>
      </c>
      <c r="AB47" s="41"/>
      <c r="AC47" s="134"/>
      <c r="AD47" s="134"/>
      <c r="AF47" s="76"/>
      <c r="AG47" s="41"/>
      <c r="AH47" s="19">
        <v>0</v>
      </c>
      <c r="AI47" s="19">
        <v>0</v>
      </c>
      <c r="AJ47" s="159"/>
      <c r="AK47" s="159"/>
      <c r="AL47" s="159"/>
      <c r="AM47" s="159"/>
      <c r="AN47" s="159"/>
      <c r="AO47" s="159"/>
      <c r="AP47" s="159"/>
      <c r="AQ47" s="159"/>
      <c r="AR47" s="159"/>
      <c r="AS47" s="159"/>
      <c r="AT47" s="159"/>
      <c r="AU47" s="159"/>
      <c r="AV47" s="159"/>
      <c r="AW47" s="159"/>
      <c r="AX47" s="159"/>
      <c r="AY47" s="159"/>
      <c r="AZ47" s="159"/>
      <c r="BA47" s="159"/>
      <c r="BB47" s="159"/>
      <c r="BC47" s="159"/>
      <c r="BD47" s="159"/>
      <c r="BE47" s="159"/>
      <c r="BF47" s="159"/>
      <c r="BG47" s="159"/>
    </row>
    <row r="48" spans="1:59" x14ac:dyDescent="0.3">
      <c r="A48" s="25" t="s">
        <v>456</v>
      </c>
      <c r="B48" s="6">
        <v>100</v>
      </c>
      <c r="C48" s="66">
        <v>216.38</v>
      </c>
      <c r="D48" s="234">
        <v>10</v>
      </c>
      <c r="E48" s="1"/>
      <c r="F48" s="39">
        <v>22</v>
      </c>
      <c r="G48" s="39">
        <v>22</v>
      </c>
      <c r="H48" s="39">
        <v>22</v>
      </c>
      <c r="I48" s="39">
        <v>22</v>
      </c>
      <c r="J48" s="39">
        <v>22</v>
      </c>
      <c r="K48" s="39">
        <v>22</v>
      </c>
      <c r="L48" s="39">
        <v>22</v>
      </c>
      <c r="M48" s="39">
        <v>22</v>
      </c>
      <c r="N48" s="39">
        <v>22</v>
      </c>
      <c r="O48" s="39">
        <v>22</v>
      </c>
      <c r="P48" s="39">
        <v>22</v>
      </c>
      <c r="Q48" s="39">
        <v>22</v>
      </c>
      <c r="R48" s="39">
        <v>22</v>
      </c>
      <c r="S48" s="39">
        <v>22</v>
      </c>
      <c r="T48" s="39">
        <v>22</v>
      </c>
      <c r="U48" s="39"/>
      <c r="V48" s="39"/>
      <c r="W48" s="39"/>
      <c r="X48" s="39"/>
      <c r="Y48" s="39"/>
      <c r="Z48" s="39">
        <v>22</v>
      </c>
      <c r="AA48" s="372">
        <f t="shared" ca="1" si="0"/>
        <v>-22</v>
      </c>
      <c r="AB48" s="41"/>
      <c r="AC48" s="134"/>
      <c r="AD48" s="134"/>
      <c r="AF48" s="76"/>
      <c r="AG48" s="41"/>
      <c r="AH48" s="19">
        <v>0</v>
      </c>
      <c r="AI48" s="19">
        <v>0</v>
      </c>
      <c r="AJ48" s="159"/>
      <c r="AK48" s="159"/>
      <c r="AL48" s="159"/>
      <c r="AM48" s="159"/>
      <c r="AN48" s="159"/>
      <c r="AO48" s="159"/>
      <c r="AP48" s="159"/>
      <c r="AQ48" s="159"/>
      <c r="AR48" s="159"/>
      <c r="AS48" s="159"/>
      <c r="AT48" s="159"/>
      <c r="AU48" s="159"/>
      <c r="AV48" s="159"/>
      <c r="AW48" s="159"/>
      <c r="AX48" s="159"/>
      <c r="AY48" s="159"/>
      <c r="AZ48" s="159"/>
      <c r="BA48" s="159"/>
      <c r="BB48" s="159"/>
      <c r="BC48" s="159"/>
      <c r="BD48" s="159"/>
      <c r="BE48" s="159"/>
      <c r="BF48" s="159"/>
      <c r="BG48" s="159"/>
    </row>
    <row r="49" spans="1:59" x14ac:dyDescent="0.3">
      <c r="A49" s="25" t="s">
        <v>457</v>
      </c>
      <c r="B49" s="6">
        <v>100</v>
      </c>
      <c r="C49" s="66">
        <v>306</v>
      </c>
      <c r="D49" s="234">
        <v>10</v>
      </c>
      <c r="E49" s="1"/>
      <c r="F49" s="39">
        <v>3</v>
      </c>
      <c r="G49" s="39">
        <v>3</v>
      </c>
      <c r="H49" s="39">
        <v>3</v>
      </c>
      <c r="I49" s="39">
        <v>3</v>
      </c>
      <c r="J49" s="39">
        <v>3</v>
      </c>
      <c r="K49" s="39">
        <v>3</v>
      </c>
      <c r="L49" s="39">
        <v>3</v>
      </c>
      <c r="M49" s="39">
        <v>3</v>
      </c>
      <c r="N49" s="39">
        <v>4</v>
      </c>
      <c r="O49" s="39">
        <v>4</v>
      </c>
      <c r="P49" s="39">
        <v>4</v>
      </c>
      <c r="Q49" s="39">
        <v>3</v>
      </c>
      <c r="R49" s="39">
        <v>3</v>
      </c>
      <c r="S49" s="39">
        <v>3</v>
      </c>
      <c r="T49" s="39">
        <v>3</v>
      </c>
      <c r="U49" s="39"/>
      <c r="V49" s="39"/>
      <c r="W49" s="39"/>
      <c r="X49" s="39"/>
      <c r="Y49" s="39"/>
      <c r="Z49" s="39">
        <v>2</v>
      </c>
      <c r="AA49" s="372">
        <f t="shared" ca="1" si="0"/>
        <v>-2</v>
      </c>
      <c r="AB49" s="41"/>
      <c r="AC49" s="134"/>
      <c r="AD49" s="134"/>
      <c r="AF49" s="76"/>
      <c r="AG49" s="41"/>
      <c r="AH49" s="19">
        <v>0</v>
      </c>
      <c r="AI49" s="19">
        <v>0</v>
      </c>
      <c r="AJ49" s="159"/>
      <c r="AK49" s="159"/>
      <c r="AL49" s="159"/>
      <c r="AM49" s="159"/>
      <c r="AN49" s="159"/>
      <c r="AO49" s="159"/>
      <c r="AP49" s="159"/>
      <c r="AQ49" s="159"/>
      <c r="AR49" s="159"/>
      <c r="AS49" s="159"/>
      <c r="AT49" s="159"/>
      <c r="AU49" s="159"/>
      <c r="AV49" s="159"/>
      <c r="AW49" s="159"/>
      <c r="AX49" s="159"/>
      <c r="AY49" s="159"/>
      <c r="AZ49" s="159"/>
      <c r="BA49" s="159"/>
      <c r="BB49" s="159"/>
      <c r="BC49" s="159"/>
      <c r="BD49" s="159"/>
      <c r="BE49" s="159"/>
      <c r="BF49" s="159"/>
      <c r="BG49" s="159"/>
    </row>
    <row r="50" spans="1:59" x14ac:dyDescent="0.3">
      <c r="A50" s="23"/>
      <c r="B50" s="1"/>
      <c r="C50" s="64"/>
      <c r="D50" s="64"/>
      <c r="E50" s="1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B50" s="41"/>
      <c r="AC50" s="214"/>
      <c r="AD50" s="214"/>
      <c r="AF50" s="205"/>
      <c r="AG50" s="41"/>
      <c r="AH50" s="341"/>
      <c r="AI50" s="341"/>
      <c r="AJ50" s="341"/>
      <c r="AK50" s="341"/>
      <c r="AL50" s="341"/>
      <c r="AM50" s="341"/>
      <c r="AN50" s="341"/>
      <c r="AO50" s="341"/>
      <c r="AP50" s="341"/>
      <c r="AQ50" s="341"/>
      <c r="AR50" s="341"/>
      <c r="AS50" s="341"/>
      <c r="AT50" s="341"/>
      <c r="AU50" s="341"/>
      <c r="AV50" s="341"/>
      <c r="AW50" s="341"/>
      <c r="AX50" s="341"/>
      <c r="AY50" s="341"/>
      <c r="AZ50" s="341"/>
      <c r="BA50" s="341"/>
      <c r="BB50" s="341"/>
      <c r="BC50" s="341"/>
      <c r="BD50" s="341"/>
      <c r="BE50" s="341"/>
      <c r="BF50" s="341"/>
      <c r="BG50" s="341"/>
    </row>
    <row r="51" spans="1:59" x14ac:dyDescent="0.3">
      <c r="A51" s="215" t="s">
        <v>458</v>
      </c>
      <c r="B51" s="216" t="s">
        <v>151</v>
      </c>
      <c r="C51" s="216" t="s">
        <v>152</v>
      </c>
      <c r="D51" s="216" t="s">
        <v>125</v>
      </c>
      <c r="E51" s="1"/>
      <c r="F51" s="13">
        <v>46013</v>
      </c>
      <c r="G51" s="13">
        <v>46020</v>
      </c>
      <c r="H51" s="13">
        <v>46027</v>
      </c>
      <c r="I51" s="13">
        <v>46034</v>
      </c>
      <c r="J51" s="13">
        <v>46041</v>
      </c>
      <c r="K51" s="13">
        <v>46048</v>
      </c>
      <c r="L51" s="13">
        <v>46055</v>
      </c>
      <c r="M51" s="13">
        <v>46062</v>
      </c>
      <c r="N51" s="13">
        <v>46069</v>
      </c>
      <c r="O51" s="13">
        <v>46076</v>
      </c>
      <c r="P51" s="13">
        <v>46083</v>
      </c>
      <c r="Q51" s="13">
        <v>46090</v>
      </c>
      <c r="R51" s="13">
        <v>46097</v>
      </c>
      <c r="S51" s="13">
        <v>46104</v>
      </c>
      <c r="T51" s="13">
        <v>46111</v>
      </c>
      <c r="U51" s="13">
        <v>46118</v>
      </c>
      <c r="V51" s="13">
        <v>46125</v>
      </c>
      <c r="W51" s="13">
        <v>46132</v>
      </c>
      <c r="X51" s="13">
        <v>46139</v>
      </c>
      <c r="Y51" s="13">
        <v>46146</v>
      </c>
      <c r="Z51" s="13">
        <v>46154</v>
      </c>
      <c r="AA51" s="35" t="s">
        <v>129</v>
      </c>
      <c r="AB51" s="41"/>
      <c r="AC51" s="29" t="s">
        <v>126</v>
      </c>
      <c r="AD51" s="29" t="s">
        <v>126</v>
      </c>
      <c r="AF51" s="9" t="s">
        <v>127</v>
      </c>
      <c r="AG51" s="41"/>
      <c r="AH51" s="17">
        <v>46149</v>
      </c>
      <c r="AI51" s="17">
        <v>46142</v>
      </c>
      <c r="AJ51" s="17">
        <v>46114</v>
      </c>
      <c r="AK51" s="17">
        <v>46107</v>
      </c>
      <c r="AL51" s="17">
        <v>46099</v>
      </c>
      <c r="AM51" s="294">
        <v>46065</v>
      </c>
      <c r="AN51" s="17">
        <v>46092</v>
      </c>
      <c r="AO51" s="17">
        <v>46084</v>
      </c>
      <c r="AP51" s="294">
        <v>46065</v>
      </c>
      <c r="AQ51" s="292">
        <v>46045</v>
      </c>
      <c r="AR51" s="17">
        <v>46077</v>
      </c>
      <c r="AS51" s="17">
        <v>46071</v>
      </c>
      <c r="AT51" s="17">
        <v>46056</v>
      </c>
      <c r="AU51" s="17">
        <v>46048</v>
      </c>
      <c r="AV51" s="17">
        <v>46029</v>
      </c>
      <c r="AW51" s="17">
        <v>46029</v>
      </c>
      <c r="AX51" s="17">
        <v>46043</v>
      </c>
      <c r="AY51" s="17">
        <v>46029</v>
      </c>
      <c r="AZ51" s="17">
        <v>46017</v>
      </c>
      <c r="BA51" s="17">
        <v>46007</v>
      </c>
      <c r="BB51" s="17">
        <v>46001</v>
      </c>
      <c r="BC51" s="17">
        <v>46001</v>
      </c>
      <c r="BD51" s="207">
        <v>46014</v>
      </c>
      <c r="BE51" s="17">
        <v>45994</v>
      </c>
      <c r="BF51" s="17">
        <v>45986</v>
      </c>
      <c r="BG51" s="17">
        <v>45986</v>
      </c>
    </row>
    <row r="52" spans="1:59" x14ac:dyDescent="0.3">
      <c r="A52" s="25" t="s">
        <v>459</v>
      </c>
      <c r="B52" s="6">
        <v>200</v>
      </c>
      <c r="C52" s="66">
        <v>174.51</v>
      </c>
      <c r="D52" s="234" t="s">
        <v>460</v>
      </c>
      <c r="E52" s="1"/>
      <c r="F52" s="39">
        <f>1000+BA52</f>
        <v>1800</v>
      </c>
      <c r="G52" s="39">
        <v>1800</v>
      </c>
      <c r="H52" s="39">
        <v>1000</v>
      </c>
      <c r="I52" s="39">
        <v>1000</v>
      </c>
      <c r="J52" s="39">
        <v>600</v>
      </c>
      <c r="K52" s="39">
        <v>800</v>
      </c>
      <c r="L52" s="39">
        <f>800+AU52</f>
        <v>2800</v>
      </c>
      <c r="M52" s="39">
        <v>2200</v>
      </c>
      <c r="N52" s="39">
        <v>2000</v>
      </c>
      <c r="O52" s="39">
        <v>1600</v>
      </c>
      <c r="P52" s="39">
        <f>1000+AR52</f>
        <v>1800</v>
      </c>
      <c r="Q52" s="39">
        <v>1400</v>
      </c>
      <c r="R52" s="39">
        <v>600</v>
      </c>
      <c r="S52" s="39">
        <f>200+AL52</f>
        <v>1200</v>
      </c>
      <c r="T52" s="39">
        <f>800+AK52</f>
        <v>1600</v>
      </c>
      <c r="U52" s="39">
        <v>1000</v>
      </c>
      <c r="V52" s="39">
        <v>600</v>
      </c>
      <c r="W52" s="39">
        <v>600</v>
      </c>
      <c r="X52" s="39">
        <v>0</v>
      </c>
      <c r="Y52" s="39">
        <f>0+AI52</f>
        <v>600</v>
      </c>
      <c r="Z52" s="39">
        <v>600</v>
      </c>
      <c r="AA52" s="372">
        <f t="shared" ref="AA52:AA60" ca="1" si="1">Y52+IF(NOT(ISBLANK(OFFSET(AA52,0,6))),N(OFFSET(AA52,0,6)),N(OFFSET(AA52,0,7)))-Z52</f>
        <v>0</v>
      </c>
      <c r="AB52" s="41"/>
      <c r="AC52" s="134"/>
      <c r="AD52" s="134"/>
      <c r="AF52" s="76">
        <v>400</v>
      </c>
      <c r="AG52" s="41"/>
      <c r="AH52" s="19">
        <v>0</v>
      </c>
      <c r="AI52" s="19">
        <v>600</v>
      </c>
      <c r="AJ52" s="19">
        <v>1000</v>
      </c>
      <c r="AK52" s="19">
        <v>800</v>
      </c>
      <c r="AL52" s="19">
        <v>1000</v>
      </c>
      <c r="AM52" s="19"/>
      <c r="AN52" s="19"/>
      <c r="AO52" s="19"/>
      <c r="AP52" s="19"/>
      <c r="AQ52" s="19"/>
      <c r="AR52" s="19">
        <v>800</v>
      </c>
      <c r="AS52" s="19"/>
      <c r="AT52" s="19"/>
      <c r="AU52" s="19">
        <v>2000</v>
      </c>
      <c r="AV52" s="19">
        <v>200</v>
      </c>
      <c r="AW52" s="19">
        <v>1200</v>
      </c>
      <c r="AX52" s="19"/>
      <c r="AY52" s="19"/>
      <c r="AZ52" s="19">
        <v>800</v>
      </c>
      <c r="BA52" s="19">
        <v>800</v>
      </c>
      <c r="BB52" s="19"/>
      <c r="BC52" s="19"/>
      <c r="BD52" s="19"/>
      <c r="BE52" s="19"/>
      <c r="BF52" s="19">
        <v>2000</v>
      </c>
      <c r="BG52" s="19"/>
    </row>
    <row r="53" spans="1:59" x14ac:dyDescent="0.3">
      <c r="A53" s="25" t="s">
        <v>461</v>
      </c>
      <c r="B53" s="6">
        <v>200</v>
      </c>
      <c r="C53" s="66">
        <v>229.36</v>
      </c>
      <c r="D53" s="234" t="s">
        <v>460</v>
      </c>
      <c r="E53" s="1"/>
      <c r="F53" s="39">
        <v>1200</v>
      </c>
      <c r="G53" s="39">
        <v>1200</v>
      </c>
      <c r="H53" s="39">
        <v>1000</v>
      </c>
      <c r="I53" s="39">
        <v>1000</v>
      </c>
      <c r="J53" s="39">
        <v>1000</v>
      </c>
      <c r="K53" s="39">
        <v>1000</v>
      </c>
      <c r="L53" s="39">
        <v>800</v>
      </c>
      <c r="M53" s="39">
        <v>800</v>
      </c>
      <c r="N53" s="39">
        <v>600</v>
      </c>
      <c r="O53" s="39">
        <v>600</v>
      </c>
      <c r="P53" s="39">
        <v>600</v>
      </c>
      <c r="Q53" s="39">
        <v>600</v>
      </c>
      <c r="R53" s="39">
        <v>600</v>
      </c>
      <c r="S53" s="39">
        <v>400</v>
      </c>
      <c r="T53" s="39">
        <v>400</v>
      </c>
      <c r="U53" s="39">
        <v>400</v>
      </c>
      <c r="V53" s="39">
        <v>400</v>
      </c>
      <c r="W53" s="39">
        <v>200</v>
      </c>
      <c r="X53" s="39">
        <v>200</v>
      </c>
      <c r="Y53" s="39">
        <v>0</v>
      </c>
      <c r="Z53" s="39">
        <f>0+AH53</f>
        <v>400</v>
      </c>
      <c r="AA53" s="372">
        <f t="shared" ca="1" si="1"/>
        <v>0</v>
      </c>
      <c r="AB53" s="41"/>
      <c r="AC53" s="134"/>
      <c r="AD53" s="134"/>
      <c r="AF53" s="76"/>
      <c r="AG53" s="41"/>
      <c r="AH53" s="19">
        <v>400</v>
      </c>
      <c r="AI53" s="19">
        <v>0</v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>
        <v>1000</v>
      </c>
      <c r="BG53" s="19"/>
    </row>
    <row r="54" spans="1:59" x14ac:dyDescent="0.3">
      <c r="A54" s="25" t="s">
        <v>462</v>
      </c>
      <c r="B54" s="6">
        <v>100</v>
      </c>
      <c r="C54" s="66">
        <v>166.79</v>
      </c>
      <c r="D54" s="234" t="s">
        <v>460</v>
      </c>
      <c r="E54" s="1"/>
      <c r="F54" s="39">
        <v>400</v>
      </c>
      <c r="G54" s="39">
        <v>400</v>
      </c>
      <c r="H54" s="39">
        <v>400</v>
      </c>
      <c r="I54" s="39">
        <v>400</v>
      </c>
      <c r="J54" s="39">
        <v>400</v>
      </c>
      <c r="K54" s="39">
        <v>400</v>
      </c>
      <c r="L54" s="39">
        <v>400</v>
      </c>
      <c r="M54" s="39">
        <v>400</v>
      </c>
      <c r="N54" s="39">
        <v>400</v>
      </c>
      <c r="O54" s="39">
        <v>300</v>
      </c>
      <c r="P54" s="39">
        <f>300+AR54</f>
        <v>600</v>
      </c>
      <c r="Q54" s="39">
        <v>500</v>
      </c>
      <c r="R54" s="39">
        <v>500</v>
      </c>
      <c r="S54" s="39">
        <v>600</v>
      </c>
      <c r="T54" s="39">
        <v>600</v>
      </c>
      <c r="U54" s="39">
        <v>600</v>
      </c>
      <c r="V54" s="39">
        <v>600</v>
      </c>
      <c r="W54" s="39">
        <v>600</v>
      </c>
      <c r="X54" s="39">
        <v>600</v>
      </c>
      <c r="Y54" s="39">
        <v>600</v>
      </c>
      <c r="Z54" s="39">
        <v>600</v>
      </c>
      <c r="AA54" s="372">
        <f t="shared" ca="1" si="1"/>
        <v>0</v>
      </c>
      <c r="AB54" s="41"/>
      <c r="AC54" s="134" t="s">
        <v>463</v>
      </c>
      <c r="AD54" s="134"/>
      <c r="AF54" s="76"/>
      <c r="AG54" s="41"/>
      <c r="AH54" s="19">
        <v>0</v>
      </c>
      <c r="AI54" s="19">
        <v>0</v>
      </c>
      <c r="AJ54" s="19"/>
      <c r="AK54" s="19"/>
      <c r="AL54" s="19"/>
      <c r="AM54" s="19"/>
      <c r="AN54" s="19"/>
      <c r="AO54" s="19"/>
      <c r="AP54" s="19"/>
      <c r="AQ54" s="19"/>
      <c r="AR54" s="19">
        <v>300</v>
      </c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</row>
    <row r="55" spans="1:59" x14ac:dyDescent="0.3">
      <c r="A55" s="95" t="s">
        <v>464</v>
      </c>
      <c r="B55" s="217">
        <v>200</v>
      </c>
      <c r="C55" s="218">
        <v>175.36</v>
      </c>
      <c r="D55" s="234">
        <v>40</v>
      </c>
      <c r="E55" s="1"/>
      <c r="F55" s="39">
        <f>2+BB55</f>
        <v>42</v>
      </c>
      <c r="G55" s="39">
        <v>41</v>
      </c>
      <c r="H55" s="39">
        <v>40</v>
      </c>
      <c r="I55" s="39">
        <v>40</v>
      </c>
      <c r="J55" s="39">
        <v>39</v>
      </c>
      <c r="K55" s="39">
        <v>38</v>
      </c>
      <c r="L55" s="39">
        <v>35</v>
      </c>
      <c r="M55" s="39">
        <v>32</v>
      </c>
      <c r="N55" s="39">
        <v>31</v>
      </c>
      <c r="O55" s="39">
        <v>31</v>
      </c>
      <c r="P55" s="39">
        <v>29</v>
      </c>
      <c r="Q55" s="39">
        <v>29</v>
      </c>
      <c r="R55" s="39">
        <v>27</v>
      </c>
      <c r="S55" s="39">
        <v>21</v>
      </c>
      <c r="T55" s="39">
        <v>20</v>
      </c>
      <c r="U55" s="39"/>
      <c r="V55" s="39"/>
      <c r="W55" s="39"/>
      <c r="X55" s="39"/>
      <c r="Y55" s="39"/>
      <c r="Z55" s="39">
        <v>17</v>
      </c>
      <c r="AA55" s="372">
        <f t="shared" ca="1" si="1"/>
        <v>-17</v>
      </c>
      <c r="AB55" s="41"/>
      <c r="AC55" s="134"/>
      <c r="AD55" s="134"/>
      <c r="AF55" s="76"/>
      <c r="AG55" s="41"/>
      <c r="AH55" s="19">
        <v>0</v>
      </c>
      <c r="AI55" s="19">
        <v>0</v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>
        <v>40</v>
      </c>
      <c r="BC55" s="19"/>
      <c r="BD55" s="19"/>
      <c r="BE55" s="19"/>
      <c r="BF55" s="19"/>
      <c r="BG55" s="19"/>
    </row>
    <row r="56" spans="1:59" x14ac:dyDescent="0.3">
      <c r="A56" s="95" t="s">
        <v>465</v>
      </c>
      <c r="B56" s="217">
        <v>150</v>
      </c>
      <c r="C56" s="218">
        <v>172.76</v>
      </c>
      <c r="D56" s="234">
        <v>40</v>
      </c>
      <c r="E56" s="1"/>
      <c r="F56" s="39">
        <v>42</v>
      </c>
      <c r="G56" s="39">
        <v>42</v>
      </c>
      <c r="H56" s="39">
        <v>42</v>
      </c>
      <c r="I56" s="39">
        <v>41</v>
      </c>
      <c r="J56" s="39">
        <v>41</v>
      </c>
      <c r="K56" s="39">
        <v>41</v>
      </c>
      <c r="L56" s="39">
        <v>41</v>
      </c>
      <c r="M56" s="39">
        <v>41</v>
      </c>
      <c r="N56" s="39">
        <v>41</v>
      </c>
      <c r="O56" s="39">
        <v>40</v>
      </c>
      <c r="P56" s="39">
        <v>40</v>
      </c>
      <c r="Q56" s="39">
        <v>39</v>
      </c>
      <c r="R56" s="39">
        <v>38</v>
      </c>
      <c r="S56" s="39">
        <v>38</v>
      </c>
      <c r="T56" s="39">
        <v>37</v>
      </c>
      <c r="U56" s="39"/>
      <c r="V56" s="39"/>
      <c r="W56" s="39"/>
      <c r="X56" s="39"/>
      <c r="Y56" s="39"/>
      <c r="Z56" s="39">
        <v>34</v>
      </c>
      <c r="AA56" s="372">
        <f t="shared" ca="1" si="1"/>
        <v>-34</v>
      </c>
      <c r="AB56" s="41"/>
      <c r="AC56" s="134"/>
      <c r="AD56" s="134"/>
      <c r="AF56" s="76"/>
      <c r="AG56" s="41"/>
      <c r="AH56" s="19">
        <v>0</v>
      </c>
      <c r="AI56" s="19">
        <v>0</v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>
        <v>30</v>
      </c>
      <c r="BC56" s="19"/>
      <c r="BD56" s="19"/>
      <c r="BE56" s="19"/>
      <c r="BF56" s="19"/>
      <c r="BG56" s="19"/>
    </row>
    <row r="57" spans="1:59" x14ac:dyDescent="0.3">
      <c r="A57" s="95" t="s">
        <v>466</v>
      </c>
      <c r="B57" s="217" t="s">
        <v>467</v>
      </c>
      <c r="C57" s="218" t="s">
        <v>467</v>
      </c>
      <c r="D57" s="234">
        <v>20</v>
      </c>
      <c r="E57" s="1"/>
      <c r="F57" s="39">
        <v>0</v>
      </c>
      <c r="G57" s="39">
        <v>0</v>
      </c>
      <c r="H57" s="39">
        <v>0</v>
      </c>
      <c r="I57" s="39">
        <v>0</v>
      </c>
      <c r="J57" s="39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/>
      <c r="V57" s="39"/>
      <c r="W57" s="39"/>
      <c r="X57" s="39"/>
      <c r="Y57" s="39"/>
      <c r="Z57" s="39">
        <v>0</v>
      </c>
      <c r="AA57" s="372">
        <f t="shared" ca="1" si="1"/>
        <v>0</v>
      </c>
      <c r="AB57" s="41"/>
      <c r="AC57" s="134"/>
      <c r="AD57" s="134"/>
      <c r="AF57" s="76"/>
      <c r="AG57" s="41"/>
      <c r="AH57" s="19">
        <v>0</v>
      </c>
      <c r="AI57" s="19">
        <v>0</v>
      </c>
      <c r="AJ57" s="159"/>
      <c r="AK57" s="159"/>
      <c r="AL57" s="159"/>
      <c r="AM57" s="159"/>
      <c r="AN57" s="159"/>
      <c r="AO57" s="159"/>
      <c r="AP57" s="159"/>
      <c r="AQ57" s="159"/>
      <c r="AR57" s="159"/>
      <c r="AS57" s="159"/>
      <c r="AT57" s="159"/>
      <c r="AU57" s="159"/>
      <c r="AV57" s="159"/>
      <c r="AW57" s="159"/>
      <c r="AX57" s="159"/>
      <c r="AY57" s="159"/>
      <c r="AZ57" s="159"/>
      <c r="BA57" s="159"/>
      <c r="BB57" s="159"/>
      <c r="BC57" s="159"/>
      <c r="BD57" s="159"/>
      <c r="BE57" s="159"/>
      <c r="BF57" s="159"/>
      <c r="BG57" s="159"/>
    </row>
    <row r="58" spans="1:59" x14ac:dyDescent="0.3">
      <c r="A58" s="95" t="s">
        <v>468</v>
      </c>
      <c r="B58" s="217">
        <v>150</v>
      </c>
      <c r="C58" s="218">
        <v>400.5</v>
      </c>
      <c r="D58" s="234">
        <v>20</v>
      </c>
      <c r="E58" s="1"/>
      <c r="F58" s="39">
        <v>52</v>
      </c>
      <c r="G58" s="39">
        <v>2</v>
      </c>
      <c r="H58" s="39">
        <v>2</v>
      </c>
      <c r="I58" s="39">
        <v>0</v>
      </c>
      <c r="J58" s="39">
        <v>0</v>
      </c>
      <c r="K58" s="39">
        <f>0+AX58</f>
        <v>150</v>
      </c>
      <c r="L58" s="39">
        <v>150</v>
      </c>
      <c r="M58" s="39">
        <v>149</v>
      </c>
      <c r="N58" s="39">
        <v>149</v>
      </c>
      <c r="O58" s="39">
        <v>148</v>
      </c>
      <c r="P58" s="39">
        <v>148</v>
      </c>
      <c r="Q58" s="39">
        <v>145</v>
      </c>
      <c r="R58" s="39">
        <v>145</v>
      </c>
      <c r="S58" s="39">
        <v>145</v>
      </c>
      <c r="T58" s="39">
        <v>145</v>
      </c>
      <c r="U58" s="39"/>
      <c r="V58" s="39"/>
      <c r="W58" s="39"/>
      <c r="X58" s="39"/>
      <c r="Y58" s="39"/>
      <c r="Z58" s="39">
        <v>142</v>
      </c>
      <c r="AA58" s="372">
        <f t="shared" ca="1" si="1"/>
        <v>-142</v>
      </c>
      <c r="AB58" s="41"/>
      <c r="AC58" s="134"/>
      <c r="AD58" s="134"/>
      <c r="AF58" s="76"/>
      <c r="AG58" s="41"/>
      <c r="AH58" s="19">
        <v>0</v>
      </c>
      <c r="AI58" s="19">
        <v>0</v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>
        <v>150</v>
      </c>
      <c r="AY58" s="19"/>
      <c r="AZ58" s="19"/>
      <c r="BA58" s="19"/>
      <c r="BB58" s="19">
        <v>150</v>
      </c>
      <c r="BC58" s="19"/>
      <c r="BD58" s="19"/>
      <c r="BE58" s="19"/>
      <c r="BF58" s="19"/>
      <c r="BG58" s="19"/>
    </row>
    <row r="59" spans="1:59" x14ac:dyDescent="0.3">
      <c r="A59" s="95" t="s">
        <v>469</v>
      </c>
      <c r="B59" s="217">
        <v>100</v>
      </c>
      <c r="C59" s="218">
        <v>365</v>
      </c>
      <c r="D59" s="234">
        <v>20</v>
      </c>
      <c r="E59" s="1"/>
      <c r="F59" s="39">
        <v>4</v>
      </c>
      <c r="G59" s="39">
        <v>4</v>
      </c>
      <c r="H59" s="39">
        <v>4</v>
      </c>
      <c r="I59" s="39">
        <v>4</v>
      </c>
      <c r="J59" s="39">
        <v>4</v>
      </c>
      <c r="K59" s="39">
        <v>3</v>
      </c>
      <c r="L59" s="39">
        <v>3</v>
      </c>
      <c r="M59" s="39">
        <v>3</v>
      </c>
      <c r="N59" s="39">
        <v>3</v>
      </c>
      <c r="O59" s="39">
        <v>3</v>
      </c>
      <c r="P59" s="39">
        <v>3</v>
      </c>
      <c r="Q59" s="39">
        <v>0</v>
      </c>
      <c r="R59" s="39">
        <v>0</v>
      </c>
      <c r="S59" s="39">
        <v>0</v>
      </c>
      <c r="T59" s="39">
        <v>0</v>
      </c>
      <c r="U59" s="39"/>
      <c r="V59" s="39"/>
      <c r="W59" s="39"/>
      <c r="X59" s="39"/>
      <c r="Y59" s="39"/>
      <c r="Z59" s="39">
        <v>0</v>
      </c>
      <c r="AA59" s="372">
        <f t="shared" ca="1" si="1"/>
        <v>0</v>
      </c>
      <c r="AB59" s="41"/>
      <c r="AC59" s="134"/>
      <c r="AD59" s="134"/>
      <c r="AF59" s="76"/>
      <c r="AG59" s="41"/>
      <c r="AH59" s="19">
        <v>0</v>
      </c>
      <c r="AI59" s="19">
        <v>0</v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17"/>
      <c r="BE59" s="19"/>
      <c r="BF59" s="19"/>
      <c r="BG59" s="19"/>
    </row>
    <row r="60" spans="1:59" x14ac:dyDescent="0.3">
      <c r="A60" s="95" t="s">
        <v>470</v>
      </c>
      <c r="B60" s="217">
        <v>75</v>
      </c>
      <c r="C60" s="218">
        <v>438.75</v>
      </c>
      <c r="D60" s="234">
        <v>10</v>
      </c>
      <c r="E60" s="1"/>
      <c r="F60" s="39">
        <v>30</v>
      </c>
      <c r="G60" s="39">
        <v>30</v>
      </c>
      <c r="H60" s="39">
        <v>30</v>
      </c>
      <c r="I60" s="39">
        <v>30</v>
      </c>
      <c r="J60" s="39">
        <v>30</v>
      </c>
      <c r="K60" s="39">
        <v>30</v>
      </c>
      <c r="L60" s="39">
        <v>30</v>
      </c>
      <c r="M60" s="39">
        <v>30</v>
      </c>
      <c r="N60" s="39">
        <v>30</v>
      </c>
      <c r="O60" s="39">
        <v>30</v>
      </c>
      <c r="P60" s="39">
        <v>30</v>
      </c>
      <c r="Q60" s="39">
        <v>30</v>
      </c>
      <c r="R60" s="39">
        <v>30</v>
      </c>
      <c r="S60" s="39">
        <v>30</v>
      </c>
      <c r="T60" s="39">
        <v>30</v>
      </c>
      <c r="U60" s="39"/>
      <c r="V60" s="39"/>
      <c r="W60" s="39"/>
      <c r="X60" s="39"/>
      <c r="Y60" s="39"/>
      <c r="Z60" s="39">
        <v>30</v>
      </c>
      <c r="AA60" s="372">
        <f t="shared" ca="1" si="1"/>
        <v>-30</v>
      </c>
      <c r="AB60" s="41"/>
      <c r="AC60" s="134"/>
      <c r="AD60" s="134"/>
      <c r="AF60" s="76"/>
      <c r="AG60" s="41"/>
      <c r="AH60" s="19">
        <v>0</v>
      </c>
      <c r="AI60" s="19">
        <v>0</v>
      </c>
      <c r="AJ60" s="159"/>
      <c r="AK60" s="159"/>
      <c r="AL60" s="159"/>
      <c r="AM60" s="159"/>
      <c r="AN60" s="159"/>
      <c r="AO60" s="159"/>
      <c r="AP60" s="159"/>
      <c r="AQ60" s="159"/>
      <c r="AR60" s="159"/>
      <c r="AS60" s="159"/>
      <c r="AT60" s="159"/>
      <c r="AU60" s="159"/>
      <c r="AV60" s="159"/>
      <c r="AW60" s="159"/>
      <c r="AX60" s="159"/>
      <c r="AY60" s="159"/>
      <c r="AZ60" s="159"/>
      <c r="BA60" s="159"/>
      <c r="BB60" s="159"/>
      <c r="BC60" s="159"/>
      <c r="BD60" s="159"/>
      <c r="BE60" s="159"/>
      <c r="BF60" s="159"/>
      <c r="BG60" s="159"/>
    </row>
    <row r="61" spans="1:59" x14ac:dyDescent="0.3">
      <c r="B61" s="41"/>
      <c r="C61" s="120"/>
      <c r="D61" s="120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C61" s="75"/>
      <c r="AD61" s="75"/>
      <c r="AE61" s="1"/>
      <c r="AF61" s="15"/>
      <c r="AG61" s="41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5"/>
      <c r="AV61" s="75"/>
      <c r="AW61" s="75"/>
      <c r="AX61" s="75"/>
      <c r="AY61" s="75"/>
      <c r="AZ61" s="75"/>
      <c r="BA61" s="75"/>
      <c r="BB61" s="75"/>
      <c r="BC61" s="75"/>
      <c r="BD61" s="75"/>
      <c r="BE61" s="75"/>
      <c r="BF61" s="75"/>
      <c r="BG61" s="75"/>
    </row>
    <row r="62" spans="1:59" x14ac:dyDescent="0.3">
      <c r="A62" s="377" t="s">
        <v>471</v>
      </c>
      <c r="B62" s="403" t="s">
        <v>151</v>
      </c>
      <c r="C62" s="403" t="s">
        <v>152</v>
      </c>
      <c r="D62" s="403" t="s">
        <v>125</v>
      </c>
      <c r="E62" s="1"/>
      <c r="F62" s="13">
        <v>46013</v>
      </c>
      <c r="G62" s="13">
        <v>46020</v>
      </c>
      <c r="H62" s="13">
        <v>46027</v>
      </c>
      <c r="I62" s="13">
        <v>46034</v>
      </c>
      <c r="J62" s="13">
        <v>46041</v>
      </c>
      <c r="K62" s="13">
        <v>46048</v>
      </c>
      <c r="L62" s="13">
        <v>46055</v>
      </c>
      <c r="M62" s="13">
        <v>46062</v>
      </c>
      <c r="N62" s="13">
        <v>46069</v>
      </c>
      <c r="O62" s="13">
        <v>46076</v>
      </c>
      <c r="P62" s="13">
        <v>46083</v>
      </c>
      <c r="Q62" s="13">
        <v>46090</v>
      </c>
      <c r="R62" s="13">
        <v>46097</v>
      </c>
      <c r="S62" s="13">
        <v>46104</v>
      </c>
      <c r="T62" s="13">
        <v>46111</v>
      </c>
      <c r="U62" s="13">
        <v>46118</v>
      </c>
      <c r="V62" s="13">
        <v>46125</v>
      </c>
      <c r="W62" s="13">
        <v>46132</v>
      </c>
      <c r="X62" s="13">
        <v>46139</v>
      </c>
      <c r="Y62" s="13">
        <v>46146</v>
      </c>
      <c r="Z62" s="13">
        <v>46154</v>
      </c>
      <c r="AA62" s="35" t="s">
        <v>129</v>
      </c>
      <c r="AC62" s="29" t="s">
        <v>126</v>
      </c>
      <c r="AD62" s="29" t="s">
        <v>126</v>
      </c>
      <c r="AF62" s="9" t="s">
        <v>127</v>
      </c>
      <c r="AG62" s="41"/>
      <c r="AH62" s="17">
        <v>46149</v>
      </c>
      <c r="AI62" s="17">
        <v>46142</v>
      </c>
      <c r="AJ62" s="17">
        <v>46114</v>
      </c>
      <c r="AK62" s="17">
        <v>46107</v>
      </c>
      <c r="AL62" s="17">
        <v>46099</v>
      </c>
      <c r="AM62" s="294">
        <v>46065</v>
      </c>
      <c r="AN62" s="17">
        <v>46092</v>
      </c>
      <c r="AO62" s="17">
        <v>46084</v>
      </c>
      <c r="AP62" s="294">
        <v>46065</v>
      </c>
      <c r="AQ62" s="292">
        <v>46045</v>
      </c>
      <c r="AR62" s="17">
        <v>46077</v>
      </c>
      <c r="AS62" s="17">
        <v>46071</v>
      </c>
      <c r="AT62" s="17">
        <v>46056</v>
      </c>
      <c r="AU62" s="17">
        <v>46048</v>
      </c>
      <c r="AV62" s="17">
        <v>46029</v>
      </c>
      <c r="AW62" s="17">
        <v>46029</v>
      </c>
      <c r="AX62" s="17">
        <v>46043</v>
      </c>
      <c r="AY62" s="17">
        <v>46029</v>
      </c>
      <c r="AZ62" s="17">
        <v>46017</v>
      </c>
      <c r="BA62" s="17">
        <v>46007</v>
      </c>
      <c r="BB62" s="17">
        <v>46001</v>
      </c>
      <c r="BC62" s="17">
        <v>46001</v>
      </c>
      <c r="BD62" s="207">
        <v>46014</v>
      </c>
      <c r="BE62" s="17">
        <v>45994</v>
      </c>
      <c r="BF62" s="17">
        <v>45986</v>
      </c>
      <c r="BG62" s="17">
        <v>45986</v>
      </c>
    </row>
    <row r="63" spans="1:59" x14ac:dyDescent="0.3">
      <c r="A63" s="25" t="s">
        <v>154</v>
      </c>
      <c r="B63" s="72">
        <v>25</v>
      </c>
      <c r="C63" s="242">
        <v>49.75</v>
      </c>
      <c r="D63" s="234">
        <v>500</v>
      </c>
      <c r="E63" s="41"/>
      <c r="F63" s="39">
        <v>2675</v>
      </c>
      <c r="G63" s="39">
        <v>2550</v>
      </c>
      <c r="H63" s="39">
        <v>2475</v>
      </c>
      <c r="I63" s="39">
        <v>2400</v>
      </c>
      <c r="J63" s="39">
        <v>2050</v>
      </c>
      <c r="K63" s="39">
        <v>1625</v>
      </c>
      <c r="L63" s="39">
        <v>1600</v>
      </c>
      <c r="M63" s="39">
        <v>1525</v>
      </c>
      <c r="N63" s="39">
        <v>1325</v>
      </c>
      <c r="O63" s="39">
        <v>1250</v>
      </c>
      <c r="P63" s="39">
        <v>1100</v>
      </c>
      <c r="Q63" s="39">
        <v>925</v>
      </c>
      <c r="R63" s="39">
        <v>775</v>
      </c>
      <c r="S63" s="39">
        <v>575</v>
      </c>
      <c r="T63" s="39">
        <v>400</v>
      </c>
      <c r="U63" s="39">
        <v>1275</v>
      </c>
      <c r="V63" s="39">
        <v>1075</v>
      </c>
      <c r="W63" s="39">
        <v>900</v>
      </c>
      <c r="X63" s="39">
        <v>750</v>
      </c>
      <c r="Y63" s="39">
        <v>525</v>
      </c>
      <c r="Z63" s="39">
        <v>325</v>
      </c>
      <c r="AA63" s="372">
        <f ca="1">Y63+IF(NOT(ISBLANK(OFFSET(AA63,0,6))),N(OFFSET(AA63,0,6)),N(OFFSET(AA63,0,7)))-Z63</f>
        <v>200</v>
      </c>
      <c r="AB63" s="41"/>
      <c r="AC63" s="78"/>
      <c r="AD63" s="78"/>
      <c r="AE63" s="7"/>
      <c r="AF63" s="32"/>
      <c r="AG63" s="41"/>
      <c r="AH63" s="112">
        <v>0</v>
      </c>
      <c r="AI63" s="112">
        <v>0</v>
      </c>
      <c r="AJ63" s="112">
        <v>1000</v>
      </c>
      <c r="AK63" s="112"/>
      <c r="AL63" s="112"/>
      <c r="AM63" s="112"/>
      <c r="AN63" s="112"/>
      <c r="AO63" s="112"/>
      <c r="AP63" s="112"/>
      <c r="AQ63" s="112"/>
      <c r="AR63" s="112"/>
      <c r="AS63" s="112"/>
      <c r="AT63" s="112"/>
      <c r="AU63" s="112"/>
      <c r="AV63" s="112"/>
      <c r="AW63" s="112"/>
      <c r="AX63" s="112"/>
      <c r="AY63" s="112"/>
      <c r="AZ63" s="112"/>
      <c r="BA63" s="112">
        <v>2000</v>
      </c>
      <c r="BB63" s="112"/>
      <c r="BC63" s="112">
        <v>500</v>
      </c>
      <c r="BD63" s="112"/>
      <c r="BE63" s="112"/>
      <c r="BF63" s="112"/>
      <c r="BG63" s="112">
        <v>500</v>
      </c>
    </row>
    <row r="64" spans="1:59" x14ac:dyDescent="0.3">
      <c r="A64" s="25" t="s">
        <v>156</v>
      </c>
      <c r="B64" s="72">
        <v>25</v>
      </c>
      <c r="C64" s="242">
        <v>72</v>
      </c>
      <c r="D64" s="234">
        <v>500</v>
      </c>
      <c r="F64" s="39">
        <v>2650</v>
      </c>
      <c r="G64" s="39">
        <v>2350</v>
      </c>
      <c r="H64" s="39">
        <v>2300</v>
      </c>
      <c r="I64" s="39">
        <v>2125</v>
      </c>
      <c r="J64" s="39">
        <v>1850</v>
      </c>
      <c r="K64" s="39">
        <v>1600</v>
      </c>
      <c r="L64" s="39">
        <v>1325</v>
      </c>
      <c r="M64" s="39">
        <v>1075</v>
      </c>
      <c r="N64" s="39">
        <v>725</v>
      </c>
      <c r="O64" s="39">
        <v>525</v>
      </c>
      <c r="P64" s="39">
        <v>1250</v>
      </c>
      <c r="Q64" s="39">
        <v>1000</v>
      </c>
      <c r="R64" s="39">
        <v>725</v>
      </c>
      <c r="S64" s="39">
        <v>475</v>
      </c>
      <c r="T64" s="39">
        <v>250</v>
      </c>
      <c r="U64" s="39">
        <v>1050</v>
      </c>
      <c r="V64" s="39">
        <v>775</v>
      </c>
      <c r="W64" s="39">
        <v>450</v>
      </c>
      <c r="X64" s="39">
        <v>275</v>
      </c>
      <c r="Y64" s="39">
        <v>0</v>
      </c>
      <c r="Z64" s="39">
        <f>0+AH64</f>
        <v>500</v>
      </c>
      <c r="AA64" s="372">
        <f ca="1">Y64+IF(NOT(ISBLANK(OFFSET(AA64,0,6))),N(OFFSET(AA64,0,6)),N(OFFSET(AA64,0,7)))-Z64</f>
        <v>0</v>
      </c>
      <c r="AC64" s="78"/>
      <c r="AD64" s="78"/>
      <c r="AF64" s="32"/>
      <c r="AH64" s="112">
        <v>500</v>
      </c>
      <c r="AI64" s="112">
        <v>0</v>
      </c>
      <c r="AJ64" s="112">
        <v>1000</v>
      </c>
      <c r="AK64" s="112"/>
      <c r="AL64" s="112"/>
      <c r="AM64" s="112"/>
      <c r="AN64" s="112"/>
      <c r="AO64" s="112"/>
      <c r="AP64" s="112"/>
      <c r="AQ64" s="112"/>
      <c r="AR64" s="112">
        <v>1000</v>
      </c>
      <c r="AS64" s="112"/>
      <c r="AT64" s="112"/>
      <c r="AU64" s="112"/>
      <c r="AV64" s="112"/>
      <c r="AW64" s="112"/>
      <c r="AX64" s="112"/>
      <c r="AY64" s="112"/>
      <c r="AZ64" s="112"/>
      <c r="BA64" s="112">
        <v>1925</v>
      </c>
      <c r="BB64" s="112"/>
      <c r="BC64" s="112">
        <v>1000</v>
      </c>
      <c r="BD64" s="112"/>
      <c r="BE64" s="112"/>
      <c r="BF64" s="112"/>
      <c r="BG64" s="112"/>
    </row>
    <row r="65" spans="1:59" x14ac:dyDescent="0.3">
      <c r="A65" s="25" t="s">
        <v>472</v>
      </c>
      <c r="B65" s="72">
        <v>25</v>
      </c>
      <c r="C65" s="242">
        <v>93.75</v>
      </c>
      <c r="D65" s="234">
        <v>300</v>
      </c>
      <c r="F65" s="39">
        <v>650</v>
      </c>
      <c r="G65" s="39">
        <v>600</v>
      </c>
      <c r="H65" s="39">
        <v>550</v>
      </c>
      <c r="I65" s="39">
        <v>475</v>
      </c>
      <c r="J65" s="39">
        <v>425</v>
      </c>
      <c r="K65" s="39">
        <v>350</v>
      </c>
      <c r="L65" s="39">
        <v>300</v>
      </c>
      <c r="M65" s="39">
        <v>200</v>
      </c>
      <c r="N65" s="39">
        <v>150</v>
      </c>
      <c r="O65" s="39">
        <v>75</v>
      </c>
      <c r="P65" s="39">
        <v>25</v>
      </c>
      <c r="Q65" s="39">
        <v>250</v>
      </c>
      <c r="R65" s="39">
        <f>125+AN65</f>
        <v>425</v>
      </c>
      <c r="S65" s="39">
        <v>325</v>
      </c>
      <c r="T65" s="39">
        <v>300</v>
      </c>
      <c r="U65" s="39">
        <v>850</v>
      </c>
      <c r="V65" s="39">
        <v>775</v>
      </c>
      <c r="W65" s="39">
        <v>675</v>
      </c>
      <c r="X65" s="39">
        <v>600</v>
      </c>
      <c r="Y65" s="39">
        <v>450</v>
      </c>
      <c r="Z65" s="39">
        <f>125+AH65</f>
        <v>425</v>
      </c>
      <c r="AA65" s="372">
        <f ca="1">Y65+IF(NOT(ISBLANK(OFFSET(AA65,0,6))),N(OFFSET(AA65,0,6)),N(OFFSET(AA65,0,7)))-Z65</f>
        <v>325</v>
      </c>
      <c r="AC65" s="78"/>
      <c r="AD65" s="78"/>
      <c r="AF65" s="32"/>
      <c r="AH65" s="112">
        <v>300</v>
      </c>
      <c r="AI65" s="112">
        <v>0</v>
      </c>
      <c r="AJ65" s="112">
        <v>600</v>
      </c>
      <c r="AK65" s="112"/>
      <c r="AL65" s="112"/>
      <c r="AM65" s="112"/>
      <c r="AN65" s="112">
        <v>300</v>
      </c>
      <c r="AO65" s="112">
        <v>300</v>
      </c>
      <c r="AP65" s="112"/>
      <c r="AQ65" s="112"/>
      <c r="AR65" s="112"/>
      <c r="AS65" s="112"/>
      <c r="AT65" s="112"/>
      <c r="AU65" s="112"/>
      <c r="AV65" s="112"/>
      <c r="AW65" s="112"/>
      <c r="AX65" s="112"/>
      <c r="AY65" s="112"/>
      <c r="AZ65" s="112"/>
      <c r="BA65" s="112">
        <v>500</v>
      </c>
      <c r="BB65" s="112"/>
      <c r="BC65" s="112">
        <v>200</v>
      </c>
      <c r="BD65" s="112"/>
      <c r="BE65" s="112"/>
      <c r="BF65" s="112"/>
      <c r="BG65" s="112"/>
    </row>
    <row r="67" spans="1:59" hidden="1" x14ac:dyDescent="0.3">
      <c r="A67" s="256" t="s">
        <v>473</v>
      </c>
      <c r="B67" s="257" t="s">
        <v>151</v>
      </c>
      <c r="C67" s="257" t="s">
        <v>152</v>
      </c>
      <c r="D67" s="257"/>
      <c r="F67" s="13">
        <v>46013</v>
      </c>
      <c r="G67" s="13">
        <v>46020</v>
      </c>
      <c r="H67" s="13">
        <v>46027</v>
      </c>
      <c r="I67" s="13">
        <v>46034</v>
      </c>
      <c r="J67" s="13">
        <v>46041</v>
      </c>
      <c r="K67" s="13">
        <v>46048</v>
      </c>
      <c r="L67" s="13">
        <v>46055</v>
      </c>
      <c r="M67" s="13">
        <v>46062</v>
      </c>
      <c r="N67" s="13">
        <v>46069</v>
      </c>
      <c r="O67" s="13">
        <v>46076</v>
      </c>
      <c r="P67" s="13">
        <v>46083</v>
      </c>
      <c r="Q67" s="13">
        <v>46090</v>
      </c>
      <c r="R67" s="13">
        <v>46097</v>
      </c>
      <c r="S67" s="13"/>
      <c r="T67" s="13"/>
      <c r="U67" s="13"/>
      <c r="V67" s="13"/>
      <c r="W67" s="13"/>
      <c r="X67" s="13"/>
      <c r="Y67" s="13"/>
      <c r="Z67" s="13"/>
      <c r="AA67" s="35" t="s">
        <v>129</v>
      </c>
    </row>
    <row r="68" spans="1:59" hidden="1" x14ac:dyDescent="0.3">
      <c r="A68" s="25" t="s">
        <v>474</v>
      </c>
      <c r="B68" s="6">
        <v>100</v>
      </c>
      <c r="C68" s="66">
        <v>316</v>
      </c>
      <c r="D68" s="234"/>
      <c r="F68" s="39">
        <v>0</v>
      </c>
      <c r="G68" s="39">
        <v>0</v>
      </c>
      <c r="H68" s="39">
        <v>0</v>
      </c>
      <c r="I68" s="39">
        <v>0</v>
      </c>
      <c r="J68" s="39">
        <v>0</v>
      </c>
      <c r="K68" s="39">
        <v>0</v>
      </c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26" t="e">
        <f ca="1">Y68+IF(NOT(ISBLANK(OFFSET(AA68,0,6))),N(OFFSET(AA68,0,6)),N(OFFSET(AA68,0,7)))-#REF!</f>
        <v>#REF!</v>
      </c>
    </row>
    <row r="69" spans="1:59" hidden="1" x14ac:dyDescent="0.3">
      <c r="A69" s="25" t="s">
        <v>475</v>
      </c>
      <c r="B69" s="6">
        <v>100</v>
      </c>
      <c r="C69" s="66">
        <v>41</v>
      </c>
      <c r="D69" s="234"/>
      <c r="F69" s="39">
        <v>0</v>
      </c>
      <c r="G69" s="39">
        <v>0</v>
      </c>
      <c r="H69" s="39">
        <v>0</v>
      </c>
      <c r="I69" s="39">
        <v>0</v>
      </c>
      <c r="J69" s="39">
        <v>0</v>
      </c>
      <c r="K69" s="39">
        <v>0</v>
      </c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26" t="e">
        <f ca="1">Y69+IF(NOT(ISBLANK(OFFSET(AA69,0,6))),N(OFFSET(AA69,0,6)),N(OFFSET(AA69,0,7)))-#REF!</f>
        <v>#REF!</v>
      </c>
    </row>
    <row r="70" spans="1:59" hidden="1" x14ac:dyDescent="0.3">
      <c r="A70" s="25" t="s">
        <v>476</v>
      </c>
      <c r="B70" s="6">
        <v>150</v>
      </c>
      <c r="C70" s="66">
        <v>478.5</v>
      </c>
      <c r="D70" s="234"/>
      <c r="F70" s="39">
        <v>54</v>
      </c>
      <c r="G70" s="39">
        <v>54</v>
      </c>
      <c r="H70" s="39">
        <v>54</v>
      </c>
      <c r="I70" s="39">
        <v>54</v>
      </c>
      <c r="J70" s="39">
        <v>54</v>
      </c>
      <c r="K70" s="39">
        <v>54</v>
      </c>
      <c r="L70" s="39">
        <v>54</v>
      </c>
      <c r="M70" s="206">
        <v>0</v>
      </c>
      <c r="N70" s="39">
        <v>0</v>
      </c>
      <c r="O70" s="39">
        <v>0</v>
      </c>
      <c r="P70" s="39">
        <v>0</v>
      </c>
      <c r="Q70" s="39">
        <v>0</v>
      </c>
      <c r="R70" s="39">
        <v>0</v>
      </c>
      <c r="S70" s="39"/>
      <c r="T70" s="39"/>
      <c r="U70" s="39"/>
      <c r="V70" s="39"/>
      <c r="W70" s="39"/>
      <c r="X70" s="39"/>
      <c r="Y70" s="39"/>
      <c r="Z70" s="39"/>
      <c r="AA70" s="26">
        <v>0</v>
      </c>
    </row>
    <row r="71" spans="1:59" hidden="1" x14ac:dyDescent="0.3"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59" hidden="1" x14ac:dyDescent="0.3">
      <c r="A72" s="407" t="s">
        <v>477</v>
      </c>
      <c r="B72" s="408" t="s">
        <v>151</v>
      </c>
      <c r="C72" s="408" t="s">
        <v>152</v>
      </c>
      <c r="D72" s="408"/>
      <c r="F72" s="13">
        <v>46013</v>
      </c>
      <c r="G72" s="13">
        <v>46020</v>
      </c>
      <c r="H72" s="13">
        <v>46027</v>
      </c>
      <c r="I72" s="13">
        <v>46034</v>
      </c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35" t="s">
        <v>129</v>
      </c>
    </row>
    <row r="73" spans="1:59" hidden="1" x14ac:dyDescent="0.3">
      <c r="A73" s="25" t="s">
        <v>421</v>
      </c>
      <c r="B73" s="6">
        <v>200</v>
      </c>
      <c r="C73" s="66">
        <v>479.2</v>
      </c>
      <c r="D73" s="234"/>
      <c r="F73" s="39">
        <v>0</v>
      </c>
      <c r="G73" s="39">
        <v>0</v>
      </c>
      <c r="H73" s="39">
        <v>0</v>
      </c>
      <c r="I73" s="39">
        <v>0</v>
      </c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26">
        <v>0</v>
      </c>
    </row>
    <row r="74" spans="1:59" hidden="1" x14ac:dyDescent="0.3">
      <c r="A74" s="25" t="s">
        <v>143</v>
      </c>
      <c r="B74" s="6">
        <v>200</v>
      </c>
      <c r="C74" s="66">
        <v>45.47</v>
      </c>
      <c r="D74" s="234"/>
      <c r="F74" s="39">
        <v>0</v>
      </c>
      <c r="G74" s="39">
        <v>0</v>
      </c>
      <c r="H74" s="39">
        <v>0</v>
      </c>
      <c r="I74" s="39">
        <v>0</v>
      </c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26">
        <v>0</v>
      </c>
    </row>
    <row r="75" spans="1:59" hidden="1" x14ac:dyDescent="0.3">
      <c r="A75" s="25" t="s">
        <v>156</v>
      </c>
      <c r="B75" s="6">
        <v>100</v>
      </c>
      <c r="C75" s="66">
        <v>1490</v>
      </c>
      <c r="D75" s="234"/>
      <c r="F75" s="39">
        <v>0</v>
      </c>
      <c r="G75" s="39">
        <v>0</v>
      </c>
      <c r="H75" s="39">
        <v>0</v>
      </c>
      <c r="I75" s="39">
        <v>0</v>
      </c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26">
        <v>0</v>
      </c>
    </row>
    <row r="76" spans="1:59" hidden="1" x14ac:dyDescent="0.3"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59" x14ac:dyDescent="0.3">
      <c r="A77" s="270" t="s">
        <v>478</v>
      </c>
      <c r="B77" s="271" t="s">
        <v>151</v>
      </c>
      <c r="C77" s="271" t="s">
        <v>152</v>
      </c>
      <c r="D77" s="271"/>
      <c r="F77" s="13">
        <v>46013</v>
      </c>
      <c r="G77" s="13">
        <v>46020</v>
      </c>
      <c r="H77" s="13">
        <v>46027</v>
      </c>
      <c r="I77" s="13">
        <v>46034</v>
      </c>
      <c r="J77" s="13">
        <v>46041</v>
      </c>
      <c r="K77" s="13">
        <v>46048</v>
      </c>
      <c r="L77" s="13">
        <v>46055</v>
      </c>
      <c r="M77" s="13">
        <v>46062</v>
      </c>
      <c r="N77" s="13">
        <v>46069</v>
      </c>
      <c r="O77" s="13">
        <v>46076</v>
      </c>
      <c r="P77" s="13">
        <v>46083</v>
      </c>
      <c r="Q77" s="13">
        <v>46090</v>
      </c>
      <c r="R77" s="13">
        <v>46097</v>
      </c>
      <c r="S77" s="13">
        <v>46104</v>
      </c>
      <c r="T77" s="13">
        <v>46111</v>
      </c>
      <c r="U77" s="13">
        <v>46118</v>
      </c>
      <c r="V77" s="13">
        <v>46125</v>
      </c>
      <c r="W77" s="13">
        <v>46132</v>
      </c>
      <c r="X77" s="13">
        <v>46139</v>
      </c>
      <c r="Y77" s="13">
        <v>46146</v>
      </c>
      <c r="Z77" s="13">
        <v>46154</v>
      </c>
      <c r="AA77" s="35" t="s">
        <v>129</v>
      </c>
    </row>
    <row r="78" spans="1:59" hidden="1" x14ac:dyDescent="0.3">
      <c r="A78" s="25" t="s">
        <v>138</v>
      </c>
      <c r="B78" s="6">
        <v>200</v>
      </c>
      <c r="C78" s="66">
        <v>336</v>
      </c>
      <c r="D78" s="234"/>
      <c r="F78" s="39">
        <v>0</v>
      </c>
      <c r="G78" s="39">
        <v>0</v>
      </c>
      <c r="H78" s="39">
        <v>0</v>
      </c>
      <c r="I78" s="39">
        <v>0</v>
      </c>
      <c r="J78" s="39">
        <v>0</v>
      </c>
      <c r="K78" s="39">
        <v>0</v>
      </c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26" t="e">
        <f ca="1">Y78+IF(NOT(ISBLANK(OFFSET(AA78,0,6))),N(OFFSET(AA78,0,6)),N(OFFSET(AA78,0,7)))-#REF!</f>
        <v>#REF!</v>
      </c>
    </row>
    <row r="79" spans="1:59" hidden="1" x14ac:dyDescent="0.3">
      <c r="A79" s="25" t="s">
        <v>143</v>
      </c>
      <c r="B79" s="6">
        <v>200</v>
      </c>
      <c r="C79" s="66">
        <v>54</v>
      </c>
      <c r="D79" s="234"/>
      <c r="F79" s="39">
        <v>0</v>
      </c>
      <c r="G79" s="39">
        <v>1</v>
      </c>
      <c r="H79" s="39">
        <v>1</v>
      </c>
      <c r="I79" s="39">
        <v>0</v>
      </c>
      <c r="J79" s="39">
        <v>0</v>
      </c>
      <c r="K79" s="39">
        <v>0</v>
      </c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26" t="e">
        <f ca="1">Y79+IF(NOT(ISBLANK(OFFSET(AA79,0,6))),N(OFFSET(AA79,0,6)),N(OFFSET(AA79,0,7)))-#REF!</f>
        <v>#REF!</v>
      </c>
    </row>
    <row r="80" spans="1:59" x14ac:dyDescent="0.3">
      <c r="A80" s="25" t="s">
        <v>479</v>
      </c>
      <c r="B80" s="6">
        <v>200</v>
      </c>
      <c r="C80" s="66">
        <v>40</v>
      </c>
      <c r="D80" s="234"/>
      <c r="F80" s="39">
        <v>0</v>
      </c>
      <c r="G80" s="39">
        <v>0</v>
      </c>
      <c r="H80" s="39">
        <v>0</v>
      </c>
      <c r="I80" s="39">
        <v>3</v>
      </c>
      <c r="J80" s="39">
        <v>3</v>
      </c>
      <c r="K80" s="39">
        <v>3</v>
      </c>
      <c r="L80" s="39">
        <v>3</v>
      </c>
      <c r="M80" s="39">
        <v>1</v>
      </c>
      <c r="N80" s="39">
        <v>1</v>
      </c>
      <c r="O80" s="39">
        <v>1</v>
      </c>
      <c r="P80" s="39">
        <v>0</v>
      </c>
      <c r="Q80" s="39">
        <v>0</v>
      </c>
      <c r="R80" s="39">
        <v>0</v>
      </c>
      <c r="S80" s="39">
        <v>0</v>
      </c>
      <c r="T80" s="39">
        <v>0</v>
      </c>
      <c r="U80" s="39"/>
      <c r="V80" s="39"/>
      <c r="W80" s="39"/>
      <c r="X80" s="39"/>
      <c r="Y80" s="39"/>
      <c r="Z80" s="39">
        <v>0</v>
      </c>
      <c r="AA80" s="372">
        <f ca="1">Y80+IF(NOT(ISBLANK(OFFSET(AA80,0,6))),N(OFFSET(AA80,0,6)),N(OFFSET(AA80,0,7)))-Z80</f>
        <v>0</v>
      </c>
    </row>
    <row r="81" spans="1:27" x14ac:dyDescent="0.3">
      <c r="A81" s="153" t="s">
        <v>156</v>
      </c>
      <c r="B81" s="72">
        <v>100</v>
      </c>
      <c r="C81" s="77">
        <v>904</v>
      </c>
      <c r="D81" s="72"/>
      <c r="F81" s="39">
        <v>44</v>
      </c>
      <c r="G81" s="39">
        <v>44</v>
      </c>
      <c r="H81" s="39">
        <v>44</v>
      </c>
      <c r="I81" s="39">
        <v>44</v>
      </c>
      <c r="J81" s="39">
        <v>44</v>
      </c>
      <c r="K81" s="39">
        <v>44</v>
      </c>
      <c r="L81" s="39">
        <v>44</v>
      </c>
      <c r="M81" s="39">
        <v>44</v>
      </c>
      <c r="N81" s="39">
        <v>42</v>
      </c>
      <c r="O81" s="39">
        <v>42</v>
      </c>
      <c r="P81" s="39">
        <v>42</v>
      </c>
      <c r="Q81" s="39">
        <v>40</v>
      </c>
      <c r="R81" s="39">
        <v>40</v>
      </c>
      <c r="S81" s="39">
        <v>40</v>
      </c>
      <c r="T81" s="39">
        <v>40</v>
      </c>
      <c r="U81" s="39"/>
      <c r="V81" s="39"/>
      <c r="W81" s="39"/>
      <c r="X81" s="39"/>
      <c r="Y81" s="39"/>
      <c r="Z81" s="39">
        <v>39</v>
      </c>
      <c r="AA81" s="372">
        <f ca="1">Y81+IF(NOT(ISBLANK(OFFSET(AA81,0,6))),N(OFFSET(AA81,0,6)),N(OFFSET(AA81,0,7)))-Z81</f>
        <v>-39</v>
      </c>
    </row>
    <row r="82" spans="1:27" x14ac:dyDescent="0.3">
      <c r="A82" s="153" t="s">
        <v>158</v>
      </c>
      <c r="B82" s="72">
        <v>200</v>
      </c>
      <c r="C82" s="77">
        <v>464</v>
      </c>
      <c r="D82" s="72"/>
      <c r="F82" s="39">
        <v>88</v>
      </c>
      <c r="G82" s="39">
        <v>88</v>
      </c>
      <c r="H82" s="39">
        <v>88</v>
      </c>
      <c r="I82" s="39">
        <v>86</v>
      </c>
      <c r="J82" s="39">
        <v>84</v>
      </c>
      <c r="K82" s="39">
        <v>84</v>
      </c>
      <c r="L82" s="39">
        <v>84</v>
      </c>
      <c r="M82" s="39">
        <v>84</v>
      </c>
      <c r="N82" s="39">
        <v>83</v>
      </c>
      <c r="O82" s="39">
        <v>82</v>
      </c>
      <c r="P82" s="39">
        <v>80</v>
      </c>
      <c r="Q82" s="39">
        <v>80</v>
      </c>
      <c r="R82" s="39">
        <v>80</v>
      </c>
      <c r="S82" s="39">
        <v>80</v>
      </c>
      <c r="T82" s="39">
        <v>80</v>
      </c>
      <c r="U82" s="39"/>
      <c r="V82" s="39"/>
      <c r="W82" s="39"/>
      <c r="X82" s="39"/>
      <c r="Y82" s="39"/>
      <c r="Z82" s="39">
        <v>75</v>
      </c>
      <c r="AA82" s="372">
        <f ca="1">Y82+IF(NOT(ISBLANK(OFFSET(AA82,0,6))),N(OFFSET(AA82,0,6)),N(OFFSET(AA82,0,7)))-Z82</f>
        <v>-75</v>
      </c>
    </row>
    <row r="83" spans="1:27" x14ac:dyDescent="0.3"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7" x14ac:dyDescent="0.3">
      <c r="A84" s="272" t="s">
        <v>480</v>
      </c>
      <c r="B84" s="248" t="s">
        <v>151</v>
      </c>
      <c r="C84" s="248" t="s">
        <v>152</v>
      </c>
      <c r="D84" s="248"/>
      <c r="F84" s="13">
        <v>46013</v>
      </c>
      <c r="G84" s="13">
        <v>46020</v>
      </c>
      <c r="H84" s="13">
        <v>46027</v>
      </c>
      <c r="I84" s="13">
        <v>46034</v>
      </c>
      <c r="J84" s="13">
        <v>46041</v>
      </c>
      <c r="K84" s="13">
        <v>46048</v>
      </c>
      <c r="L84" s="13">
        <v>46055</v>
      </c>
      <c r="M84" s="13">
        <v>46062</v>
      </c>
      <c r="N84" s="13">
        <v>46069</v>
      </c>
      <c r="O84" s="13">
        <v>46076</v>
      </c>
      <c r="P84" s="13">
        <v>46083</v>
      </c>
      <c r="Q84" s="13">
        <v>46090</v>
      </c>
      <c r="R84" s="13">
        <v>46097</v>
      </c>
      <c r="S84" s="13">
        <v>46104</v>
      </c>
      <c r="T84" s="13">
        <v>46111</v>
      </c>
      <c r="U84" s="13">
        <v>46118</v>
      </c>
      <c r="V84" s="13">
        <v>46125</v>
      </c>
      <c r="W84" s="13">
        <v>46132</v>
      </c>
      <c r="X84" s="13">
        <v>46139</v>
      </c>
      <c r="Y84" s="13">
        <v>46146</v>
      </c>
      <c r="Z84" s="13">
        <v>46154</v>
      </c>
      <c r="AA84" s="35" t="s">
        <v>129</v>
      </c>
    </row>
    <row r="85" spans="1:27" hidden="1" x14ac:dyDescent="0.3">
      <c r="A85" s="25" t="s">
        <v>419</v>
      </c>
      <c r="B85" s="6">
        <v>200</v>
      </c>
      <c r="C85" s="66">
        <v>274.2</v>
      </c>
      <c r="D85" s="234"/>
      <c r="F85" s="39">
        <v>59</v>
      </c>
      <c r="G85" s="39">
        <v>59</v>
      </c>
      <c r="H85" s="39">
        <v>58</v>
      </c>
      <c r="I85" s="39">
        <v>47</v>
      </c>
      <c r="J85" s="39">
        <v>47</v>
      </c>
      <c r="K85" s="39">
        <v>46</v>
      </c>
      <c r="L85" s="39">
        <v>46</v>
      </c>
      <c r="M85" s="39">
        <v>26</v>
      </c>
      <c r="N85" s="39">
        <v>0</v>
      </c>
      <c r="O85" s="39">
        <v>0</v>
      </c>
      <c r="P85" s="39">
        <v>0</v>
      </c>
      <c r="Q85" s="39">
        <v>0</v>
      </c>
      <c r="R85" s="39">
        <v>0</v>
      </c>
      <c r="S85" s="39"/>
      <c r="T85" s="39"/>
      <c r="U85" s="39"/>
      <c r="V85" s="39"/>
      <c r="W85" s="39"/>
      <c r="X85" s="39"/>
      <c r="Y85" s="39"/>
      <c r="Z85" s="39"/>
      <c r="AA85" s="26" t="e">
        <f ca="1">Y85+IF(NOT(ISBLANK(OFFSET(AA85,0,6))),N(OFFSET(AA85,0,6)),N(OFFSET(AA85,0,7)))-#REF!</f>
        <v>#REF!</v>
      </c>
    </row>
    <row r="86" spans="1:27" hidden="1" x14ac:dyDescent="0.3">
      <c r="A86" s="25" t="s">
        <v>421</v>
      </c>
      <c r="B86" s="6">
        <v>200</v>
      </c>
      <c r="C86" s="66">
        <v>347.8</v>
      </c>
      <c r="D86" s="234"/>
      <c r="F86" s="39">
        <v>160</v>
      </c>
      <c r="G86" s="39">
        <v>160</v>
      </c>
      <c r="H86" s="39">
        <v>160</v>
      </c>
      <c r="I86" s="39">
        <v>131</v>
      </c>
      <c r="J86" s="39">
        <v>0</v>
      </c>
      <c r="K86" s="39">
        <v>0</v>
      </c>
      <c r="L86" s="39">
        <v>0</v>
      </c>
      <c r="M86" s="39">
        <v>0</v>
      </c>
      <c r="N86" s="39">
        <v>0</v>
      </c>
      <c r="O86" s="39">
        <v>0</v>
      </c>
      <c r="P86" s="39">
        <v>0</v>
      </c>
      <c r="Q86" s="39">
        <v>0</v>
      </c>
      <c r="R86" s="39">
        <v>0</v>
      </c>
      <c r="S86" s="39"/>
      <c r="T86" s="39"/>
      <c r="U86" s="39"/>
      <c r="V86" s="39"/>
      <c r="W86" s="39"/>
      <c r="X86" s="39"/>
      <c r="Y86" s="39"/>
      <c r="Z86" s="39"/>
      <c r="AA86" s="26" t="e">
        <f ca="1">Y86+IF(NOT(ISBLANK(OFFSET(AA86,0,6))),N(OFFSET(AA86,0,6)),N(OFFSET(AA86,0,7)))-#REF!</f>
        <v>#REF!</v>
      </c>
    </row>
    <row r="87" spans="1:27" hidden="1" x14ac:dyDescent="0.3">
      <c r="A87" s="25" t="s">
        <v>422</v>
      </c>
      <c r="B87" s="6">
        <v>100</v>
      </c>
      <c r="C87" s="66">
        <v>267</v>
      </c>
      <c r="D87" s="234"/>
      <c r="F87" s="39">
        <v>37</v>
      </c>
      <c r="G87" s="39">
        <v>37</v>
      </c>
      <c r="H87" s="39">
        <v>37</v>
      </c>
      <c r="I87" s="39">
        <v>16</v>
      </c>
      <c r="J87" s="39">
        <v>0</v>
      </c>
      <c r="K87" s="39">
        <v>0</v>
      </c>
      <c r="L87" s="39">
        <v>0</v>
      </c>
      <c r="M87" s="39">
        <v>0</v>
      </c>
      <c r="N87" s="39">
        <v>0</v>
      </c>
      <c r="O87" s="39">
        <v>0</v>
      </c>
      <c r="P87" s="39">
        <v>0</v>
      </c>
      <c r="Q87" s="39">
        <v>0</v>
      </c>
      <c r="R87" s="39">
        <v>0</v>
      </c>
      <c r="S87" s="39"/>
      <c r="T87" s="39"/>
      <c r="U87" s="39"/>
      <c r="V87" s="39"/>
      <c r="W87" s="39"/>
      <c r="X87" s="39"/>
      <c r="Y87" s="39"/>
      <c r="Z87" s="39"/>
      <c r="AA87" s="26" t="e">
        <f ca="1">Y87+IF(NOT(ISBLANK(OFFSET(AA87,0,6))),N(OFFSET(AA87,0,6)),N(OFFSET(AA87,0,7)))-#REF!</f>
        <v>#REF!</v>
      </c>
    </row>
    <row r="88" spans="1:27" hidden="1" x14ac:dyDescent="0.3">
      <c r="A88" s="153" t="s">
        <v>481</v>
      </c>
      <c r="B88" s="72">
        <v>200</v>
      </c>
      <c r="C88" s="77">
        <v>44.4</v>
      </c>
      <c r="D88" s="72"/>
      <c r="F88" s="39">
        <v>0</v>
      </c>
      <c r="G88" s="39">
        <v>0</v>
      </c>
      <c r="H88" s="39">
        <v>0</v>
      </c>
      <c r="I88" s="39">
        <v>0</v>
      </c>
      <c r="J88" s="39">
        <v>0</v>
      </c>
      <c r="K88" s="39">
        <v>0</v>
      </c>
      <c r="L88" s="39">
        <v>0</v>
      </c>
      <c r="M88" s="39">
        <v>0</v>
      </c>
      <c r="N88" s="39">
        <v>0</v>
      </c>
      <c r="O88" s="39">
        <v>0</v>
      </c>
      <c r="P88" s="39">
        <v>0</v>
      </c>
      <c r="Q88" s="39">
        <v>0</v>
      </c>
      <c r="R88" s="39">
        <v>0</v>
      </c>
      <c r="S88" s="39"/>
      <c r="T88" s="39"/>
      <c r="U88" s="39"/>
      <c r="V88" s="39"/>
      <c r="W88" s="39"/>
      <c r="X88" s="39"/>
      <c r="Y88" s="39"/>
      <c r="Z88" s="39"/>
      <c r="AA88" s="26" t="e">
        <f ca="1">Y88+IF(NOT(ISBLANK(OFFSET(AA88,0,6))),N(OFFSET(AA88,0,6)),N(OFFSET(AA88,0,7)))-#REF!</f>
        <v>#REF!</v>
      </c>
    </row>
    <row r="89" spans="1:27" x14ac:dyDescent="0.3">
      <c r="A89" s="153" t="s">
        <v>154</v>
      </c>
      <c r="B89" s="72">
        <v>150</v>
      </c>
      <c r="C89" s="77">
        <v>805.35</v>
      </c>
      <c r="D89" s="72"/>
      <c r="F89" s="39">
        <v>60</v>
      </c>
      <c r="G89" s="39">
        <v>60</v>
      </c>
      <c r="H89" s="39">
        <v>60</v>
      </c>
      <c r="I89" s="39">
        <v>59</v>
      </c>
      <c r="J89" s="39">
        <v>59</v>
      </c>
      <c r="K89" s="39">
        <v>59</v>
      </c>
      <c r="L89" s="39">
        <v>59</v>
      </c>
      <c r="M89" s="39">
        <v>59</v>
      </c>
      <c r="N89" s="39">
        <v>59</v>
      </c>
      <c r="O89" s="39">
        <v>59</v>
      </c>
      <c r="P89" s="39">
        <v>59</v>
      </c>
      <c r="Q89" s="39">
        <v>59</v>
      </c>
      <c r="R89" s="39">
        <v>55</v>
      </c>
      <c r="S89" s="39">
        <v>53</v>
      </c>
      <c r="T89" s="39">
        <v>53</v>
      </c>
      <c r="U89" s="39"/>
      <c r="V89" s="39"/>
      <c r="W89" s="39"/>
      <c r="X89" s="39"/>
      <c r="Y89" s="39"/>
      <c r="Z89" s="39">
        <v>49</v>
      </c>
      <c r="AA89" s="372">
        <f ca="1">Y89+IF(NOT(ISBLANK(OFFSET(AA89,0,6))),N(OFFSET(AA89,0,6)),N(OFFSET(AA89,0,7)))-Z89</f>
        <v>-49</v>
      </c>
    </row>
    <row r="90" spans="1:27" x14ac:dyDescent="0.3">
      <c r="A90" s="153" t="s">
        <v>156</v>
      </c>
      <c r="B90" s="72">
        <v>100</v>
      </c>
      <c r="C90" s="77">
        <v>792.2</v>
      </c>
      <c r="D90" s="72"/>
      <c r="F90" s="39">
        <v>1</v>
      </c>
      <c r="G90" s="39">
        <v>1</v>
      </c>
      <c r="H90" s="39">
        <v>1</v>
      </c>
      <c r="I90" s="39">
        <v>1</v>
      </c>
      <c r="J90" s="39">
        <v>1</v>
      </c>
      <c r="K90" s="39">
        <v>0</v>
      </c>
      <c r="L90" s="39">
        <v>0</v>
      </c>
      <c r="M90" s="39">
        <v>0</v>
      </c>
      <c r="N90" s="39">
        <v>0</v>
      </c>
      <c r="O90" s="39">
        <v>0</v>
      </c>
      <c r="P90" s="39">
        <v>0</v>
      </c>
      <c r="Q90" s="39">
        <v>0</v>
      </c>
      <c r="R90" s="39">
        <v>0</v>
      </c>
      <c r="S90" s="39">
        <v>0</v>
      </c>
      <c r="T90" s="39">
        <v>0</v>
      </c>
      <c r="U90" s="39"/>
      <c r="V90" s="39"/>
      <c r="W90" s="39"/>
      <c r="X90" s="39"/>
      <c r="Y90" s="39"/>
      <c r="Z90" s="39">
        <v>0</v>
      </c>
      <c r="AA90" s="372">
        <f ca="1">Y90+IF(NOT(ISBLANK(OFFSET(AA90,0,6))),N(OFFSET(AA90,0,6)),N(OFFSET(AA90,0,7)))-Z90</f>
        <v>0</v>
      </c>
    </row>
    <row r="91" spans="1:27" x14ac:dyDescent="0.3">
      <c r="A91" s="153" t="s">
        <v>158</v>
      </c>
      <c r="B91" s="72">
        <v>200</v>
      </c>
      <c r="C91" s="77">
        <v>487.2</v>
      </c>
      <c r="D91" s="72"/>
      <c r="F91" s="39">
        <v>6</v>
      </c>
      <c r="G91" s="39">
        <v>6</v>
      </c>
      <c r="H91" s="39">
        <v>6</v>
      </c>
      <c r="I91" s="39">
        <v>6</v>
      </c>
      <c r="J91" s="39">
        <v>6</v>
      </c>
      <c r="K91" s="39">
        <v>6</v>
      </c>
      <c r="L91" s="39">
        <v>6</v>
      </c>
      <c r="M91" s="39">
        <v>6</v>
      </c>
      <c r="N91" s="39">
        <v>6</v>
      </c>
      <c r="O91" s="39">
        <v>6</v>
      </c>
      <c r="P91" s="39">
        <v>6</v>
      </c>
      <c r="Q91" s="39">
        <v>6</v>
      </c>
      <c r="R91" s="39">
        <v>6</v>
      </c>
      <c r="S91" s="39">
        <v>6</v>
      </c>
      <c r="T91" s="39">
        <v>6</v>
      </c>
      <c r="U91" s="39"/>
      <c r="V91" s="39"/>
      <c r="W91" s="39"/>
      <c r="X91" s="39"/>
      <c r="Y91" s="39"/>
      <c r="Z91" s="39">
        <v>6</v>
      </c>
      <c r="AA91" s="372">
        <f ca="1">Y91+IF(NOT(ISBLANK(OFFSET(AA91,0,6))),N(OFFSET(AA91,0,6)),N(OFFSET(AA91,0,7)))-Z91</f>
        <v>-6</v>
      </c>
    </row>
    <row r="92" spans="1:27" x14ac:dyDescent="0.3">
      <c r="A92" s="153" t="s">
        <v>160</v>
      </c>
      <c r="B92" s="72">
        <v>150</v>
      </c>
      <c r="C92" s="77">
        <v>460.35</v>
      </c>
      <c r="D92" s="72"/>
      <c r="F92" s="39">
        <v>11</v>
      </c>
      <c r="G92" s="39">
        <v>11</v>
      </c>
      <c r="H92" s="39">
        <v>11</v>
      </c>
      <c r="I92" s="39">
        <v>11</v>
      </c>
      <c r="J92" s="39">
        <v>11</v>
      </c>
      <c r="K92" s="39">
        <v>11</v>
      </c>
      <c r="L92" s="39">
        <v>11</v>
      </c>
      <c r="M92" s="39">
        <v>11</v>
      </c>
      <c r="N92" s="39">
        <v>11</v>
      </c>
      <c r="O92" s="39">
        <v>11</v>
      </c>
      <c r="P92" s="39">
        <v>11</v>
      </c>
      <c r="Q92" s="39">
        <v>11</v>
      </c>
      <c r="R92" s="39">
        <v>11</v>
      </c>
      <c r="S92" s="39">
        <v>11</v>
      </c>
      <c r="T92" s="39">
        <v>11</v>
      </c>
      <c r="U92" s="39"/>
      <c r="V92" s="39"/>
      <c r="W92" s="39"/>
      <c r="X92" s="39"/>
      <c r="Y92" s="39"/>
      <c r="Z92" s="39">
        <v>11</v>
      </c>
      <c r="AA92" s="372">
        <f ca="1">Y92+IF(NOT(ISBLANK(OFFSET(AA92,0,6))),N(OFFSET(AA92,0,6)),N(OFFSET(AA92,0,7)))-Z92</f>
        <v>-11</v>
      </c>
    </row>
    <row r="93" spans="1:27" x14ac:dyDescent="0.3"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7" x14ac:dyDescent="0.3">
      <c r="A94" s="407" t="s">
        <v>482</v>
      </c>
      <c r="B94" s="408" t="s">
        <v>151</v>
      </c>
      <c r="C94" s="408" t="s">
        <v>152</v>
      </c>
      <c r="D94" s="408"/>
      <c r="F94" s="2"/>
      <c r="G94" s="2"/>
      <c r="H94" s="2"/>
      <c r="I94" s="2"/>
      <c r="J94" s="13">
        <v>46041</v>
      </c>
      <c r="K94" s="13">
        <v>46048</v>
      </c>
      <c r="L94" s="13">
        <v>46055</v>
      </c>
      <c r="M94" s="13">
        <v>46062</v>
      </c>
      <c r="N94" s="13">
        <v>46069</v>
      </c>
      <c r="O94" s="13">
        <v>46076</v>
      </c>
      <c r="P94" s="13">
        <v>46083</v>
      </c>
      <c r="Q94" s="13">
        <v>46090</v>
      </c>
      <c r="R94" s="13">
        <v>46097</v>
      </c>
      <c r="S94" s="13">
        <v>46104</v>
      </c>
      <c r="T94" s="13">
        <v>46111</v>
      </c>
      <c r="U94" s="13">
        <v>46118</v>
      </c>
      <c r="V94" s="13">
        <v>46125</v>
      </c>
      <c r="W94" s="13">
        <v>46132</v>
      </c>
      <c r="X94" s="13">
        <v>46139</v>
      </c>
      <c r="Y94" s="13">
        <v>46146</v>
      </c>
      <c r="Z94" s="13">
        <v>46154</v>
      </c>
      <c r="AA94" s="35" t="s">
        <v>129</v>
      </c>
    </row>
    <row r="95" spans="1:27" x14ac:dyDescent="0.3">
      <c r="A95" s="25" t="s">
        <v>483</v>
      </c>
      <c r="B95" s="6">
        <v>1</v>
      </c>
      <c r="C95" s="66">
        <v>25.9</v>
      </c>
      <c r="D95" s="234"/>
      <c r="F95" s="2"/>
      <c r="G95" s="2"/>
      <c r="H95" s="2"/>
      <c r="I95" s="2"/>
      <c r="J95" s="39">
        <v>14</v>
      </c>
      <c r="K95" s="39">
        <v>14</v>
      </c>
      <c r="L95" s="39">
        <v>12</v>
      </c>
      <c r="M95" s="39">
        <v>12</v>
      </c>
      <c r="N95" s="39">
        <v>12</v>
      </c>
      <c r="O95" s="39">
        <v>10</v>
      </c>
      <c r="P95" s="39">
        <v>9</v>
      </c>
      <c r="Q95" s="39"/>
      <c r="R95" s="39"/>
      <c r="S95" s="39"/>
      <c r="T95" s="39"/>
      <c r="U95" s="39"/>
      <c r="V95" s="39"/>
      <c r="W95" s="39">
        <v>8</v>
      </c>
      <c r="X95" s="39">
        <v>8</v>
      </c>
      <c r="Y95" s="39">
        <v>8</v>
      </c>
      <c r="Z95" s="39">
        <v>7</v>
      </c>
      <c r="AA95" s="372">
        <f ca="1">Y95+IF(NOT(ISBLANK(OFFSET(AA95,0,6))),N(OFFSET(AA95,0,6)),N(OFFSET(AA95,0,7)))-Z95</f>
        <v>1</v>
      </c>
    </row>
    <row r="96" spans="1:27" x14ac:dyDescent="0.3">
      <c r="A96" s="25" t="s">
        <v>484</v>
      </c>
      <c r="B96" s="6">
        <v>1</v>
      </c>
      <c r="C96" s="66">
        <v>7.9</v>
      </c>
      <c r="D96" s="234"/>
      <c r="F96" s="2"/>
      <c r="G96" s="2"/>
      <c r="H96" s="2"/>
      <c r="I96" s="2"/>
      <c r="J96" s="39">
        <v>21</v>
      </c>
      <c r="K96" s="39">
        <v>21</v>
      </c>
      <c r="L96" s="39">
        <v>20</v>
      </c>
      <c r="M96" s="39">
        <v>20</v>
      </c>
      <c r="N96" s="39">
        <v>20</v>
      </c>
      <c r="O96" s="39">
        <v>19</v>
      </c>
      <c r="P96" s="39">
        <v>19</v>
      </c>
      <c r="Q96" s="39"/>
      <c r="R96" s="39"/>
      <c r="S96" s="39"/>
      <c r="T96" s="39"/>
      <c r="U96" s="39"/>
      <c r="V96" s="39"/>
      <c r="W96" s="39">
        <v>19</v>
      </c>
      <c r="X96" s="39">
        <v>18</v>
      </c>
      <c r="Y96" s="39">
        <v>18</v>
      </c>
      <c r="Z96" s="39">
        <v>18</v>
      </c>
      <c r="AA96" s="372">
        <f ca="1">Y96+IF(NOT(ISBLANK(OFFSET(AA96,0,6))),N(OFFSET(AA96,0,6)),N(OFFSET(AA96,0,7)))-Z96</f>
        <v>0</v>
      </c>
    </row>
    <row r="97" spans="1:27" ht="19.5" customHeight="1" thickBot="1" x14ac:dyDescent="0.35"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7" ht="24" customHeight="1" thickBot="1" x14ac:dyDescent="0.4">
      <c r="A98" s="499">
        <v>2026</v>
      </c>
      <c r="B98" s="497"/>
      <c r="C98" s="497"/>
      <c r="D98" s="497"/>
      <c r="E98" s="497"/>
      <c r="F98" s="497"/>
      <c r="G98" s="497"/>
      <c r="H98" s="497"/>
      <c r="I98" s="497"/>
      <c r="J98" s="497"/>
      <c r="K98" s="497"/>
      <c r="L98" s="497"/>
      <c r="M98" s="497"/>
      <c r="N98" s="497"/>
      <c r="O98" s="497"/>
      <c r="P98" s="497"/>
      <c r="Q98" s="497"/>
      <c r="R98" s="497"/>
      <c r="S98" s="497"/>
      <c r="T98" s="497"/>
      <c r="U98" s="497"/>
      <c r="V98" s="497"/>
      <c r="W98" s="497"/>
      <c r="X98" s="497"/>
      <c r="Y98" s="497"/>
      <c r="Z98" s="497"/>
      <c r="AA98" s="500"/>
    </row>
    <row r="99" spans="1:27" ht="23.25" customHeight="1" x14ac:dyDescent="0.35">
      <c r="A99" s="291"/>
      <c r="B99" s="291"/>
      <c r="C99" s="291"/>
      <c r="D99" s="291"/>
      <c r="E99" s="291"/>
      <c r="F99" s="291"/>
      <c r="G99" s="291"/>
      <c r="H99" s="291"/>
      <c r="I99" s="291"/>
      <c r="J99" s="291"/>
      <c r="K99" s="291"/>
      <c r="L99" s="291"/>
      <c r="M99" s="291"/>
      <c r="N99" s="291"/>
      <c r="O99" s="291"/>
      <c r="P99" s="291"/>
      <c r="Q99" s="291"/>
      <c r="R99" s="291"/>
      <c r="S99" s="291"/>
      <c r="T99" s="291"/>
      <c r="U99" s="291"/>
      <c r="V99" s="291"/>
      <c r="W99" s="291"/>
      <c r="X99" s="291"/>
      <c r="Y99" s="291"/>
      <c r="Z99" s="291"/>
      <c r="AA99" s="291"/>
    </row>
    <row r="100" spans="1:27" x14ac:dyDescent="0.3">
      <c r="A100" s="270" t="s">
        <v>485</v>
      </c>
      <c r="B100" s="271" t="s">
        <v>151</v>
      </c>
      <c r="C100" s="271" t="s">
        <v>152</v>
      </c>
      <c r="D100" s="271"/>
      <c r="F100" s="391">
        <v>46013</v>
      </c>
      <c r="G100" s="391">
        <v>46020</v>
      </c>
      <c r="H100" s="391">
        <v>46027</v>
      </c>
      <c r="I100" s="391">
        <v>46034</v>
      </c>
      <c r="J100" s="391">
        <v>46041</v>
      </c>
      <c r="K100" s="391">
        <v>46048</v>
      </c>
      <c r="L100" s="391">
        <v>46055</v>
      </c>
      <c r="M100" s="13">
        <v>46062</v>
      </c>
      <c r="N100" s="13">
        <v>46069</v>
      </c>
      <c r="O100" s="13">
        <v>46076</v>
      </c>
      <c r="P100" s="13">
        <v>46083</v>
      </c>
      <c r="Q100" s="13">
        <v>46090</v>
      </c>
      <c r="R100" s="13">
        <v>46097</v>
      </c>
      <c r="S100" s="13">
        <v>46104</v>
      </c>
      <c r="T100" s="13">
        <v>46111</v>
      </c>
      <c r="U100" s="13">
        <v>46118</v>
      </c>
      <c r="V100" s="13">
        <v>46125</v>
      </c>
      <c r="W100" s="13">
        <v>46132</v>
      </c>
      <c r="X100" s="13">
        <v>46139</v>
      </c>
      <c r="Y100" s="13">
        <v>46146</v>
      </c>
      <c r="Z100" s="13">
        <v>46154</v>
      </c>
      <c r="AA100" s="35" t="s">
        <v>129</v>
      </c>
    </row>
    <row r="101" spans="1:27" x14ac:dyDescent="0.3">
      <c r="A101" s="25" t="s">
        <v>138</v>
      </c>
      <c r="B101" s="6">
        <v>150</v>
      </c>
      <c r="C101" s="66"/>
      <c r="D101" s="234"/>
      <c r="F101" s="39">
        <v>0</v>
      </c>
      <c r="G101" s="39">
        <v>0</v>
      </c>
      <c r="H101" s="39">
        <v>0</v>
      </c>
      <c r="I101" s="39">
        <v>0</v>
      </c>
      <c r="J101" s="39">
        <v>0</v>
      </c>
      <c r="K101" s="39">
        <v>0</v>
      </c>
      <c r="L101" s="39"/>
      <c r="M101" s="39">
        <v>0</v>
      </c>
      <c r="N101" s="39">
        <v>0</v>
      </c>
      <c r="O101" s="39">
        <v>0</v>
      </c>
      <c r="P101" s="39">
        <f>AQ10</f>
        <v>2100</v>
      </c>
      <c r="Q101" s="39">
        <v>2100</v>
      </c>
      <c r="R101" s="39">
        <v>1950</v>
      </c>
      <c r="S101" s="39">
        <v>1650</v>
      </c>
      <c r="T101" s="39">
        <v>1600</v>
      </c>
      <c r="U101" s="39">
        <v>1400</v>
      </c>
      <c r="V101" s="39">
        <v>900</v>
      </c>
      <c r="W101" s="39">
        <v>600</v>
      </c>
      <c r="X101" s="39">
        <v>300</v>
      </c>
      <c r="Y101" s="39">
        <v>0</v>
      </c>
      <c r="Z101" s="39">
        <v>0</v>
      </c>
      <c r="AA101" s="372">
        <f t="shared" ref="AA101:AA107" ca="1" si="2">Y101+IF(NOT(ISBLANK(OFFSET(AA101,0,6))),N(OFFSET(AA101,0,6)),N(OFFSET(AA101,0,7)))-Z101</f>
        <v>0</v>
      </c>
    </row>
    <row r="102" spans="1:27" x14ac:dyDescent="0.3">
      <c r="A102" s="25" t="s">
        <v>486</v>
      </c>
      <c r="B102" s="6">
        <v>1000</v>
      </c>
      <c r="C102" s="66"/>
      <c r="D102" s="234"/>
      <c r="F102" s="39"/>
      <c r="G102" s="39"/>
      <c r="H102" s="39"/>
      <c r="I102" s="39"/>
      <c r="J102" s="39"/>
      <c r="K102" s="39"/>
      <c r="L102" s="39"/>
      <c r="M102" s="39">
        <v>0</v>
      </c>
      <c r="N102" s="39">
        <v>0</v>
      </c>
      <c r="O102" s="39">
        <v>0</v>
      </c>
      <c r="P102" s="39">
        <f>AQ20</f>
        <v>3</v>
      </c>
      <c r="Q102" s="39">
        <v>3</v>
      </c>
      <c r="R102" s="39">
        <v>2</v>
      </c>
      <c r="S102" s="39">
        <v>2</v>
      </c>
      <c r="T102" s="39">
        <v>2</v>
      </c>
      <c r="U102" s="39">
        <v>2</v>
      </c>
      <c r="V102" s="39">
        <v>1</v>
      </c>
      <c r="W102" s="39">
        <v>1</v>
      </c>
      <c r="X102" s="39">
        <v>0</v>
      </c>
      <c r="Y102" s="39">
        <v>0</v>
      </c>
      <c r="Z102" s="39">
        <v>0</v>
      </c>
      <c r="AA102" s="372">
        <f t="shared" ca="1" si="2"/>
        <v>0</v>
      </c>
    </row>
    <row r="103" spans="1:27" x14ac:dyDescent="0.3">
      <c r="A103" s="25" t="s">
        <v>143</v>
      </c>
      <c r="B103" s="6">
        <v>200</v>
      </c>
      <c r="C103" s="66"/>
      <c r="D103" s="234"/>
      <c r="F103" s="39">
        <v>0</v>
      </c>
      <c r="G103" s="39">
        <v>1</v>
      </c>
      <c r="H103" s="39">
        <v>1</v>
      </c>
      <c r="I103" s="39">
        <v>0</v>
      </c>
      <c r="J103" s="39">
        <v>0</v>
      </c>
      <c r="K103" s="39">
        <v>0</v>
      </c>
      <c r="L103" s="39"/>
      <c r="M103" s="39">
        <v>0</v>
      </c>
      <c r="N103" s="39">
        <v>0</v>
      </c>
      <c r="O103" s="39">
        <v>0</v>
      </c>
      <c r="P103" s="39">
        <f>AQ19</f>
        <v>200</v>
      </c>
      <c r="Q103" s="39">
        <v>200</v>
      </c>
      <c r="R103" s="39">
        <v>200</v>
      </c>
      <c r="S103" s="39">
        <v>200</v>
      </c>
      <c r="T103" s="39">
        <v>200</v>
      </c>
      <c r="U103" s="39">
        <v>200</v>
      </c>
      <c r="V103" s="39">
        <v>200</v>
      </c>
      <c r="W103" s="39">
        <v>200</v>
      </c>
      <c r="X103" s="39">
        <v>200</v>
      </c>
      <c r="Y103" s="39">
        <v>200</v>
      </c>
      <c r="Z103" s="39">
        <v>200</v>
      </c>
      <c r="AA103" s="372">
        <f t="shared" ca="1" si="2"/>
        <v>0</v>
      </c>
    </row>
    <row r="104" spans="1:27" x14ac:dyDescent="0.3">
      <c r="A104" s="25" t="s">
        <v>487</v>
      </c>
      <c r="B104" s="6">
        <v>150</v>
      </c>
      <c r="C104" s="66"/>
      <c r="D104" s="234"/>
      <c r="F104" s="39"/>
      <c r="G104" s="39"/>
      <c r="H104" s="39"/>
      <c r="I104" s="39"/>
      <c r="J104" s="39"/>
      <c r="K104" s="39"/>
      <c r="L104" s="39"/>
      <c r="M104" s="39">
        <v>0</v>
      </c>
      <c r="N104" s="39">
        <v>0</v>
      </c>
      <c r="O104" s="39">
        <v>0</v>
      </c>
      <c r="P104" s="39">
        <f>AQ16</f>
        <v>600</v>
      </c>
      <c r="Q104" s="39">
        <v>598</v>
      </c>
      <c r="R104" s="39">
        <v>462</v>
      </c>
      <c r="S104" s="39">
        <v>266</v>
      </c>
      <c r="T104" s="39">
        <v>206</v>
      </c>
      <c r="U104" s="39"/>
      <c r="V104" s="39"/>
      <c r="W104" s="39"/>
      <c r="X104" s="39"/>
      <c r="Y104" s="39"/>
      <c r="Z104" s="39">
        <v>0</v>
      </c>
      <c r="AA104" s="372">
        <f t="shared" ca="1" si="2"/>
        <v>0</v>
      </c>
    </row>
    <row r="105" spans="1:27" x14ac:dyDescent="0.3">
      <c r="A105" s="25" t="s">
        <v>479</v>
      </c>
      <c r="B105" s="6">
        <v>200</v>
      </c>
      <c r="C105" s="66"/>
      <c r="D105" s="234"/>
      <c r="F105" s="39">
        <v>0</v>
      </c>
      <c r="G105" s="39">
        <v>0</v>
      </c>
      <c r="H105" s="39">
        <v>0</v>
      </c>
      <c r="I105" s="39">
        <v>3</v>
      </c>
      <c r="J105" s="39">
        <v>3</v>
      </c>
      <c r="K105" s="39">
        <v>3</v>
      </c>
      <c r="L105" s="39">
        <v>3</v>
      </c>
      <c r="M105" s="39">
        <v>0</v>
      </c>
      <c r="N105" s="39">
        <v>0</v>
      </c>
      <c r="O105" s="39">
        <v>0</v>
      </c>
      <c r="P105" s="39">
        <f>AQ21</f>
        <v>10</v>
      </c>
      <c r="Q105" s="39">
        <v>5</v>
      </c>
      <c r="R105" s="39">
        <v>5</v>
      </c>
      <c r="S105" s="39">
        <v>5</v>
      </c>
      <c r="T105" s="39">
        <v>5</v>
      </c>
      <c r="U105" s="39"/>
      <c r="V105" s="39"/>
      <c r="W105" s="39"/>
      <c r="X105" s="39"/>
      <c r="Y105" s="39"/>
      <c r="Z105" s="39">
        <v>5</v>
      </c>
      <c r="AA105" s="372">
        <f t="shared" ca="1" si="2"/>
        <v>-5</v>
      </c>
    </row>
    <row r="106" spans="1:27" x14ac:dyDescent="0.3">
      <c r="A106" s="153" t="s">
        <v>156</v>
      </c>
      <c r="B106" s="72">
        <v>100</v>
      </c>
      <c r="C106" s="77"/>
      <c r="D106" s="72"/>
      <c r="F106" s="39">
        <v>44</v>
      </c>
      <c r="G106" s="39">
        <v>44</v>
      </c>
      <c r="H106" s="39">
        <v>44</v>
      </c>
      <c r="I106" s="39">
        <v>44</v>
      </c>
      <c r="J106" s="39">
        <v>44</v>
      </c>
      <c r="K106" s="39">
        <v>44</v>
      </c>
      <c r="L106" s="39">
        <v>44</v>
      </c>
      <c r="M106" s="39">
        <v>0</v>
      </c>
      <c r="N106" s="39">
        <v>0</v>
      </c>
      <c r="O106" s="39">
        <v>0</v>
      </c>
      <c r="P106" s="39">
        <f>AQ25</f>
        <v>100</v>
      </c>
      <c r="Q106" s="39">
        <v>100</v>
      </c>
      <c r="R106" s="39">
        <v>99</v>
      </c>
      <c r="S106" s="39">
        <v>99</v>
      </c>
      <c r="T106" s="39">
        <v>99</v>
      </c>
      <c r="U106" s="39"/>
      <c r="V106" s="39"/>
      <c r="W106" s="39"/>
      <c r="X106" s="39"/>
      <c r="Y106" s="39"/>
      <c r="Z106" s="39">
        <v>96</v>
      </c>
      <c r="AA106" s="372">
        <f t="shared" ca="1" si="2"/>
        <v>-96</v>
      </c>
    </row>
    <row r="107" spans="1:27" x14ac:dyDescent="0.3">
      <c r="A107" s="153" t="s">
        <v>158</v>
      </c>
      <c r="B107" s="72">
        <v>200</v>
      </c>
      <c r="C107" s="77"/>
      <c r="D107" s="72"/>
      <c r="F107" s="39">
        <v>88</v>
      </c>
      <c r="G107" s="39">
        <v>88</v>
      </c>
      <c r="H107" s="39">
        <v>88</v>
      </c>
      <c r="I107" s="39">
        <v>86</v>
      </c>
      <c r="J107" s="39">
        <v>84</v>
      </c>
      <c r="K107" s="39">
        <v>84</v>
      </c>
      <c r="L107" s="39">
        <v>84</v>
      </c>
      <c r="M107" s="39">
        <v>0</v>
      </c>
      <c r="N107" s="39">
        <v>0</v>
      </c>
      <c r="O107" s="39">
        <v>0</v>
      </c>
      <c r="P107" s="39">
        <v>0</v>
      </c>
      <c r="Q107" s="206">
        <v>50</v>
      </c>
      <c r="R107" s="39">
        <v>47</v>
      </c>
      <c r="S107" s="39">
        <v>47</v>
      </c>
      <c r="T107" s="39">
        <v>45</v>
      </c>
      <c r="U107" s="39"/>
      <c r="V107" s="39"/>
      <c r="W107" s="39"/>
      <c r="X107" s="39"/>
      <c r="Y107" s="39"/>
      <c r="Z107" s="39">
        <v>36</v>
      </c>
      <c r="AA107" s="372">
        <f t="shared" ca="1" si="2"/>
        <v>-36</v>
      </c>
    </row>
    <row r="108" spans="1:27" x14ac:dyDescent="0.3"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7" x14ac:dyDescent="0.3">
      <c r="A109" s="272" t="s">
        <v>488</v>
      </c>
      <c r="B109" s="248" t="s">
        <v>151</v>
      </c>
      <c r="C109" s="248" t="s">
        <v>152</v>
      </c>
      <c r="D109" s="248"/>
      <c r="F109" s="13">
        <v>46013</v>
      </c>
      <c r="G109" s="13">
        <v>46020</v>
      </c>
      <c r="H109" s="13">
        <v>46027</v>
      </c>
      <c r="I109" s="13">
        <v>46034</v>
      </c>
      <c r="J109" s="13">
        <v>46041</v>
      </c>
      <c r="K109" s="13">
        <v>46048</v>
      </c>
      <c r="L109" s="13">
        <v>46055</v>
      </c>
      <c r="M109" s="13">
        <v>46062</v>
      </c>
      <c r="N109" s="13">
        <v>46069</v>
      </c>
      <c r="O109" s="13">
        <v>46076</v>
      </c>
      <c r="P109" s="13">
        <v>46083</v>
      </c>
      <c r="Q109" s="13">
        <v>46090</v>
      </c>
      <c r="R109" s="13">
        <v>46097</v>
      </c>
      <c r="S109" s="13">
        <v>46104</v>
      </c>
      <c r="T109" s="13">
        <v>46111</v>
      </c>
      <c r="U109" s="13">
        <v>46118</v>
      </c>
      <c r="V109" s="13">
        <v>46125</v>
      </c>
      <c r="W109" s="13">
        <v>46132</v>
      </c>
      <c r="X109" s="13">
        <v>46139</v>
      </c>
      <c r="Y109" s="13">
        <v>46146</v>
      </c>
      <c r="Z109" s="13">
        <v>46154</v>
      </c>
      <c r="AA109" s="35" t="s">
        <v>129</v>
      </c>
    </row>
    <row r="110" spans="1:27" x14ac:dyDescent="0.3">
      <c r="A110" s="25" t="s">
        <v>419</v>
      </c>
      <c r="B110" s="6">
        <v>200</v>
      </c>
      <c r="C110" s="66"/>
      <c r="D110" s="234"/>
      <c r="F110" s="39">
        <v>59</v>
      </c>
      <c r="G110" s="39">
        <v>59</v>
      </c>
      <c r="H110" s="39">
        <v>58</v>
      </c>
      <c r="I110" s="39">
        <v>47</v>
      </c>
      <c r="J110" s="39">
        <v>47</v>
      </c>
      <c r="K110" s="39">
        <v>46</v>
      </c>
      <c r="L110" s="39">
        <v>46</v>
      </c>
      <c r="M110" s="39">
        <v>0</v>
      </c>
      <c r="N110" s="39">
        <v>0</v>
      </c>
      <c r="O110" s="39">
        <v>0</v>
      </c>
      <c r="P110" s="39">
        <v>0</v>
      </c>
      <c r="Q110" s="39">
        <v>0</v>
      </c>
      <c r="R110" s="39">
        <v>0</v>
      </c>
      <c r="S110" s="39">
        <f>AM9</f>
        <v>4000</v>
      </c>
      <c r="T110" s="39">
        <v>4000</v>
      </c>
      <c r="U110" s="39">
        <v>4000</v>
      </c>
      <c r="V110" s="39">
        <v>4000</v>
      </c>
      <c r="W110" s="39">
        <v>4000</v>
      </c>
      <c r="X110" s="39">
        <v>3000</v>
      </c>
      <c r="Y110" s="39">
        <v>1600</v>
      </c>
      <c r="Z110" s="206">
        <v>600</v>
      </c>
      <c r="AA110" s="372">
        <f t="shared" ref="AA110:AA118" ca="1" si="3">Y110+IF(NOT(ISBLANK(OFFSET(AA110,0,6))),N(OFFSET(AA110,0,6)),N(OFFSET(AA110,0,7)))-Z110</f>
        <v>1000</v>
      </c>
    </row>
    <row r="111" spans="1:27" x14ac:dyDescent="0.3">
      <c r="A111" s="25" t="s">
        <v>421</v>
      </c>
      <c r="B111" s="6">
        <v>200</v>
      </c>
      <c r="C111" s="66"/>
      <c r="D111" s="234"/>
      <c r="F111" s="39">
        <v>160</v>
      </c>
      <c r="G111" s="39">
        <v>160</v>
      </c>
      <c r="H111" s="39">
        <v>160</v>
      </c>
      <c r="I111" s="39">
        <v>131</v>
      </c>
      <c r="J111" s="39">
        <v>0</v>
      </c>
      <c r="K111" s="39">
        <v>0</v>
      </c>
      <c r="L111" s="39">
        <v>0</v>
      </c>
      <c r="M111" s="39">
        <v>0</v>
      </c>
      <c r="N111" s="39">
        <v>0</v>
      </c>
      <c r="O111" s="39">
        <v>0</v>
      </c>
      <c r="P111" s="39">
        <v>0</v>
      </c>
      <c r="Q111" s="39">
        <v>0</v>
      </c>
      <c r="R111" s="39">
        <v>0</v>
      </c>
      <c r="S111" s="39">
        <f>AM10</f>
        <v>2200</v>
      </c>
      <c r="T111" s="39">
        <v>2200</v>
      </c>
      <c r="U111" s="39">
        <v>2200</v>
      </c>
      <c r="V111" s="39">
        <v>2200</v>
      </c>
      <c r="W111" s="39">
        <v>2200</v>
      </c>
      <c r="X111" s="39">
        <v>1800</v>
      </c>
      <c r="Y111" s="39">
        <v>1400</v>
      </c>
      <c r="Z111" s="206">
        <v>0</v>
      </c>
      <c r="AA111" s="372">
        <f t="shared" ca="1" si="3"/>
        <v>1400</v>
      </c>
    </row>
    <row r="112" spans="1:27" x14ac:dyDescent="0.3">
      <c r="A112" s="25" t="s">
        <v>422</v>
      </c>
      <c r="B112" s="6">
        <v>100</v>
      </c>
      <c r="C112" s="66"/>
      <c r="D112" s="234"/>
      <c r="F112" s="39">
        <v>37</v>
      </c>
      <c r="G112" s="39">
        <v>37</v>
      </c>
      <c r="H112" s="39">
        <v>37</v>
      </c>
      <c r="I112" s="39">
        <v>16</v>
      </c>
      <c r="J112" s="39">
        <v>0</v>
      </c>
      <c r="K112" s="39">
        <v>0</v>
      </c>
      <c r="L112" s="39">
        <v>0</v>
      </c>
      <c r="M112" s="39">
        <v>0</v>
      </c>
      <c r="N112" s="39">
        <v>0</v>
      </c>
      <c r="O112" s="39">
        <v>0</v>
      </c>
      <c r="P112" s="39">
        <v>0</v>
      </c>
      <c r="Q112" s="39">
        <v>0</v>
      </c>
      <c r="R112" s="39">
        <v>0</v>
      </c>
      <c r="S112" s="39">
        <f>AM11</f>
        <v>800</v>
      </c>
      <c r="T112" s="39">
        <v>800</v>
      </c>
      <c r="U112" s="39">
        <v>800</v>
      </c>
      <c r="V112" s="39">
        <v>800</v>
      </c>
      <c r="W112" s="39">
        <v>800</v>
      </c>
      <c r="X112" s="39">
        <v>700</v>
      </c>
      <c r="Y112" s="39">
        <v>600</v>
      </c>
      <c r="Z112" s="206">
        <v>300</v>
      </c>
      <c r="AA112" s="372">
        <f t="shared" ca="1" si="3"/>
        <v>300</v>
      </c>
    </row>
    <row r="113" spans="1:59" x14ac:dyDescent="0.3">
      <c r="A113" s="25" t="s">
        <v>489</v>
      </c>
      <c r="B113" s="6">
        <v>200</v>
      </c>
      <c r="C113" s="66"/>
      <c r="D113" s="234"/>
      <c r="F113" s="39"/>
      <c r="G113" s="39"/>
      <c r="H113" s="39"/>
      <c r="I113" s="39"/>
      <c r="J113" s="39"/>
      <c r="K113" s="39"/>
      <c r="L113" s="39"/>
      <c r="M113" s="39">
        <v>0</v>
      </c>
      <c r="N113" s="39">
        <v>0</v>
      </c>
      <c r="O113" s="39">
        <v>0</v>
      </c>
      <c r="P113" s="39">
        <v>0</v>
      </c>
      <c r="Q113" s="39">
        <v>0</v>
      </c>
      <c r="R113" s="39">
        <v>0</v>
      </c>
      <c r="S113" s="39">
        <f>AM15</f>
        <v>400</v>
      </c>
      <c r="T113" s="39">
        <v>334</v>
      </c>
      <c r="U113" s="39"/>
      <c r="V113" s="39"/>
      <c r="W113" s="39"/>
      <c r="X113" s="39"/>
      <c r="Y113" s="39"/>
      <c r="Z113" s="39">
        <v>0</v>
      </c>
      <c r="AA113" s="372">
        <f t="shared" ca="1" si="3"/>
        <v>0</v>
      </c>
    </row>
    <row r="114" spans="1:59" x14ac:dyDescent="0.3">
      <c r="A114" s="25" t="s">
        <v>487</v>
      </c>
      <c r="B114" s="6">
        <v>200</v>
      </c>
      <c r="C114" s="66"/>
      <c r="D114" s="234"/>
      <c r="F114" s="39"/>
      <c r="G114" s="39"/>
      <c r="H114" s="39"/>
      <c r="I114" s="39"/>
      <c r="J114" s="39"/>
      <c r="K114" s="39"/>
      <c r="L114" s="39"/>
      <c r="M114" s="39">
        <v>0</v>
      </c>
      <c r="N114" s="39">
        <v>0</v>
      </c>
      <c r="O114" s="39">
        <v>0</v>
      </c>
      <c r="P114" s="39">
        <v>0</v>
      </c>
      <c r="Q114" s="39">
        <v>0</v>
      </c>
      <c r="R114" s="39">
        <v>0</v>
      </c>
      <c r="S114" s="39">
        <f>AM16</f>
        <v>200</v>
      </c>
      <c r="T114" s="39">
        <v>154</v>
      </c>
      <c r="U114" s="39"/>
      <c r="V114" s="39"/>
      <c r="W114" s="39"/>
      <c r="X114" s="39"/>
      <c r="Y114" s="39"/>
      <c r="Z114" s="39">
        <v>0</v>
      </c>
      <c r="AA114" s="372">
        <f t="shared" ca="1" si="3"/>
        <v>0</v>
      </c>
    </row>
    <row r="115" spans="1:59" x14ac:dyDescent="0.3">
      <c r="A115" s="153" t="s">
        <v>481</v>
      </c>
      <c r="B115" s="72">
        <v>200</v>
      </c>
      <c r="C115" s="77"/>
      <c r="D115" s="72"/>
      <c r="F115" s="39">
        <v>0</v>
      </c>
      <c r="G115" s="39">
        <v>0</v>
      </c>
      <c r="H115" s="39">
        <v>0</v>
      </c>
      <c r="I115" s="39">
        <v>0</v>
      </c>
      <c r="J115" s="39">
        <v>0</v>
      </c>
      <c r="K115" s="39">
        <v>0</v>
      </c>
      <c r="L115" s="39">
        <v>0</v>
      </c>
      <c r="M115" s="39">
        <v>0</v>
      </c>
      <c r="N115" s="39">
        <v>0</v>
      </c>
      <c r="O115" s="39">
        <v>0</v>
      </c>
      <c r="P115" s="39">
        <v>0</v>
      </c>
      <c r="Q115" s="39">
        <v>0</v>
      </c>
      <c r="R115" s="39">
        <v>0</v>
      </c>
      <c r="S115" s="39">
        <f>AM19</f>
        <v>10</v>
      </c>
      <c r="T115" s="39">
        <v>5</v>
      </c>
      <c r="U115" s="39"/>
      <c r="V115" s="39"/>
      <c r="W115" s="39"/>
      <c r="X115" s="39"/>
      <c r="Y115" s="39"/>
      <c r="Z115" s="39">
        <v>0</v>
      </c>
      <c r="AA115" s="372">
        <f t="shared" ca="1" si="3"/>
        <v>0</v>
      </c>
    </row>
    <row r="116" spans="1:59" x14ac:dyDescent="0.3">
      <c r="A116" s="153" t="s">
        <v>154</v>
      </c>
      <c r="B116" s="72">
        <v>150</v>
      </c>
      <c r="C116" s="77"/>
      <c r="D116" s="72"/>
      <c r="F116" s="39">
        <v>60</v>
      </c>
      <c r="G116" s="39">
        <v>60</v>
      </c>
      <c r="H116" s="39">
        <v>60</v>
      </c>
      <c r="I116" s="39">
        <v>59</v>
      </c>
      <c r="J116" s="39">
        <v>59</v>
      </c>
      <c r="K116" s="39">
        <v>59</v>
      </c>
      <c r="L116" s="39">
        <v>59</v>
      </c>
      <c r="M116" s="39">
        <v>0</v>
      </c>
      <c r="N116" s="39">
        <v>0</v>
      </c>
      <c r="O116" s="39">
        <v>0</v>
      </c>
      <c r="P116" s="39">
        <f>AP24</f>
        <v>150</v>
      </c>
      <c r="Q116" s="39">
        <v>150</v>
      </c>
      <c r="R116" s="39">
        <v>150</v>
      </c>
      <c r="S116" s="39">
        <v>150</v>
      </c>
      <c r="T116" s="39">
        <v>68</v>
      </c>
      <c r="U116" s="39"/>
      <c r="V116" s="39"/>
      <c r="W116" s="39"/>
      <c r="X116" s="39"/>
      <c r="Y116" s="39"/>
      <c r="Z116" s="39">
        <v>0</v>
      </c>
      <c r="AA116" s="372">
        <f t="shared" ca="1" si="3"/>
        <v>0</v>
      </c>
    </row>
    <row r="117" spans="1:59" x14ac:dyDescent="0.3">
      <c r="A117" s="153" t="s">
        <v>156</v>
      </c>
      <c r="B117" s="72">
        <v>100</v>
      </c>
      <c r="C117" s="77"/>
      <c r="D117" s="72"/>
      <c r="F117" s="39">
        <v>1</v>
      </c>
      <c r="G117" s="39">
        <v>1</v>
      </c>
      <c r="H117" s="39">
        <v>1</v>
      </c>
      <c r="I117" s="39">
        <v>1</v>
      </c>
      <c r="J117" s="39">
        <v>1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f>AM25</f>
        <v>200</v>
      </c>
      <c r="T117" s="39">
        <v>78</v>
      </c>
      <c r="U117" s="39"/>
      <c r="V117" s="39"/>
      <c r="W117" s="39"/>
      <c r="X117" s="39"/>
      <c r="Y117" s="39"/>
      <c r="Z117" s="39">
        <v>0</v>
      </c>
      <c r="AA117" s="372">
        <f t="shared" ca="1" si="3"/>
        <v>0</v>
      </c>
    </row>
    <row r="118" spans="1:59" x14ac:dyDescent="0.3">
      <c r="A118" s="153" t="s">
        <v>160</v>
      </c>
      <c r="B118" s="72">
        <v>150</v>
      </c>
      <c r="C118" s="77"/>
      <c r="D118" s="72"/>
      <c r="F118" s="39">
        <v>11</v>
      </c>
      <c r="G118" s="39">
        <v>11</v>
      </c>
      <c r="H118" s="39">
        <v>11</v>
      </c>
      <c r="I118" s="39">
        <v>11</v>
      </c>
      <c r="J118" s="39">
        <v>11</v>
      </c>
      <c r="K118" s="39">
        <v>11</v>
      </c>
      <c r="L118" s="39">
        <v>11</v>
      </c>
      <c r="M118" s="39">
        <v>0</v>
      </c>
      <c r="N118" s="39">
        <v>0</v>
      </c>
      <c r="O118" s="39">
        <v>0</v>
      </c>
      <c r="P118" s="39">
        <v>0</v>
      </c>
      <c r="Q118" s="39">
        <v>0</v>
      </c>
      <c r="R118" s="39">
        <v>0</v>
      </c>
      <c r="S118" s="39">
        <f>AM26</f>
        <v>150</v>
      </c>
      <c r="T118" s="39">
        <v>88</v>
      </c>
      <c r="U118" s="39"/>
      <c r="V118" s="39"/>
      <c r="W118" s="39"/>
      <c r="X118" s="39"/>
      <c r="Y118" s="39"/>
      <c r="Z118" s="39">
        <v>0</v>
      </c>
      <c r="AA118" s="372">
        <f t="shared" ca="1" si="3"/>
        <v>0</v>
      </c>
    </row>
    <row r="119" spans="1:59" x14ac:dyDescent="0.3"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59" x14ac:dyDescent="0.3"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59" x14ac:dyDescent="0.3"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</row>
    <row r="122" spans="1:59" x14ac:dyDescent="0.3"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</row>
    <row r="123" spans="1:59" x14ac:dyDescent="0.3"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F123" s="15"/>
      <c r="AH123" s="75"/>
      <c r="AI123" s="75"/>
      <c r="AJ123" s="75"/>
    </row>
    <row r="124" spans="1:59" x14ac:dyDescent="0.3"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F124" s="15"/>
      <c r="AH124" s="75"/>
      <c r="AI124" s="75"/>
      <c r="AJ124" s="75"/>
    </row>
    <row r="125" spans="1:59" ht="21" customHeight="1" x14ac:dyDescent="0.3">
      <c r="A125" s="394" t="s">
        <v>174</v>
      </c>
      <c r="B125" s="394"/>
      <c r="C125" s="394"/>
    </row>
    <row r="126" spans="1:59" ht="37.5" customHeight="1" x14ac:dyDescent="0.3">
      <c r="A126" s="361" t="s">
        <v>175</v>
      </c>
      <c r="B126" s="361"/>
      <c r="C126" s="361" t="s">
        <v>342</v>
      </c>
    </row>
    <row r="127" spans="1:59" x14ac:dyDescent="0.3">
      <c r="A127" s="165"/>
      <c r="B127" s="370"/>
      <c r="C127" s="357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AA127" s="2"/>
      <c r="AC127" s="75"/>
      <c r="AD127" s="75"/>
      <c r="AE127" s="1"/>
      <c r="AG127" s="41"/>
      <c r="AK127" s="75"/>
      <c r="AL127" s="75"/>
      <c r="AM127" s="75"/>
      <c r="AN127" s="75"/>
      <c r="AO127" s="75"/>
      <c r="AP127" s="75"/>
      <c r="AQ127" s="75"/>
      <c r="AR127" s="75"/>
      <c r="AS127" s="75"/>
      <c r="AT127" s="75"/>
      <c r="AU127" s="75"/>
      <c r="AV127" s="75"/>
      <c r="AW127" s="75"/>
      <c r="AX127" s="75"/>
      <c r="AY127" s="75"/>
      <c r="AZ127" s="75"/>
      <c r="BA127" s="75"/>
      <c r="BB127" s="75"/>
      <c r="BC127" s="75"/>
      <c r="BD127" s="75"/>
      <c r="BE127" s="75"/>
      <c r="BF127" s="75"/>
      <c r="BG127" s="75"/>
    </row>
    <row r="128" spans="1:59" x14ac:dyDescent="0.3">
      <c r="A128" s="181"/>
      <c r="B128" s="367"/>
      <c r="C128" s="368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AA128" s="2"/>
      <c r="AC128" s="75"/>
      <c r="AD128" s="75"/>
      <c r="AE128" s="1"/>
      <c r="AG128" s="41"/>
      <c r="AK128" s="75"/>
      <c r="AL128" s="75"/>
      <c r="AM128" s="75"/>
      <c r="AN128" s="75"/>
      <c r="AO128" s="75"/>
      <c r="AP128" s="75"/>
      <c r="AQ128" s="75"/>
      <c r="AR128" s="75"/>
      <c r="AS128" s="75"/>
      <c r="AT128" s="75"/>
      <c r="AU128" s="75"/>
      <c r="AV128" s="75"/>
      <c r="AW128" s="75"/>
      <c r="AX128" s="75"/>
      <c r="AY128" s="75"/>
      <c r="AZ128" s="75"/>
      <c r="BA128" s="75"/>
      <c r="BB128" s="75"/>
      <c r="BC128" s="75"/>
      <c r="BD128" s="75"/>
      <c r="BE128" s="75"/>
      <c r="BF128" s="75"/>
      <c r="BG128" s="75"/>
    </row>
    <row r="132" spans="2:4" x14ac:dyDescent="0.3">
      <c r="B132" s="41"/>
      <c r="C132" s="120"/>
      <c r="D132" s="120"/>
    </row>
    <row r="133" spans="2:4" x14ac:dyDescent="0.3">
      <c r="B133" s="41"/>
      <c r="C133" s="120"/>
      <c r="D133" s="120"/>
    </row>
  </sheetData>
  <mergeCells count="9">
    <mergeCell ref="A5:A6"/>
    <mergeCell ref="B3:D3"/>
    <mergeCell ref="F5:AA5"/>
    <mergeCell ref="A1:AB1"/>
    <mergeCell ref="A98:AA98"/>
    <mergeCell ref="C5:C6"/>
    <mergeCell ref="B5:B6"/>
    <mergeCell ref="B2:D2"/>
    <mergeCell ref="D5:D6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53" orientation="landscape" horizontalDpi="4294967295" verticalDpi="4294967295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ilha51">
    <tabColor theme="8"/>
    <pageSetUpPr fitToPage="1"/>
  </sheetPr>
  <dimension ref="A1:BO133"/>
  <sheetViews>
    <sheetView showGridLines="0" topLeftCell="A76" zoomScale="80" zoomScaleNormal="80" zoomScaleSheetLayoutView="50" workbookViewId="0">
      <selection activeCell="AC96" sqref="AC96"/>
    </sheetView>
  </sheetViews>
  <sheetFormatPr defaultColWidth="9.140625" defaultRowHeight="15" x14ac:dyDescent="0.25"/>
  <cols>
    <col min="1" max="1" width="38.42578125" customWidth="1"/>
    <col min="2" max="2" width="8.140625" customWidth="1"/>
    <col min="3" max="3" width="15.85546875" customWidth="1"/>
    <col min="4" max="4" width="16.85546875" customWidth="1"/>
    <col min="5" max="5" width="2" customWidth="1"/>
    <col min="6" max="6" width="8.28515625" hidden="1" customWidth="1"/>
    <col min="7" max="26" width="13" hidden="1" customWidth="1"/>
    <col min="27" max="27" width="8.28515625" hidden="1" customWidth="1"/>
    <col min="28" max="30" width="13" hidden="1" customWidth="1"/>
    <col min="31" max="32" width="13" customWidth="1"/>
    <col min="33" max="33" width="9.5703125" customWidth="1"/>
    <col min="34" max="34" width="1.42578125" customWidth="1"/>
    <col min="35" max="35" width="16" customWidth="1"/>
    <col min="36" max="36" width="14.28515625" customWidth="1"/>
    <col min="37" max="37" width="1.7109375" customWidth="1"/>
    <col min="38" max="38" width="15.85546875" customWidth="1"/>
    <col min="39" max="39" width="1.28515625" customWidth="1"/>
    <col min="40" max="40" width="9.140625" customWidth="1"/>
    <col min="41" max="41" width="12.140625" customWidth="1"/>
    <col min="42" max="42" width="9.140625" hidden="1" customWidth="1"/>
    <col min="43" max="51" width="13" hidden="1" customWidth="1"/>
    <col min="52" max="52" width="9.140625" hidden="1" customWidth="1"/>
    <col min="53" max="67" width="13" hidden="1" customWidth="1"/>
    <col min="68" max="68" width="9.140625" customWidth="1"/>
  </cols>
  <sheetData>
    <row r="1" spans="1:67" ht="23.25" customHeight="1" x14ac:dyDescent="0.3">
      <c r="A1" s="477" t="s">
        <v>117</v>
      </c>
      <c r="B1" s="478"/>
      <c r="C1" s="478"/>
      <c r="D1" s="478"/>
      <c r="E1" s="478"/>
      <c r="F1" s="478"/>
      <c r="G1" s="478"/>
      <c r="H1" s="478"/>
      <c r="I1" s="478"/>
      <c r="J1" s="478"/>
      <c r="K1" s="478"/>
      <c r="L1" s="478"/>
      <c r="M1" s="478"/>
      <c r="N1" s="478"/>
      <c r="O1" s="478"/>
      <c r="P1" s="478"/>
      <c r="Q1" s="478"/>
      <c r="R1" s="478"/>
      <c r="S1" s="478"/>
      <c r="T1" s="478"/>
      <c r="U1" s="478"/>
      <c r="V1" s="478"/>
      <c r="W1" s="478"/>
      <c r="X1" s="478"/>
      <c r="Y1" s="478"/>
      <c r="Z1" s="478"/>
      <c r="AA1" s="478"/>
      <c r="AB1" s="478"/>
      <c r="AC1" s="478"/>
      <c r="AH1" s="338"/>
      <c r="AK1" s="34"/>
      <c r="AL1" s="11"/>
      <c r="AM1" s="34"/>
    </row>
    <row r="2" spans="1:67" ht="18.75" x14ac:dyDescent="0.3">
      <c r="A2" s="63" t="s">
        <v>118</v>
      </c>
      <c r="B2" s="473" t="s">
        <v>424</v>
      </c>
      <c r="C2" s="463"/>
      <c r="D2" s="464"/>
      <c r="AK2" s="34"/>
      <c r="AL2" s="11"/>
      <c r="AM2" s="34"/>
    </row>
    <row r="3" spans="1:67" ht="18.75" x14ac:dyDescent="0.3">
      <c r="A3" s="63" t="s">
        <v>120</v>
      </c>
      <c r="B3" s="465" t="s">
        <v>527</v>
      </c>
      <c r="C3" s="463"/>
      <c r="D3" s="464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442"/>
      <c r="AD3" s="442"/>
      <c r="AE3" s="442"/>
      <c r="AF3" s="442"/>
      <c r="AG3" s="7"/>
      <c r="AH3" s="7"/>
      <c r="AK3" s="34"/>
    </row>
    <row r="4" spans="1:67" ht="18.75" x14ac:dyDescent="0.3">
      <c r="AI4" s="41"/>
      <c r="AJ4" s="4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</row>
    <row r="5" spans="1:67" ht="24.75" customHeight="1" x14ac:dyDescent="0.3">
      <c r="A5" s="460" t="s">
        <v>122</v>
      </c>
      <c r="B5" s="471" t="s">
        <v>123</v>
      </c>
      <c r="C5" s="471" t="s">
        <v>124</v>
      </c>
      <c r="D5" s="474" t="s">
        <v>125</v>
      </c>
      <c r="F5" s="502"/>
      <c r="G5" s="467"/>
      <c r="H5" s="467"/>
      <c r="I5" s="467"/>
      <c r="J5" s="467"/>
      <c r="K5" s="467"/>
      <c r="L5" s="467"/>
      <c r="M5" s="467"/>
      <c r="N5" s="467"/>
      <c r="O5" s="467"/>
      <c r="P5" s="467"/>
      <c r="Q5" s="467"/>
      <c r="R5" s="467"/>
      <c r="S5" s="467"/>
      <c r="T5" s="467"/>
      <c r="U5" s="467"/>
      <c r="V5" s="467"/>
      <c r="W5" s="467"/>
      <c r="X5" s="467"/>
      <c r="Y5" s="467"/>
      <c r="Z5" s="467"/>
      <c r="AA5" s="467"/>
      <c r="AB5" s="467"/>
      <c r="AC5" s="444"/>
      <c r="AD5" s="444"/>
      <c r="AE5" s="444"/>
      <c r="AF5" s="444"/>
      <c r="AG5" s="417"/>
      <c r="AI5" s="29" t="s">
        <v>126</v>
      </c>
      <c r="AJ5" s="29" t="s">
        <v>126</v>
      </c>
      <c r="AL5" s="9" t="s">
        <v>127</v>
      </c>
      <c r="AM5" s="17">
        <v>46161.483293716148</v>
      </c>
      <c r="AN5" s="17">
        <v>46149</v>
      </c>
      <c r="AO5" s="339" t="s">
        <v>128</v>
      </c>
      <c r="AP5" s="17">
        <v>46142</v>
      </c>
      <c r="AQ5" s="17">
        <v>46114</v>
      </c>
      <c r="AR5" s="17">
        <v>46107</v>
      </c>
      <c r="AS5" s="17">
        <v>46099</v>
      </c>
      <c r="AT5" s="294">
        <v>46065</v>
      </c>
      <c r="AU5" s="17">
        <v>46092</v>
      </c>
      <c r="AV5" s="17">
        <v>46084</v>
      </c>
      <c r="AW5" s="294">
        <v>46065</v>
      </c>
      <c r="AX5" s="292">
        <v>46045</v>
      </c>
      <c r="AY5" s="17">
        <v>46077</v>
      </c>
      <c r="AZ5" s="17">
        <v>46071</v>
      </c>
      <c r="BA5" s="17">
        <v>46056</v>
      </c>
      <c r="BB5" s="17">
        <v>46048</v>
      </c>
      <c r="BC5" s="17">
        <v>46043</v>
      </c>
      <c r="BD5" s="17">
        <v>46035</v>
      </c>
      <c r="BE5" s="17">
        <v>46029</v>
      </c>
      <c r="BF5" s="17">
        <v>46035</v>
      </c>
      <c r="BG5" s="17">
        <v>46029</v>
      </c>
      <c r="BH5" s="17">
        <v>46024</v>
      </c>
      <c r="BI5" s="17">
        <v>46007</v>
      </c>
      <c r="BJ5" s="17">
        <v>46001</v>
      </c>
      <c r="BK5" s="17">
        <v>46001</v>
      </c>
      <c r="BL5" s="17">
        <v>45994</v>
      </c>
      <c r="BM5" s="17">
        <v>45986</v>
      </c>
      <c r="BN5" s="17">
        <v>45986</v>
      </c>
      <c r="BO5" s="17">
        <v>45980</v>
      </c>
    </row>
    <row r="6" spans="1:67" s="3" customFormat="1" ht="18.75" x14ac:dyDescent="0.3">
      <c r="A6" s="461"/>
      <c r="B6" s="461"/>
      <c r="C6" s="461"/>
      <c r="D6" s="461"/>
      <c r="E6" s="30"/>
      <c r="F6" s="13">
        <v>46006</v>
      </c>
      <c r="G6" s="13">
        <v>46013</v>
      </c>
      <c r="H6" s="13">
        <v>46020</v>
      </c>
      <c r="I6" s="13">
        <v>46027</v>
      </c>
      <c r="J6" s="13">
        <v>46034</v>
      </c>
      <c r="K6" s="13">
        <v>46041</v>
      </c>
      <c r="L6" s="13">
        <v>46048</v>
      </c>
      <c r="M6" s="13">
        <v>46055</v>
      </c>
      <c r="N6" s="13">
        <v>46062</v>
      </c>
      <c r="O6" s="13">
        <v>46069</v>
      </c>
      <c r="P6" s="13">
        <v>46076</v>
      </c>
      <c r="Q6" s="13">
        <v>46083</v>
      </c>
      <c r="R6" s="13">
        <v>46090</v>
      </c>
      <c r="S6" s="13">
        <v>46097</v>
      </c>
      <c r="T6" s="13">
        <v>46104</v>
      </c>
      <c r="U6" s="13">
        <v>46111</v>
      </c>
      <c r="V6" s="13">
        <v>46118</v>
      </c>
      <c r="W6" s="13">
        <v>46125</v>
      </c>
      <c r="X6" s="13">
        <v>46132</v>
      </c>
      <c r="Y6" s="13">
        <v>46139</v>
      </c>
      <c r="Z6" s="13">
        <v>46146</v>
      </c>
      <c r="AA6" s="13">
        <v>46154</v>
      </c>
      <c r="AB6" s="13">
        <v>46160</v>
      </c>
      <c r="AC6" s="13">
        <v>46161.48013502315</v>
      </c>
      <c r="AD6" s="13">
        <v>46161.480808761567</v>
      </c>
      <c r="AE6" s="13">
        <v>46161.482965671297</v>
      </c>
      <c r="AF6" s="13">
        <v>46161.483294398371</v>
      </c>
      <c r="AG6" s="149" t="s">
        <v>129</v>
      </c>
      <c r="AH6" s="30"/>
      <c r="AI6" s="232" t="s">
        <v>128</v>
      </c>
      <c r="AJ6" s="18">
        <v>46149</v>
      </c>
      <c r="AK6" s="31"/>
      <c r="AL6" s="179">
        <v>46155</v>
      </c>
      <c r="AM6" s="17">
        <v>46161.483293716417</v>
      </c>
      <c r="AN6" s="17">
        <v>46155</v>
      </c>
      <c r="AO6" s="339">
        <v>46150</v>
      </c>
      <c r="AP6" s="17">
        <v>46149</v>
      </c>
      <c r="AQ6" s="17">
        <v>46125</v>
      </c>
      <c r="AR6" s="17">
        <v>46112</v>
      </c>
      <c r="AS6" s="17">
        <v>46106</v>
      </c>
      <c r="AT6" s="294">
        <v>46104</v>
      </c>
      <c r="AU6" s="17">
        <v>46099</v>
      </c>
      <c r="AV6" s="17">
        <v>46090</v>
      </c>
      <c r="AW6" s="294">
        <v>46087</v>
      </c>
      <c r="AX6" s="292">
        <v>46087</v>
      </c>
      <c r="AY6" s="17">
        <v>46084</v>
      </c>
      <c r="AZ6" s="17">
        <v>46078</v>
      </c>
      <c r="BA6" s="17">
        <v>46063</v>
      </c>
      <c r="BB6" s="17">
        <v>46056</v>
      </c>
      <c r="BC6" s="17">
        <v>46049</v>
      </c>
      <c r="BD6" s="17">
        <v>46049</v>
      </c>
      <c r="BE6" s="17">
        <v>46044</v>
      </c>
      <c r="BF6" s="17">
        <v>46041</v>
      </c>
      <c r="BG6" s="17">
        <v>46041</v>
      </c>
      <c r="BH6" s="17">
        <v>46041</v>
      </c>
      <c r="BI6" s="17">
        <v>46014</v>
      </c>
      <c r="BJ6" s="17">
        <v>46010</v>
      </c>
      <c r="BK6" s="17">
        <v>46009</v>
      </c>
      <c r="BL6" s="17">
        <v>46001</v>
      </c>
      <c r="BM6" s="17">
        <v>46000</v>
      </c>
      <c r="BN6" s="17">
        <v>45993</v>
      </c>
      <c r="BO6" s="17">
        <v>45992</v>
      </c>
    </row>
    <row r="7" spans="1:67" s="3" customFormat="1" ht="21.75" customHeight="1" x14ac:dyDescent="0.3">
      <c r="A7" s="20" t="s">
        <v>426</v>
      </c>
      <c r="B7" s="4"/>
      <c r="C7" s="5"/>
      <c r="D7" s="233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1"/>
      <c r="AI7" s="84"/>
      <c r="AJ7" s="84"/>
      <c r="AK7" s="11"/>
      <c r="AL7" s="111"/>
      <c r="AM7" s="114"/>
      <c r="AN7" s="114"/>
      <c r="AO7" s="114"/>
      <c r="AP7" s="114"/>
      <c r="AQ7" s="114"/>
      <c r="AR7" s="114"/>
      <c r="AS7" s="114"/>
      <c r="AT7" s="114" t="s">
        <v>131</v>
      </c>
      <c r="AU7" s="114"/>
      <c r="AV7" s="114"/>
      <c r="AW7" s="114" t="s">
        <v>131</v>
      </c>
      <c r="AX7" s="114" t="s">
        <v>131</v>
      </c>
      <c r="AY7" s="114"/>
      <c r="AZ7" s="114"/>
      <c r="BA7" s="114"/>
      <c r="BB7" s="114"/>
      <c r="BC7" s="114"/>
      <c r="BD7" s="114"/>
      <c r="BE7" s="114"/>
      <c r="BF7" s="114"/>
      <c r="BG7" s="114"/>
      <c r="BH7" s="114"/>
      <c r="BI7" s="114"/>
      <c r="BJ7" s="114"/>
      <c r="BK7" s="114"/>
      <c r="BL7" s="114"/>
      <c r="BM7" s="114"/>
      <c r="BN7" s="114"/>
      <c r="BO7" s="114"/>
    </row>
    <row r="8" spans="1:67" s="3" customFormat="1" ht="18.75" x14ac:dyDescent="0.3">
      <c r="A8" s="21" t="s">
        <v>132</v>
      </c>
      <c r="B8" s="6">
        <v>300</v>
      </c>
      <c r="C8" s="82">
        <v>178.21</v>
      </c>
      <c r="D8" s="234">
        <v>1800</v>
      </c>
      <c r="E8" s="11"/>
      <c r="F8" s="39">
        <f>1200+BE8</f>
        <v>1200</v>
      </c>
      <c r="G8" s="39">
        <f>900+BE8</f>
        <v>900</v>
      </c>
      <c r="H8" s="39">
        <v>900</v>
      </c>
      <c r="I8" s="39">
        <v>600</v>
      </c>
      <c r="J8" s="39">
        <v>300</v>
      </c>
      <c r="K8" s="39">
        <f>0+BD8</f>
        <v>0</v>
      </c>
      <c r="L8" s="39">
        <f>600+AY8</f>
        <v>600</v>
      </c>
      <c r="M8" s="39">
        <f>600+AX8</f>
        <v>600</v>
      </c>
      <c r="N8" s="39">
        <f>600+AW8</f>
        <v>600</v>
      </c>
      <c r="O8" s="39">
        <v>1200</v>
      </c>
      <c r="P8" s="39">
        <v>1200</v>
      </c>
      <c r="Q8" s="39">
        <v>600</v>
      </c>
      <c r="R8" s="39">
        <f>0+AR8</f>
        <v>600</v>
      </c>
      <c r="S8" s="39">
        <v>900</v>
      </c>
      <c r="T8" s="39">
        <f>600+AO8</f>
        <v>600</v>
      </c>
      <c r="U8" s="39">
        <f>600+AN8</f>
        <v>600</v>
      </c>
      <c r="V8" s="39">
        <v>600</v>
      </c>
      <c r="W8" s="39">
        <v>900</v>
      </c>
      <c r="X8" s="39">
        <v>900</v>
      </c>
      <c r="Y8" s="39">
        <v>0</v>
      </c>
      <c r="Z8" s="39">
        <f>0+AL8</f>
        <v>600</v>
      </c>
      <c r="AA8" s="39">
        <v>600</v>
      </c>
      <c r="AB8" s="39"/>
      <c r="AC8" s="6"/>
      <c r="AD8" s="6"/>
      <c r="AE8" s="6"/>
      <c r="AF8" s="6"/>
      <c r="AG8" s="372">
        <f t="shared" ref="AG8:AG13" ca="1" si="0">AE8+IF(NOT(ISBLANK(OFFSET(AG8,0,6))),N(OFFSET(AG8,0,6)),N(OFFSET(AG8,0,7)))-AF8</f>
        <v>0</v>
      </c>
      <c r="AH8" s="11"/>
      <c r="AI8" s="78"/>
      <c r="AJ8" s="78"/>
      <c r="AK8" s="11"/>
      <c r="AL8" s="32">
        <v>600</v>
      </c>
      <c r="AM8" s="445">
        <v>0</v>
      </c>
      <c r="AN8" s="19">
        <v>0</v>
      </c>
      <c r="AO8" s="19"/>
      <c r="AP8" s="19">
        <v>1200</v>
      </c>
      <c r="AQ8" s="19">
        <v>600</v>
      </c>
      <c r="AR8" s="19">
        <v>600</v>
      </c>
      <c r="AS8" s="19">
        <v>300</v>
      </c>
      <c r="AT8" s="19"/>
      <c r="AU8" s="19"/>
      <c r="AV8" s="19">
        <v>1200</v>
      </c>
      <c r="AW8" s="19"/>
      <c r="AX8" s="19"/>
      <c r="AY8" s="19"/>
      <c r="AZ8" s="19"/>
      <c r="BA8" s="19">
        <v>900</v>
      </c>
      <c r="BB8" s="19">
        <v>600</v>
      </c>
      <c r="BC8" s="19">
        <v>600</v>
      </c>
      <c r="BD8" s="19"/>
      <c r="BE8" s="19"/>
      <c r="BF8" s="19"/>
      <c r="BG8" s="19"/>
      <c r="BH8" s="19">
        <v>1200</v>
      </c>
      <c r="BI8" s="19">
        <v>900</v>
      </c>
      <c r="BJ8" s="19"/>
      <c r="BK8" s="19">
        <v>600</v>
      </c>
      <c r="BL8" s="19"/>
      <c r="BM8" s="19"/>
      <c r="BN8" s="19">
        <v>1500</v>
      </c>
      <c r="BO8" s="19">
        <v>1200</v>
      </c>
    </row>
    <row r="9" spans="1:67" s="3" customFormat="1" ht="18.75" x14ac:dyDescent="0.3">
      <c r="A9" s="21" t="s">
        <v>134</v>
      </c>
      <c r="B9" s="6">
        <v>200</v>
      </c>
      <c r="C9" s="82">
        <v>183.89</v>
      </c>
      <c r="D9" s="234">
        <v>2600</v>
      </c>
      <c r="E9" s="11"/>
      <c r="F9" s="122">
        <f>3200+BE9</f>
        <v>3200</v>
      </c>
      <c r="G9" s="122">
        <f>2200+BE9</f>
        <v>2200</v>
      </c>
      <c r="H9" s="122">
        <v>2600</v>
      </c>
      <c r="I9" s="122">
        <v>2400</v>
      </c>
      <c r="J9" s="122">
        <v>1000</v>
      </c>
      <c r="K9" s="122">
        <f>0+BB9+BD9</f>
        <v>1000</v>
      </c>
      <c r="L9" s="122">
        <f>2600+AY9</f>
        <v>4200</v>
      </c>
      <c r="M9" s="122">
        <f>3200+AX9</f>
        <v>3200</v>
      </c>
      <c r="N9" s="122">
        <v>3000</v>
      </c>
      <c r="O9" s="122">
        <v>2000</v>
      </c>
      <c r="P9" s="122">
        <v>1600</v>
      </c>
      <c r="Q9" s="122">
        <f>1400+AU9</f>
        <v>2400</v>
      </c>
      <c r="R9" s="122">
        <f>2000+AR9</f>
        <v>4600</v>
      </c>
      <c r="S9" s="122">
        <f>2000+AQ9</f>
        <v>3200</v>
      </c>
      <c r="T9" s="122">
        <v>2200</v>
      </c>
      <c r="U9" s="122">
        <f>1200+AN9</f>
        <v>1200</v>
      </c>
      <c r="V9" s="122">
        <v>3200</v>
      </c>
      <c r="W9" s="122">
        <v>3200</v>
      </c>
      <c r="X9" s="122">
        <v>3000</v>
      </c>
      <c r="Y9" s="122">
        <v>2800</v>
      </c>
      <c r="Z9" s="122">
        <v>2400</v>
      </c>
      <c r="AA9" s="122">
        <v>1000</v>
      </c>
      <c r="AB9" s="122"/>
      <c r="AC9" s="83"/>
      <c r="AD9" s="83"/>
      <c r="AE9" s="83"/>
      <c r="AF9" s="83"/>
      <c r="AG9" s="372">
        <f t="shared" ca="1" si="0"/>
        <v>0</v>
      </c>
      <c r="AH9" s="11"/>
      <c r="AI9" s="78"/>
      <c r="AJ9" s="78"/>
      <c r="AK9" s="11"/>
      <c r="AL9" s="32">
        <v>1000</v>
      </c>
      <c r="AM9" s="445">
        <v>0</v>
      </c>
      <c r="AN9" s="19">
        <v>0</v>
      </c>
      <c r="AO9" s="19"/>
      <c r="AP9" s="19">
        <v>0</v>
      </c>
      <c r="AQ9" s="19">
        <v>1200</v>
      </c>
      <c r="AR9" s="19">
        <v>2600</v>
      </c>
      <c r="AS9" s="19"/>
      <c r="AT9" s="244">
        <v>3000</v>
      </c>
      <c r="AU9" s="19">
        <v>1000</v>
      </c>
      <c r="AV9" s="19">
        <v>1000</v>
      </c>
      <c r="AW9" s="19"/>
      <c r="AX9" s="19"/>
      <c r="AY9" s="19">
        <v>1600</v>
      </c>
      <c r="AZ9" s="19">
        <v>1000</v>
      </c>
      <c r="BA9" s="19"/>
      <c r="BB9" s="19">
        <v>1000</v>
      </c>
      <c r="BC9" s="19">
        <v>1600</v>
      </c>
      <c r="BD9" s="19"/>
      <c r="BE9" s="19"/>
      <c r="BF9" s="19">
        <v>2600</v>
      </c>
      <c r="BG9" s="19"/>
      <c r="BH9" s="19">
        <v>1000</v>
      </c>
      <c r="BI9" s="19">
        <v>1000</v>
      </c>
      <c r="BJ9" s="19"/>
      <c r="BK9" s="19">
        <v>600</v>
      </c>
      <c r="BL9" s="19">
        <v>1000</v>
      </c>
      <c r="BM9" s="19"/>
      <c r="BN9" s="19">
        <v>1000</v>
      </c>
      <c r="BO9" s="19">
        <v>2000</v>
      </c>
    </row>
    <row r="10" spans="1:67" s="3" customFormat="1" ht="18.75" x14ac:dyDescent="0.3">
      <c r="A10" s="21" t="s">
        <v>137</v>
      </c>
      <c r="B10" s="6">
        <v>200</v>
      </c>
      <c r="C10" s="82">
        <v>241.74</v>
      </c>
      <c r="D10" s="234">
        <v>800</v>
      </c>
      <c r="E10" s="11"/>
      <c r="F10" s="122">
        <f>1400+BE10</f>
        <v>1400</v>
      </c>
      <c r="G10" s="122">
        <f>1000+BE10</f>
        <v>1000</v>
      </c>
      <c r="H10" s="122">
        <v>1400</v>
      </c>
      <c r="I10" s="122">
        <v>1200</v>
      </c>
      <c r="J10" s="122">
        <v>800</v>
      </c>
      <c r="K10" s="122">
        <f>800+BB10</f>
        <v>800</v>
      </c>
      <c r="L10" s="122">
        <v>1200</v>
      </c>
      <c r="M10" s="122">
        <v>800</v>
      </c>
      <c r="N10" s="122">
        <f>400+AW10</f>
        <v>400</v>
      </c>
      <c r="O10" s="122">
        <v>600</v>
      </c>
      <c r="P10" s="122">
        <v>400</v>
      </c>
      <c r="Q10" s="122">
        <f>400+AU10</f>
        <v>800</v>
      </c>
      <c r="R10" s="122">
        <f>200+AR10</f>
        <v>600</v>
      </c>
      <c r="S10" s="122">
        <f>200+AQ10</f>
        <v>400</v>
      </c>
      <c r="T10" s="122">
        <f>200+AO10</f>
        <v>200</v>
      </c>
      <c r="U10" s="122">
        <f>400+AN10</f>
        <v>400</v>
      </c>
      <c r="V10" s="122">
        <v>800</v>
      </c>
      <c r="W10" s="122">
        <v>600</v>
      </c>
      <c r="X10" s="122">
        <v>600</v>
      </c>
      <c r="Y10" s="122">
        <v>600</v>
      </c>
      <c r="Z10" s="122">
        <v>600</v>
      </c>
      <c r="AA10" s="122">
        <v>200</v>
      </c>
      <c r="AB10" s="122"/>
      <c r="AC10" s="83"/>
      <c r="AD10" s="83"/>
      <c r="AE10" s="83"/>
      <c r="AF10" s="83"/>
      <c r="AG10" s="372">
        <f t="shared" ca="1" si="0"/>
        <v>0</v>
      </c>
      <c r="AH10" s="11"/>
      <c r="AI10" s="78"/>
      <c r="AJ10" s="78"/>
      <c r="AK10" s="11"/>
      <c r="AL10" s="32"/>
      <c r="AM10" s="445">
        <v>0</v>
      </c>
      <c r="AN10" s="19">
        <v>0</v>
      </c>
      <c r="AO10" s="19"/>
      <c r="AP10" s="19">
        <v>0</v>
      </c>
      <c r="AQ10" s="19">
        <v>200</v>
      </c>
      <c r="AR10" s="19">
        <v>400</v>
      </c>
      <c r="AS10" s="19">
        <v>400</v>
      </c>
      <c r="AT10" s="244">
        <v>1400</v>
      </c>
      <c r="AU10" s="19">
        <v>400</v>
      </c>
      <c r="AV10" s="19">
        <v>200</v>
      </c>
      <c r="AW10" s="19"/>
      <c r="AX10" s="293">
        <v>1200</v>
      </c>
      <c r="AY10" s="19">
        <v>200</v>
      </c>
      <c r="AZ10" s="19">
        <v>200</v>
      </c>
      <c r="BA10" s="19">
        <v>400</v>
      </c>
      <c r="BB10" s="19"/>
      <c r="BC10" s="19"/>
      <c r="BD10" s="19"/>
      <c r="BE10" s="19"/>
      <c r="BF10" s="19">
        <v>400</v>
      </c>
      <c r="BG10" s="19"/>
      <c r="BH10" s="19"/>
      <c r="BI10" s="19">
        <v>400</v>
      </c>
      <c r="BJ10" s="19"/>
      <c r="BK10" s="19">
        <v>400</v>
      </c>
      <c r="BL10" s="19">
        <v>800</v>
      </c>
      <c r="BM10" s="19"/>
      <c r="BN10" s="19"/>
      <c r="BO10" s="19">
        <v>800</v>
      </c>
    </row>
    <row r="11" spans="1:67" s="3" customFormat="1" ht="19.5" customHeight="1" x14ac:dyDescent="0.3">
      <c r="A11" s="22" t="s">
        <v>139</v>
      </c>
      <c r="B11" s="6">
        <v>100</v>
      </c>
      <c r="C11" s="82">
        <v>175.78</v>
      </c>
      <c r="D11" s="234">
        <v>1000</v>
      </c>
      <c r="E11" s="11"/>
      <c r="F11" s="39">
        <v>800</v>
      </c>
      <c r="G11" s="39">
        <f>100+BE11</f>
        <v>100</v>
      </c>
      <c r="H11" s="39">
        <v>700</v>
      </c>
      <c r="I11" s="39">
        <v>500</v>
      </c>
      <c r="J11" s="39">
        <v>500</v>
      </c>
      <c r="K11" s="39">
        <f>400+BC11</f>
        <v>400</v>
      </c>
      <c r="L11" s="39">
        <v>800</v>
      </c>
      <c r="M11" s="39">
        <v>700</v>
      </c>
      <c r="N11" s="39">
        <f>700+AW11</f>
        <v>700</v>
      </c>
      <c r="O11" s="39">
        <v>900</v>
      </c>
      <c r="P11" s="39">
        <v>700</v>
      </c>
      <c r="Q11" s="39">
        <f>600+AU11</f>
        <v>600</v>
      </c>
      <c r="R11" s="39">
        <v>1000</v>
      </c>
      <c r="S11" s="39">
        <v>700</v>
      </c>
      <c r="T11" s="39">
        <v>600</v>
      </c>
      <c r="U11" s="39">
        <v>500</v>
      </c>
      <c r="V11" s="39">
        <v>400</v>
      </c>
      <c r="W11" s="39">
        <v>300</v>
      </c>
      <c r="X11" s="39">
        <v>200</v>
      </c>
      <c r="Y11" s="39">
        <v>100</v>
      </c>
      <c r="Z11" s="39">
        <v>100</v>
      </c>
      <c r="AA11" s="39">
        <v>0</v>
      </c>
      <c r="AB11" s="39"/>
      <c r="AC11" s="6"/>
      <c r="AD11" s="6"/>
      <c r="AE11" s="6"/>
      <c r="AF11" s="6"/>
      <c r="AG11" s="372">
        <f t="shared" ca="1" si="0"/>
        <v>0</v>
      </c>
      <c r="AH11" s="11"/>
      <c r="AI11" s="78"/>
      <c r="AJ11" s="78"/>
      <c r="AK11" s="11"/>
      <c r="AL11" s="32">
        <v>300</v>
      </c>
      <c r="AM11" s="445">
        <v>0</v>
      </c>
      <c r="AN11" s="19">
        <v>0</v>
      </c>
      <c r="AO11" s="19"/>
      <c r="AP11" s="19">
        <v>0</v>
      </c>
      <c r="AQ11" s="19">
        <v>200</v>
      </c>
      <c r="AR11" s="19"/>
      <c r="AS11" s="19"/>
      <c r="AT11" s="244">
        <v>500</v>
      </c>
      <c r="AU11" s="19"/>
      <c r="AV11" s="19"/>
      <c r="AW11" s="19"/>
      <c r="AX11" s="19"/>
      <c r="AY11" s="19">
        <v>500</v>
      </c>
      <c r="AZ11" s="19"/>
      <c r="BA11" s="19">
        <v>300</v>
      </c>
      <c r="BB11" s="19"/>
      <c r="BC11" s="19"/>
      <c r="BD11" s="19"/>
      <c r="BE11" s="19"/>
      <c r="BF11" s="19"/>
      <c r="BG11" s="19">
        <v>500</v>
      </c>
      <c r="BH11" s="19"/>
      <c r="BI11" s="19">
        <v>600</v>
      </c>
      <c r="BJ11" s="19"/>
      <c r="BK11" s="19"/>
      <c r="BL11" s="19">
        <v>1000</v>
      </c>
      <c r="BM11" s="19"/>
      <c r="BN11" s="19">
        <v>300</v>
      </c>
      <c r="BO11" s="19"/>
    </row>
    <row r="12" spans="1:67" s="3" customFormat="1" ht="19.5" customHeight="1" x14ac:dyDescent="0.3">
      <c r="A12" s="140" t="s">
        <v>499</v>
      </c>
      <c r="B12" s="141">
        <v>200</v>
      </c>
      <c r="C12" s="142">
        <v>144.12</v>
      </c>
      <c r="D12" s="234">
        <v>0</v>
      </c>
      <c r="E12" s="11"/>
      <c r="F12" s="39">
        <v>200</v>
      </c>
      <c r="G12" s="39">
        <v>200</v>
      </c>
      <c r="H12" s="39">
        <v>0</v>
      </c>
      <c r="I12" s="39">
        <v>0</v>
      </c>
      <c r="J12" s="39">
        <v>0</v>
      </c>
      <c r="K12" s="39">
        <f>0+BD12+BC12</f>
        <v>0</v>
      </c>
      <c r="L12" s="39">
        <v>400</v>
      </c>
      <c r="M12" s="39">
        <f>200+AX12</f>
        <v>200</v>
      </c>
      <c r="N12" s="39">
        <f>600+AW12</f>
        <v>600</v>
      </c>
      <c r="O12" s="39">
        <v>600</v>
      </c>
      <c r="P12" s="39">
        <v>600</v>
      </c>
      <c r="Q12" s="39">
        <v>800</v>
      </c>
      <c r="R12" s="39">
        <v>600</v>
      </c>
      <c r="S12" s="39">
        <v>400</v>
      </c>
      <c r="T12" s="39">
        <f>400+AO12</f>
        <v>400</v>
      </c>
      <c r="U12" s="39">
        <v>600</v>
      </c>
      <c r="V12" s="39">
        <v>400</v>
      </c>
      <c r="W12" s="39">
        <v>400</v>
      </c>
      <c r="X12" s="39">
        <v>400</v>
      </c>
      <c r="Y12" s="39">
        <v>200</v>
      </c>
      <c r="Z12" s="39">
        <f>0+AL12</f>
        <v>0</v>
      </c>
      <c r="AA12" s="39">
        <v>200</v>
      </c>
      <c r="AB12" s="39"/>
      <c r="AC12" s="6"/>
      <c r="AD12" s="6"/>
      <c r="AE12" s="6"/>
      <c r="AF12" s="6"/>
      <c r="AG12" s="372">
        <f t="shared" ca="1" si="0"/>
        <v>0</v>
      </c>
      <c r="AH12" s="11"/>
      <c r="AI12" s="78"/>
      <c r="AJ12" s="359">
        <v>200</v>
      </c>
      <c r="AK12" s="11"/>
      <c r="AL12" s="32"/>
      <c r="AM12" s="445">
        <v>0</v>
      </c>
      <c r="AN12" s="19">
        <v>0</v>
      </c>
      <c r="AO12" s="19"/>
      <c r="AP12" s="19">
        <v>200</v>
      </c>
      <c r="AQ12" s="19">
        <v>0</v>
      </c>
      <c r="AR12" s="19"/>
      <c r="AS12" s="19">
        <v>200</v>
      </c>
      <c r="AT12" s="19"/>
      <c r="AU12" s="19"/>
      <c r="AV12" s="19"/>
      <c r="AW12" s="19"/>
      <c r="AX12" s="19"/>
      <c r="AY12" s="19"/>
      <c r="AZ12" s="19">
        <v>200</v>
      </c>
      <c r="BA12" s="19">
        <v>200</v>
      </c>
      <c r="BB12" s="19">
        <v>400</v>
      </c>
      <c r="BC12" s="19"/>
      <c r="BD12" s="19"/>
      <c r="BE12" s="19"/>
      <c r="BF12" s="19"/>
      <c r="BG12" s="19">
        <v>200</v>
      </c>
      <c r="BH12" s="19">
        <v>400</v>
      </c>
      <c r="BI12" s="19"/>
      <c r="BJ12" s="19"/>
      <c r="BK12" s="19"/>
      <c r="BL12" s="19"/>
      <c r="BM12" s="19"/>
      <c r="BN12" s="19"/>
      <c r="BO12" s="19">
        <v>200</v>
      </c>
    </row>
    <row r="13" spans="1:67" s="3" customFormat="1" ht="19.5" customHeight="1" x14ac:dyDescent="0.3">
      <c r="A13" s="140" t="s">
        <v>500</v>
      </c>
      <c r="B13" s="141">
        <v>100</v>
      </c>
      <c r="C13" s="142">
        <v>115.12</v>
      </c>
      <c r="D13" s="234">
        <v>0</v>
      </c>
      <c r="E13" s="11"/>
      <c r="F13" s="39">
        <f>300+BE13</f>
        <v>300</v>
      </c>
      <c r="G13" s="39">
        <v>400</v>
      </c>
      <c r="H13" s="39">
        <v>100</v>
      </c>
      <c r="I13" s="39">
        <v>100</v>
      </c>
      <c r="J13" s="39">
        <v>100</v>
      </c>
      <c r="K13" s="39">
        <f>100+BD13</f>
        <v>100</v>
      </c>
      <c r="L13" s="39">
        <v>500</v>
      </c>
      <c r="M13" s="39">
        <v>400</v>
      </c>
      <c r="N13" s="39">
        <v>400</v>
      </c>
      <c r="O13" s="39">
        <v>400</v>
      </c>
      <c r="P13" s="39">
        <v>300</v>
      </c>
      <c r="Q13" s="39">
        <f>300+AU13</f>
        <v>300</v>
      </c>
      <c r="R13" s="39">
        <v>500</v>
      </c>
      <c r="S13" s="39">
        <v>400</v>
      </c>
      <c r="T13" s="39">
        <v>400</v>
      </c>
      <c r="U13" s="39">
        <v>400</v>
      </c>
      <c r="V13" s="39">
        <v>400</v>
      </c>
      <c r="W13" s="39">
        <v>300</v>
      </c>
      <c r="X13" s="39">
        <v>300</v>
      </c>
      <c r="Y13" s="39">
        <v>300</v>
      </c>
      <c r="Z13" s="39">
        <v>200</v>
      </c>
      <c r="AA13" s="39">
        <v>200</v>
      </c>
      <c r="AB13" s="39"/>
      <c r="AC13" s="6"/>
      <c r="AD13" s="6"/>
      <c r="AE13" s="6"/>
      <c r="AF13" s="6"/>
      <c r="AG13" s="372">
        <f t="shared" ca="1" si="0"/>
        <v>0</v>
      </c>
      <c r="AH13" s="11"/>
      <c r="AI13" s="359"/>
      <c r="AJ13" s="359"/>
      <c r="AK13" s="11"/>
      <c r="AL13" s="32"/>
      <c r="AM13" s="445">
        <v>0</v>
      </c>
      <c r="AN13" s="19">
        <v>0</v>
      </c>
      <c r="AO13" s="19"/>
      <c r="AP13" s="19">
        <v>0</v>
      </c>
      <c r="AQ13" s="19">
        <v>0</v>
      </c>
      <c r="AR13" s="19"/>
      <c r="AS13" s="19"/>
      <c r="AT13" s="19"/>
      <c r="AU13" s="19"/>
      <c r="AV13" s="19"/>
      <c r="AW13" s="19"/>
      <c r="AX13" s="19"/>
      <c r="AY13" s="19">
        <v>200</v>
      </c>
      <c r="AZ13" s="19"/>
      <c r="BA13" s="19"/>
      <c r="BB13" s="19"/>
      <c r="BC13" s="19"/>
      <c r="BD13" s="19"/>
      <c r="BE13" s="19"/>
      <c r="BF13" s="19"/>
      <c r="BG13" s="19"/>
      <c r="BH13" s="19">
        <v>400</v>
      </c>
      <c r="BI13" s="19"/>
      <c r="BJ13" s="19"/>
      <c r="BK13" s="19">
        <v>200</v>
      </c>
      <c r="BL13" s="19"/>
      <c r="BM13" s="19"/>
      <c r="BN13" s="19"/>
      <c r="BO13" s="19">
        <v>100</v>
      </c>
    </row>
    <row r="14" spans="1:67" ht="15" customHeight="1" x14ac:dyDescent="0.25"/>
    <row r="15" spans="1:67" ht="18.75" x14ac:dyDescent="0.3">
      <c r="A15" s="24" t="s">
        <v>141</v>
      </c>
      <c r="B15" s="12"/>
      <c r="C15" s="65"/>
      <c r="D15" s="65"/>
      <c r="F15" s="13">
        <v>46006</v>
      </c>
      <c r="G15" s="13">
        <v>46013</v>
      </c>
      <c r="H15" s="13">
        <v>46020</v>
      </c>
      <c r="I15" s="13">
        <v>46027</v>
      </c>
      <c r="J15" s="13">
        <v>46034</v>
      </c>
      <c r="K15" s="13">
        <v>46041</v>
      </c>
      <c r="L15" s="13">
        <v>46048</v>
      </c>
      <c r="M15" s="13">
        <v>46055</v>
      </c>
      <c r="N15" s="13">
        <v>46062</v>
      </c>
      <c r="O15" s="13">
        <v>46069</v>
      </c>
      <c r="P15" s="13">
        <v>46076</v>
      </c>
      <c r="Q15" s="13">
        <v>46083</v>
      </c>
      <c r="R15" s="13">
        <v>46090</v>
      </c>
      <c r="S15" s="13">
        <v>46097</v>
      </c>
      <c r="T15" s="13">
        <v>46104</v>
      </c>
      <c r="U15" s="13">
        <v>46111</v>
      </c>
      <c r="V15" s="13">
        <v>46118</v>
      </c>
      <c r="W15" s="13">
        <v>46125</v>
      </c>
      <c r="X15" s="13">
        <v>46132</v>
      </c>
      <c r="Y15" s="13">
        <v>46139</v>
      </c>
      <c r="Z15" s="13">
        <v>46146</v>
      </c>
      <c r="AA15" s="13">
        <v>46154</v>
      </c>
      <c r="AB15" s="13">
        <v>46160</v>
      </c>
      <c r="AC15" s="13">
        <v>46161.48013502315</v>
      </c>
      <c r="AD15" s="13">
        <v>46161.480808761567</v>
      </c>
      <c r="AE15" s="13">
        <v>46161.482965671297</v>
      </c>
      <c r="AF15" s="13">
        <v>46161.483294398713</v>
      </c>
      <c r="AG15" s="149" t="s">
        <v>129</v>
      </c>
      <c r="AI15" s="29" t="s">
        <v>126</v>
      </c>
      <c r="AJ15" s="29" t="s">
        <v>126</v>
      </c>
      <c r="AK15" s="11"/>
      <c r="AL15" s="9" t="s">
        <v>127</v>
      </c>
      <c r="AM15" s="17">
        <v>46161.483293716861</v>
      </c>
      <c r="AN15" s="17">
        <v>46149</v>
      </c>
      <c r="AO15" s="339">
        <v>46150</v>
      </c>
      <c r="AP15" s="17">
        <v>46142</v>
      </c>
      <c r="AQ15" s="17">
        <v>46114</v>
      </c>
      <c r="AR15" s="17">
        <v>46107</v>
      </c>
      <c r="AS15" s="17">
        <v>46099</v>
      </c>
      <c r="AT15" s="294">
        <v>46065</v>
      </c>
      <c r="AU15" s="17">
        <v>46092</v>
      </c>
      <c r="AV15" s="17">
        <v>46084</v>
      </c>
      <c r="AW15" s="294">
        <v>46065</v>
      </c>
      <c r="AX15" s="292">
        <v>46045</v>
      </c>
      <c r="AY15" s="17">
        <v>46077</v>
      </c>
      <c r="AZ15" s="17">
        <v>46071</v>
      </c>
      <c r="BA15" s="17">
        <v>46056</v>
      </c>
      <c r="BB15" s="17">
        <v>46048</v>
      </c>
      <c r="BC15" s="17">
        <v>46043</v>
      </c>
      <c r="BD15" s="17">
        <v>46035</v>
      </c>
      <c r="BE15" s="17">
        <v>46029</v>
      </c>
      <c r="BF15" s="17">
        <v>46035</v>
      </c>
      <c r="BG15" s="17">
        <v>46029</v>
      </c>
      <c r="BH15" s="17">
        <v>46024</v>
      </c>
      <c r="BI15" s="17">
        <v>46007</v>
      </c>
      <c r="BJ15" s="17">
        <v>46001</v>
      </c>
      <c r="BK15" s="17">
        <v>46001</v>
      </c>
      <c r="BL15" s="17">
        <v>45994</v>
      </c>
      <c r="BM15" s="17">
        <v>45986</v>
      </c>
      <c r="BN15" s="17">
        <v>45986</v>
      </c>
      <c r="BO15" s="17">
        <v>45980</v>
      </c>
    </row>
    <row r="16" spans="1:67" ht="18.75" x14ac:dyDescent="0.25">
      <c r="A16" s="25" t="s">
        <v>528</v>
      </c>
      <c r="B16" s="6">
        <v>500</v>
      </c>
      <c r="C16" s="66">
        <v>95.9</v>
      </c>
      <c r="D16" s="234">
        <v>1</v>
      </c>
      <c r="F16" s="6">
        <v>3</v>
      </c>
      <c r="G16" s="6">
        <v>3</v>
      </c>
      <c r="H16" s="6">
        <v>2</v>
      </c>
      <c r="I16" s="6">
        <v>2</v>
      </c>
      <c r="J16" s="6">
        <v>2</v>
      </c>
      <c r="K16" s="6">
        <f>2+BD16</f>
        <v>2</v>
      </c>
      <c r="L16" s="6">
        <v>4</v>
      </c>
      <c r="M16" s="6">
        <v>4</v>
      </c>
      <c r="N16" s="6">
        <v>4</v>
      </c>
      <c r="O16" s="6">
        <v>4</v>
      </c>
      <c r="P16" s="6">
        <v>4</v>
      </c>
      <c r="Q16" s="6">
        <v>4</v>
      </c>
      <c r="R16" s="6">
        <v>4</v>
      </c>
      <c r="S16" s="6">
        <v>4</v>
      </c>
      <c r="T16" s="6">
        <v>4</v>
      </c>
      <c r="U16" s="6">
        <v>3</v>
      </c>
      <c r="V16" s="6">
        <v>3</v>
      </c>
      <c r="W16" s="6">
        <v>3</v>
      </c>
      <c r="X16" s="6">
        <v>3</v>
      </c>
      <c r="Y16" s="6">
        <v>3</v>
      </c>
      <c r="Z16" s="6">
        <f>0+3</f>
        <v>3</v>
      </c>
      <c r="AA16" s="6">
        <f>1+AJ16</f>
        <v>1</v>
      </c>
      <c r="AB16" s="6"/>
      <c r="AC16" s="6"/>
      <c r="AD16" s="6"/>
      <c r="AE16" s="6"/>
      <c r="AF16" s="6"/>
      <c r="AG16" s="372">
        <f ca="1">AE16+IF(NOT(ISBLANK(OFFSET(AG16,0,6))),N(OFFSET(AG16,0,6)),N(OFFSET(AG16,0,7)))-AF16</f>
        <v>0</v>
      </c>
      <c r="AI16" s="134"/>
      <c r="AJ16" s="134"/>
      <c r="AL16" s="32"/>
      <c r="AM16" s="445">
        <v>0</v>
      </c>
      <c r="AN16" s="19">
        <v>5</v>
      </c>
      <c r="AO16" s="253" t="s">
        <v>529</v>
      </c>
      <c r="AP16" s="19">
        <v>0</v>
      </c>
      <c r="AQ16" s="19">
        <v>0</v>
      </c>
      <c r="AR16" s="19"/>
      <c r="AS16" s="19"/>
      <c r="AT16" s="19"/>
      <c r="AU16" s="19"/>
      <c r="AV16" s="19"/>
      <c r="AW16" s="19"/>
      <c r="AX16" s="293">
        <v>200</v>
      </c>
      <c r="AY16" s="19"/>
      <c r="AZ16" s="19"/>
      <c r="BA16" s="19"/>
      <c r="BB16" s="19"/>
      <c r="BC16" s="19"/>
      <c r="BD16" s="19"/>
      <c r="BE16" s="19"/>
      <c r="BF16" s="19"/>
      <c r="BG16" s="19"/>
      <c r="BH16" s="19">
        <v>2</v>
      </c>
      <c r="BI16" s="19"/>
      <c r="BJ16" s="19"/>
      <c r="BK16" s="19"/>
      <c r="BL16" s="19">
        <v>1</v>
      </c>
      <c r="BM16" s="19"/>
      <c r="BN16" s="19"/>
      <c r="BO16" s="19"/>
    </row>
    <row r="17" spans="1:67" ht="18.75" x14ac:dyDescent="0.25">
      <c r="A17" s="25" t="s">
        <v>225</v>
      </c>
      <c r="B17" s="6">
        <v>2000</v>
      </c>
      <c r="C17" s="66">
        <v>53.49</v>
      </c>
      <c r="D17" s="234">
        <v>1</v>
      </c>
      <c r="F17" s="6">
        <v>1</v>
      </c>
      <c r="G17" s="6">
        <v>1</v>
      </c>
      <c r="H17" s="6">
        <v>3</v>
      </c>
      <c r="I17" s="6">
        <v>3</v>
      </c>
      <c r="J17" s="6">
        <v>3</v>
      </c>
      <c r="K17" s="6">
        <v>3</v>
      </c>
      <c r="L17" s="6">
        <v>3</v>
      </c>
      <c r="M17" s="6">
        <v>3</v>
      </c>
      <c r="N17" s="6">
        <v>3</v>
      </c>
      <c r="O17" s="6">
        <v>2</v>
      </c>
      <c r="P17" s="6">
        <v>2</v>
      </c>
      <c r="Q17" s="6">
        <v>1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f>0+AL17+3</f>
        <v>3</v>
      </c>
      <c r="AA17" s="6">
        <v>0</v>
      </c>
      <c r="AB17" s="6"/>
      <c r="AC17" s="6"/>
      <c r="AD17" s="6"/>
      <c r="AE17" s="6"/>
      <c r="AF17" s="6"/>
      <c r="AG17" s="372">
        <f ca="1">AE17+IF(NOT(ISBLANK(OFFSET(AG17,0,6))),N(OFFSET(AG17,0,6)),N(OFFSET(AG17,0,7)))-AF17</f>
        <v>0</v>
      </c>
      <c r="AI17" s="134" t="s">
        <v>530</v>
      </c>
      <c r="AJ17" s="134"/>
      <c r="AL17" s="32"/>
      <c r="AM17" s="445">
        <v>0</v>
      </c>
      <c r="AN17" s="19">
        <v>0</v>
      </c>
      <c r="AO17" s="253" t="s">
        <v>529</v>
      </c>
      <c r="AP17" s="19">
        <v>2</v>
      </c>
      <c r="AQ17" s="19">
        <v>0</v>
      </c>
      <c r="AR17" s="19"/>
      <c r="AS17" s="19"/>
      <c r="AT17" s="19"/>
      <c r="AU17" s="19"/>
      <c r="AV17" s="19"/>
      <c r="AW17" s="19"/>
      <c r="AX17" s="293">
        <v>2</v>
      </c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</row>
    <row r="18" spans="1:67" ht="18.75" x14ac:dyDescent="0.25">
      <c r="A18" s="25" t="s">
        <v>147</v>
      </c>
      <c r="B18" s="6">
        <v>200</v>
      </c>
      <c r="C18" s="66">
        <v>9.93</v>
      </c>
      <c r="D18" s="234">
        <v>2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>
        <v>1</v>
      </c>
      <c r="R18" s="6">
        <v>1</v>
      </c>
      <c r="S18" s="6">
        <v>0</v>
      </c>
      <c r="T18" s="6">
        <v>0</v>
      </c>
      <c r="U18" s="6">
        <v>0</v>
      </c>
      <c r="V18" s="6">
        <v>0</v>
      </c>
      <c r="W18" s="6">
        <v>0</v>
      </c>
      <c r="X18" s="6">
        <v>0</v>
      </c>
      <c r="Y18" s="6">
        <v>0</v>
      </c>
      <c r="Z18" s="6">
        <f>0+AL18</f>
        <v>0</v>
      </c>
      <c r="AA18" s="6">
        <v>1</v>
      </c>
      <c r="AB18" s="6"/>
      <c r="AC18" s="6"/>
      <c r="AD18" s="6"/>
      <c r="AE18" s="6"/>
      <c r="AF18" s="6"/>
      <c r="AG18" s="372">
        <f ca="1">AE18+IF(NOT(ISBLANK(OFFSET(AG18,0,6))),N(OFFSET(AG18,0,6)),N(OFFSET(AG18,0,7)))-AF18</f>
        <v>0</v>
      </c>
      <c r="AI18" s="134" t="s">
        <v>188</v>
      </c>
      <c r="AJ18" s="134"/>
      <c r="AL18" s="32"/>
      <c r="AM18" s="445">
        <v>0</v>
      </c>
      <c r="AN18" s="19">
        <v>0</v>
      </c>
      <c r="AO18" s="19"/>
      <c r="AP18" s="19">
        <v>2</v>
      </c>
      <c r="AQ18" s="19">
        <v>0</v>
      </c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</row>
    <row r="19" spans="1:67" ht="18.75" x14ac:dyDescent="0.25">
      <c r="A19" s="25" t="s">
        <v>148</v>
      </c>
      <c r="B19" s="6">
        <v>3000</v>
      </c>
      <c r="C19" s="66">
        <v>69.37</v>
      </c>
      <c r="D19" s="234">
        <v>1</v>
      </c>
      <c r="F19" s="83">
        <v>5</v>
      </c>
      <c r="G19" s="83">
        <v>5</v>
      </c>
      <c r="H19" s="83">
        <v>5</v>
      </c>
      <c r="I19" s="83">
        <v>5</v>
      </c>
      <c r="J19" s="83">
        <v>5</v>
      </c>
      <c r="K19" s="83">
        <v>4</v>
      </c>
      <c r="L19" s="83">
        <v>4</v>
      </c>
      <c r="M19" s="83">
        <v>4</v>
      </c>
      <c r="N19" s="83">
        <v>4</v>
      </c>
      <c r="O19" s="83">
        <v>4</v>
      </c>
      <c r="P19" s="83">
        <v>4</v>
      </c>
      <c r="Q19" s="83">
        <v>4</v>
      </c>
      <c r="R19" s="83">
        <v>4</v>
      </c>
      <c r="S19" s="83">
        <v>4</v>
      </c>
      <c r="T19" s="83">
        <v>4</v>
      </c>
      <c r="U19" s="83">
        <v>4</v>
      </c>
      <c r="V19" s="83">
        <v>4</v>
      </c>
      <c r="W19" s="83">
        <v>4</v>
      </c>
      <c r="X19" s="83">
        <v>4</v>
      </c>
      <c r="Y19" s="83">
        <v>4</v>
      </c>
      <c r="Z19" s="83">
        <v>4</v>
      </c>
      <c r="AA19" s="83">
        <v>4</v>
      </c>
      <c r="AB19" s="83"/>
      <c r="AC19" s="83"/>
      <c r="AD19" s="83"/>
      <c r="AE19" s="83"/>
      <c r="AF19" s="83"/>
      <c r="AG19" s="372">
        <f ca="1">AE19+IF(NOT(ISBLANK(OFFSET(AG19,0,6))),N(OFFSET(AG19,0,6)),N(OFFSET(AG19,0,7)))-AF19</f>
        <v>0</v>
      </c>
      <c r="AI19" s="134"/>
      <c r="AJ19" s="134"/>
      <c r="AL19" s="32"/>
      <c r="AM19" s="445">
        <v>0</v>
      </c>
      <c r="AN19" s="19">
        <v>0</v>
      </c>
      <c r="AO19" s="19"/>
      <c r="AP19" s="19">
        <v>0</v>
      </c>
      <c r="AQ19" s="19">
        <v>0</v>
      </c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>
        <v>3</v>
      </c>
      <c r="BM19" s="19"/>
      <c r="BN19" s="19"/>
      <c r="BO19" s="19"/>
    </row>
    <row r="20" spans="1:67" s="3" customFormat="1" ht="19.5" customHeight="1" x14ac:dyDescent="0.3">
      <c r="A20" s="129"/>
      <c r="B20" s="130"/>
      <c r="C20" s="67"/>
      <c r="D20" s="67"/>
      <c r="E20" s="11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1"/>
      <c r="AD20" s="1"/>
      <c r="AE20" s="1"/>
      <c r="AF20" s="1"/>
      <c r="AG20" s="2"/>
      <c r="AH20" s="11"/>
      <c r="AI20" s="10"/>
      <c r="AJ20" s="10"/>
      <c r="AK20" s="11"/>
      <c r="AL20" s="33"/>
      <c r="AM20" s="388"/>
      <c r="AN20" s="75"/>
      <c r="AO20" s="75"/>
      <c r="AP20" s="75"/>
      <c r="AQ20" s="75"/>
      <c r="AR20" s="75"/>
      <c r="AS20" s="75"/>
      <c r="AT20" s="75"/>
      <c r="AU20" s="75"/>
      <c r="AV20" s="75"/>
      <c r="AW20" s="75"/>
      <c r="AX20" s="75"/>
      <c r="AY20" s="75"/>
      <c r="AZ20" s="75"/>
      <c r="BA20" s="75"/>
      <c r="BB20" s="75"/>
      <c r="BC20" s="75"/>
      <c r="BD20" s="75"/>
      <c r="BE20" s="75"/>
      <c r="BF20" s="75"/>
      <c r="BG20" s="75"/>
      <c r="BH20" s="75"/>
      <c r="BI20" s="75"/>
      <c r="BJ20" s="75"/>
      <c r="BK20" s="75"/>
      <c r="BL20" s="75"/>
      <c r="BM20" s="75"/>
      <c r="BN20" s="75"/>
      <c r="BO20" s="75"/>
    </row>
    <row r="21" spans="1:67" s="3" customFormat="1" ht="18.75" x14ac:dyDescent="0.3">
      <c r="A21" s="24" t="s">
        <v>531</v>
      </c>
      <c r="B21" s="12" t="s">
        <v>532</v>
      </c>
      <c r="C21" s="12" t="s">
        <v>152</v>
      </c>
      <c r="D21" s="12"/>
      <c r="E21" s="7"/>
      <c r="F21" s="13">
        <v>46006</v>
      </c>
      <c r="G21" s="13">
        <v>46013</v>
      </c>
      <c r="H21" s="13">
        <v>46020</v>
      </c>
      <c r="I21" s="13">
        <v>46027</v>
      </c>
      <c r="J21" s="13">
        <v>46034</v>
      </c>
      <c r="K21" s="13">
        <v>46041</v>
      </c>
      <c r="L21" s="13">
        <v>46048</v>
      </c>
      <c r="M21" s="13">
        <v>46055</v>
      </c>
      <c r="N21" s="13">
        <v>46062</v>
      </c>
      <c r="O21" s="13">
        <v>46069</v>
      </c>
      <c r="P21" s="13">
        <v>46076</v>
      </c>
      <c r="Q21" s="13">
        <v>46083</v>
      </c>
      <c r="R21" s="13">
        <v>46090</v>
      </c>
      <c r="S21" s="13">
        <v>46097</v>
      </c>
      <c r="T21" s="13">
        <v>46104</v>
      </c>
      <c r="U21" s="13">
        <v>46111</v>
      </c>
      <c r="V21" s="13">
        <v>46118</v>
      </c>
      <c r="W21" s="13">
        <v>46125</v>
      </c>
      <c r="X21" s="13">
        <v>46132</v>
      </c>
      <c r="Y21" s="13">
        <v>46139</v>
      </c>
      <c r="Z21" s="13">
        <v>46146</v>
      </c>
      <c r="AA21" s="13">
        <v>46154</v>
      </c>
      <c r="AB21" s="13">
        <v>46160</v>
      </c>
      <c r="AC21" s="13">
        <v>46161.48013502315</v>
      </c>
      <c r="AD21" s="13">
        <v>46161.480808761567</v>
      </c>
      <c r="AE21" s="13">
        <v>46161.482965671297</v>
      </c>
      <c r="AF21" s="13">
        <v>46161.483294398873</v>
      </c>
      <c r="AG21" s="149" t="s">
        <v>129</v>
      </c>
      <c r="AH21" s="11"/>
      <c r="AI21" s="29" t="s">
        <v>126</v>
      </c>
      <c r="AJ21" s="29" t="s">
        <v>126</v>
      </c>
      <c r="AL21" s="9" t="s">
        <v>127</v>
      </c>
      <c r="AM21" s="17">
        <v>46161.483293717232</v>
      </c>
      <c r="AN21" s="17">
        <v>46149</v>
      </c>
      <c r="AO21" s="339">
        <v>46150</v>
      </c>
      <c r="AP21" s="17">
        <v>46142</v>
      </c>
      <c r="AQ21" s="17">
        <v>46114</v>
      </c>
      <c r="AR21" s="17">
        <v>46107</v>
      </c>
      <c r="AS21" s="17">
        <v>46099</v>
      </c>
      <c r="AT21" s="294">
        <v>46065</v>
      </c>
      <c r="AU21" s="17">
        <v>46092</v>
      </c>
      <c r="AV21" s="17">
        <v>46084</v>
      </c>
      <c r="AW21" s="294">
        <v>46065</v>
      </c>
      <c r="AX21" s="292">
        <v>46045</v>
      </c>
      <c r="AY21" s="17">
        <v>46077</v>
      </c>
      <c r="AZ21" s="17">
        <v>46071</v>
      </c>
      <c r="BA21" s="17">
        <v>46056</v>
      </c>
      <c r="BB21" s="17">
        <v>46048</v>
      </c>
      <c r="BC21" s="17">
        <v>46043</v>
      </c>
      <c r="BD21" s="17">
        <v>46035</v>
      </c>
      <c r="BE21" s="17">
        <v>46029</v>
      </c>
      <c r="BF21" s="17">
        <v>46035</v>
      </c>
      <c r="BG21" s="17">
        <v>46029</v>
      </c>
      <c r="BH21" s="17">
        <v>46024</v>
      </c>
      <c r="BI21" s="17">
        <v>46007</v>
      </c>
      <c r="BJ21" s="17">
        <v>46001</v>
      </c>
      <c r="BK21" s="17">
        <v>46001</v>
      </c>
      <c r="BL21" s="17">
        <v>45994</v>
      </c>
      <c r="BM21" s="17">
        <v>45986</v>
      </c>
      <c r="BN21" s="17">
        <v>45986</v>
      </c>
      <c r="BO21" s="17">
        <v>45980</v>
      </c>
    </row>
    <row r="22" spans="1:67" s="3" customFormat="1" ht="20.25" customHeight="1" x14ac:dyDescent="0.3">
      <c r="A22" s="25" t="s">
        <v>533</v>
      </c>
      <c r="B22" s="6">
        <v>280</v>
      </c>
      <c r="C22" s="66">
        <v>158.6</v>
      </c>
      <c r="D22" s="234">
        <v>15</v>
      </c>
      <c r="E22" s="127"/>
      <c r="F22" s="128">
        <v>0</v>
      </c>
      <c r="G22" s="128">
        <v>0</v>
      </c>
      <c r="H22" s="128">
        <v>0</v>
      </c>
      <c r="I22" s="128">
        <v>0</v>
      </c>
      <c r="J22" s="128">
        <v>0</v>
      </c>
      <c r="K22" s="128">
        <v>0</v>
      </c>
      <c r="L22" s="128">
        <v>0</v>
      </c>
      <c r="M22" s="128">
        <v>0</v>
      </c>
      <c r="N22" s="128">
        <v>0</v>
      </c>
      <c r="O22" s="128">
        <v>0</v>
      </c>
      <c r="P22" s="128">
        <v>0</v>
      </c>
      <c r="Q22" s="128">
        <v>0</v>
      </c>
      <c r="R22" s="128">
        <v>0</v>
      </c>
      <c r="S22" s="128">
        <v>0</v>
      </c>
      <c r="T22" s="128">
        <v>0</v>
      </c>
      <c r="U22" s="128">
        <v>0</v>
      </c>
      <c r="V22" s="128"/>
      <c r="W22" s="128"/>
      <c r="X22" s="128"/>
      <c r="Y22" s="128"/>
      <c r="Z22" s="128"/>
      <c r="AA22" s="128">
        <v>0</v>
      </c>
      <c r="AB22" s="128">
        <v>0</v>
      </c>
      <c r="AC22" s="456">
        <v>0</v>
      </c>
      <c r="AD22" s="456">
        <v>0</v>
      </c>
      <c r="AE22" s="456">
        <v>0</v>
      </c>
      <c r="AF22" s="456">
        <v>0</v>
      </c>
      <c r="AG22" s="372">
        <f ca="1">AE22+IF(NOT(ISBLANK(OFFSET(AG22,0,6))),N(OFFSET(AG22,0,6)),N(OFFSET(AG22,0,7)))-AF22</f>
        <v>0</v>
      </c>
      <c r="AH22" s="125"/>
      <c r="AI22" s="78"/>
      <c r="AJ22" s="78"/>
      <c r="AK22" s="126"/>
      <c r="AL22" s="32"/>
      <c r="AM22" s="445">
        <v>0</v>
      </c>
      <c r="AN22" s="19">
        <v>0</v>
      </c>
      <c r="AO22" s="19"/>
      <c r="AP22" s="19">
        <v>0</v>
      </c>
      <c r="AQ22" s="19">
        <v>0</v>
      </c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</row>
    <row r="23" spans="1:67" s="3" customFormat="1" ht="20.25" customHeight="1" x14ac:dyDescent="0.3">
      <c r="A23" s="25" t="s">
        <v>534</v>
      </c>
      <c r="B23" s="6">
        <v>200</v>
      </c>
      <c r="C23" s="66">
        <v>175.35</v>
      </c>
      <c r="D23" s="234">
        <v>15</v>
      </c>
      <c r="E23" s="1"/>
      <c r="F23" s="39">
        <v>0</v>
      </c>
      <c r="G23" s="39">
        <v>0</v>
      </c>
      <c r="H23" s="39">
        <v>0</v>
      </c>
      <c r="I23" s="39">
        <v>0</v>
      </c>
      <c r="J23" s="39">
        <v>0</v>
      </c>
      <c r="K23" s="39">
        <v>0</v>
      </c>
      <c r="L23" s="39">
        <v>0</v>
      </c>
      <c r="M23" s="39">
        <v>0</v>
      </c>
      <c r="N23" s="39">
        <v>0</v>
      </c>
      <c r="O23" s="39">
        <v>0</v>
      </c>
      <c r="P23" s="39">
        <v>0</v>
      </c>
      <c r="Q23" s="39">
        <v>0</v>
      </c>
      <c r="R23" s="39">
        <v>0</v>
      </c>
      <c r="S23" s="39">
        <v>0</v>
      </c>
      <c r="T23" s="39">
        <v>0</v>
      </c>
      <c r="U23" s="39">
        <v>0</v>
      </c>
      <c r="V23" s="39"/>
      <c r="W23" s="39"/>
      <c r="X23" s="39"/>
      <c r="Y23" s="39"/>
      <c r="Z23" s="39"/>
      <c r="AA23" s="39">
        <v>0</v>
      </c>
      <c r="AB23" s="39">
        <v>0</v>
      </c>
      <c r="AC23" s="6">
        <v>0</v>
      </c>
      <c r="AD23" s="6">
        <v>0</v>
      </c>
      <c r="AE23" s="6">
        <v>0</v>
      </c>
      <c r="AF23" s="6">
        <v>0</v>
      </c>
      <c r="AG23" s="372">
        <f ca="1">AE23+IF(NOT(ISBLANK(OFFSET(AG23,0,6))),N(OFFSET(AG23,0,6)),N(OFFSET(AG23,0,7)))-AF23</f>
        <v>0</v>
      </c>
      <c r="AH23" s="125"/>
      <c r="AI23" s="78"/>
      <c r="AJ23" s="78"/>
      <c r="AK23" s="126"/>
      <c r="AL23" s="32"/>
      <c r="AM23" s="445">
        <v>0</v>
      </c>
      <c r="AN23" s="19">
        <v>0</v>
      </c>
      <c r="AO23" s="19"/>
      <c r="AP23" s="19">
        <v>0</v>
      </c>
      <c r="AQ23" s="19">
        <v>0</v>
      </c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</row>
    <row r="24" spans="1:67" s="3" customFormat="1" ht="21.75" customHeight="1" x14ac:dyDescent="0.3">
      <c r="A24" s="25" t="s">
        <v>535</v>
      </c>
      <c r="B24" s="6">
        <v>150</v>
      </c>
      <c r="C24" s="66">
        <v>172.75</v>
      </c>
      <c r="D24" s="234">
        <v>10</v>
      </c>
      <c r="E24" s="1"/>
      <c r="F24" s="39">
        <v>29</v>
      </c>
      <c r="G24" s="39">
        <v>25</v>
      </c>
      <c r="H24" s="39">
        <v>25</v>
      </c>
      <c r="I24" s="39">
        <v>25</v>
      </c>
      <c r="J24" s="39">
        <v>25</v>
      </c>
      <c r="K24" s="39">
        <v>25</v>
      </c>
      <c r="L24" s="39">
        <v>25</v>
      </c>
      <c r="M24" s="39">
        <v>25</v>
      </c>
      <c r="N24" s="39">
        <v>25</v>
      </c>
      <c r="O24" s="39">
        <v>25</v>
      </c>
      <c r="P24" s="39">
        <v>25</v>
      </c>
      <c r="Q24" s="39">
        <v>25</v>
      </c>
      <c r="R24" s="39">
        <v>25</v>
      </c>
      <c r="S24" s="39">
        <v>24</v>
      </c>
      <c r="T24" s="39">
        <v>24</v>
      </c>
      <c r="U24" s="39">
        <v>22</v>
      </c>
      <c r="V24" s="39"/>
      <c r="W24" s="39"/>
      <c r="X24" s="39"/>
      <c r="Y24" s="39"/>
      <c r="Z24" s="39"/>
      <c r="AA24" s="39">
        <v>17</v>
      </c>
      <c r="AB24" s="39">
        <v>9</v>
      </c>
      <c r="AC24" s="6">
        <v>9</v>
      </c>
      <c r="AD24" s="6">
        <v>9</v>
      </c>
      <c r="AE24" s="6">
        <v>9</v>
      </c>
      <c r="AF24" s="6">
        <v>9</v>
      </c>
      <c r="AG24" s="372">
        <f ca="1">AE24+IF(NOT(ISBLANK(OFFSET(AG24,0,6))),N(OFFSET(AG24,0,6)),N(OFFSET(AG24,0,7)))-AF24</f>
        <v>0</v>
      </c>
      <c r="AH24" s="125"/>
      <c r="AI24" s="78" t="s">
        <v>536</v>
      </c>
      <c r="AJ24" s="78"/>
      <c r="AK24" s="126"/>
      <c r="AL24" s="32"/>
      <c r="AM24" s="445">
        <v>0</v>
      </c>
      <c r="AN24" s="19">
        <v>0</v>
      </c>
      <c r="AO24" s="19"/>
      <c r="AP24" s="19">
        <v>0</v>
      </c>
      <c r="AQ24" s="19">
        <v>0</v>
      </c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</row>
    <row r="25" spans="1:67" s="3" customFormat="1" ht="21.75" customHeight="1" x14ac:dyDescent="0.3">
      <c r="A25" s="23"/>
      <c r="B25" s="1"/>
      <c r="C25" s="64"/>
      <c r="D25" s="235"/>
      <c r="E25" s="1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1"/>
      <c r="AD25" s="1"/>
      <c r="AE25" s="1"/>
      <c r="AF25" s="1"/>
      <c r="AH25" s="125"/>
      <c r="AI25" s="10"/>
      <c r="AJ25" s="10"/>
      <c r="AK25" s="126"/>
      <c r="AL25" s="33"/>
      <c r="AM25" s="388"/>
      <c r="AN25" s="75"/>
      <c r="AO25" s="75"/>
      <c r="AP25" s="75"/>
      <c r="AQ25" s="75"/>
      <c r="AR25" s="75"/>
      <c r="AS25" s="75"/>
      <c r="AT25" s="75"/>
      <c r="AU25" s="75"/>
      <c r="AV25" s="75"/>
      <c r="AW25" s="75"/>
      <c r="AX25" s="75"/>
      <c r="AY25" s="75"/>
      <c r="AZ25" s="75"/>
      <c r="BA25" s="75"/>
      <c r="BB25" s="75"/>
      <c r="BC25" s="75"/>
      <c r="BD25" s="75"/>
      <c r="BE25" s="75"/>
      <c r="BF25" s="75"/>
      <c r="BG25" s="75"/>
      <c r="BH25" s="75"/>
      <c r="BI25" s="75"/>
      <c r="BJ25" s="75"/>
      <c r="BK25" s="75"/>
      <c r="BL25" s="75"/>
      <c r="BM25" s="75"/>
      <c r="BN25" s="75"/>
      <c r="BO25" s="75"/>
    </row>
    <row r="26" spans="1:67" s="3" customFormat="1" ht="21.75" customHeight="1" x14ac:dyDescent="0.3">
      <c r="A26" s="24" t="s">
        <v>428</v>
      </c>
      <c r="B26" s="12" t="s">
        <v>151</v>
      </c>
      <c r="C26" s="65" t="s">
        <v>152</v>
      </c>
      <c r="D26" s="12" t="s">
        <v>125</v>
      </c>
      <c r="E26" s="1"/>
      <c r="F26" s="13">
        <v>46006</v>
      </c>
      <c r="G26" s="13">
        <v>46013</v>
      </c>
      <c r="H26" s="13">
        <v>46020</v>
      </c>
      <c r="I26" s="13">
        <v>46027</v>
      </c>
      <c r="J26" s="13">
        <v>46034</v>
      </c>
      <c r="K26" s="13">
        <v>46041</v>
      </c>
      <c r="L26" s="13">
        <v>46048</v>
      </c>
      <c r="M26" s="13">
        <v>46055</v>
      </c>
      <c r="N26" s="13">
        <v>46062</v>
      </c>
      <c r="O26" s="13">
        <v>46069</v>
      </c>
      <c r="P26" s="13">
        <v>46076</v>
      </c>
      <c r="Q26" s="13">
        <v>46083</v>
      </c>
      <c r="R26" s="13">
        <v>46090</v>
      </c>
      <c r="S26" s="13">
        <v>46097</v>
      </c>
      <c r="T26" s="13">
        <v>46104</v>
      </c>
      <c r="U26" s="13">
        <v>46111</v>
      </c>
      <c r="V26" s="13">
        <v>46118</v>
      </c>
      <c r="W26" s="13">
        <v>46125</v>
      </c>
      <c r="X26" s="13">
        <v>46132</v>
      </c>
      <c r="Y26" s="13">
        <v>46139</v>
      </c>
      <c r="Z26" s="13">
        <v>46146</v>
      </c>
      <c r="AA26" s="13">
        <v>46154</v>
      </c>
      <c r="AB26" s="13">
        <v>46160</v>
      </c>
      <c r="AC26" s="13">
        <v>46161.48013502315</v>
      </c>
      <c r="AD26" s="13">
        <v>46161.480808761567</v>
      </c>
      <c r="AE26" s="13">
        <v>46161.482965671297</v>
      </c>
      <c r="AF26" s="13">
        <v>46161.483294399062</v>
      </c>
      <c r="AG26" s="149" t="s">
        <v>129</v>
      </c>
      <c r="AH26" s="125"/>
      <c r="AI26" s="29" t="s">
        <v>126</v>
      </c>
      <c r="AJ26" s="29" t="s">
        <v>126</v>
      </c>
      <c r="AK26" s="126"/>
      <c r="AL26" s="9" t="s">
        <v>127</v>
      </c>
      <c r="AM26" s="17">
        <v>46161.483293717487</v>
      </c>
      <c r="AN26" s="17">
        <v>46149</v>
      </c>
      <c r="AO26" s="339">
        <v>46150</v>
      </c>
      <c r="AP26" s="17">
        <v>46142</v>
      </c>
      <c r="AQ26" s="17">
        <v>46114</v>
      </c>
      <c r="AR26" s="17">
        <v>46107</v>
      </c>
      <c r="AS26" s="17">
        <v>46099</v>
      </c>
      <c r="AT26" s="294">
        <v>46065</v>
      </c>
      <c r="AU26" s="17">
        <v>46092</v>
      </c>
      <c r="AV26" s="17">
        <v>46084</v>
      </c>
      <c r="AW26" s="294">
        <v>46065</v>
      </c>
      <c r="AX26" s="292">
        <v>46045</v>
      </c>
      <c r="AY26" s="17">
        <v>46077</v>
      </c>
      <c r="AZ26" s="17">
        <v>46071</v>
      </c>
      <c r="BA26" s="17">
        <v>46056</v>
      </c>
      <c r="BB26" s="17">
        <v>46048</v>
      </c>
      <c r="BC26" s="17">
        <v>46043</v>
      </c>
      <c r="BD26" s="17">
        <v>46035</v>
      </c>
      <c r="BE26" s="17">
        <v>46029</v>
      </c>
      <c r="BF26" s="17">
        <v>46035</v>
      </c>
      <c r="BG26" s="17">
        <v>46029</v>
      </c>
      <c r="BH26" s="17">
        <v>46024</v>
      </c>
      <c r="BI26" s="17">
        <v>46007</v>
      </c>
      <c r="BJ26" s="17">
        <v>46001</v>
      </c>
      <c r="BK26" s="17">
        <v>46001</v>
      </c>
      <c r="BL26" s="17">
        <v>45994</v>
      </c>
      <c r="BM26" s="17">
        <v>45986</v>
      </c>
      <c r="BN26" s="17">
        <v>45986</v>
      </c>
      <c r="BO26" s="17">
        <v>45980</v>
      </c>
    </row>
    <row r="27" spans="1:67" s="3" customFormat="1" ht="21.75" customHeight="1" x14ac:dyDescent="0.3">
      <c r="A27" s="25" t="s">
        <v>429</v>
      </c>
      <c r="B27" s="6">
        <v>300</v>
      </c>
      <c r="C27" s="66">
        <v>216</v>
      </c>
      <c r="D27" s="234"/>
      <c r="E27" s="1"/>
      <c r="F27" s="128">
        <v>322</v>
      </c>
      <c r="G27" s="128">
        <v>265</v>
      </c>
      <c r="H27" s="128">
        <v>265</v>
      </c>
      <c r="I27" s="128">
        <v>265</v>
      </c>
      <c r="J27" s="128">
        <v>265</v>
      </c>
      <c r="K27" s="128">
        <v>288</v>
      </c>
      <c r="L27" s="128">
        <v>288</v>
      </c>
      <c r="M27" s="128">
        <v>288</v>
      </c>
      <c r="N27" s="128">
        <v>276</v>
      </c>
      <c r="O27" s="128">
        <v>272</v>
      </c>
      <c r="P27" s="128">
        <v>271</v>
      </c>
      <c r="Q27" s="128">
        <v>271</v>
      </c>
      <c r="R27" s="128">
        <v>256</v>
      </c>
      <c r="S27" s="128">
        <v>256</v>
      </c>
      <c r="T27" s="128">
        <v>250</v>
      </c>
      <c r="U27" s="128">
        <v>250</v>
      </c>
      <c r="V27" s="128"/>
      <c r="W27" s="128"/>
      <c r="X27" s="128"/>
      <c r="Y27" s="128"/>
      <c r="Z27" s="128"/>
      <c r="AA27" s="128">
        <v>153</v>
      </c>
      <c r="AB27" s="128">
        <v>153</v>
      </c>
      <c r="AC27" s="456">
        <v>153</v>
      </c>
      <c r="AD27" s="456">
        <v>153</v>
      </c>
      <c r="AE27" s="456">
        <v>153</v>
      </c>
      <c r="AF27" s="456">
        <v>153</v>
      </c>
      <c r="AG27" s="372">
        <f ca="1">AE27+IF(NOT(ISBLANK(OFFSET(AG27,0,6))),N(OFFSET(AG27,0,6)),N(OFFSET(AG27,0,7)))-AF27</f>
        <v>0</v>
      </c>
      <c r="AH27" s="125"/>
      <c r="AI27" s="134"/>
      <c r="AJ27" s="134"/>
      <c r="AK27" s="126"/>
      <c r="AL27" s="32">
        <v>300</v>
      </c>
      <c r="AM27" s="445">
        <v>0</v>
      </c>
      <c r="AN27" s="19">
        <v>0</v>
      </c>
      <c r="AO27" s="19"/>
      <c r="AP27" s="19">
        <v>0</v>
      </c>
      <c r="AQ27" s="19">
        <v>0</v>
      </c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>
        <v>300</v>
      </c>
      <c r="BM27" s="19"/>
      <c r="BN27" s="19"/>
      <c r="BO27" s="19"/>
    </row>
    <row r="28" spans="1:67" s="3" customFormat="1" ht="21.75" customHeight="1" x14ac:dyDescent="0.3">
      <c r="A28" s="25" t="s">
        <v>430</v>
      </c>
      <c r="B28" s="6">
        <v>200</v>
      </c>
      <c r="C28" s="66">
        <v>246.28</v>
      </c>
      <c r="D28" s="234"/>
      <c r="E28" s="1"/>
      <c r="F28" s="39">
        <v>400</v>
      </c>
      <c r="G28" s="39">
        <v>374</v>
      </c>
      <c r="H28" s="39">
        <v>374</v>
      </c>
      <c r="I28" s="39">
        <v>374</v>
      </c>
      <c r="J28" s="39">
        <v>362</v>
      </c>
      <c r="K28" s="39">
        <v>361</v>
      </c>
      <c r="L28" s="39">
        <v>361</v>
      </c>
      <c r="M28" s="39">
        <v>351</v>
      </c>
      <c r="N28" s="39">
        <v>317</v>
      </c>
      <c r="O28" s="39">
        <v>316</v>
      </c>
      <c r="P28" s="39">
        <v>313</v>
      </c>
      <c r="Q28" s="39">
        <v>313</v>
      </c>
      <c r="R28" s="39">
        <v>312</v>
      </c>
      <c r="S28" s="39">
        <v>309</v>
      </c>
      <c r="T28" s="39">
        <v>309</v>
      </c>
      <c r="U28" s="39">
        <v>309</v>
      </c>
      <c r="V28" s="39"/>
      <c r="W28" s="39"/>
      <c r="X28" s="39"/>
      <c r="Y28" s="39"/>
      <c r="Z28" s="39"/>
      <c r="AA28" s="39">
        <v>252</v>
      </c>
      <c r="AB28" s="39">
        <v>252</v>
      </c>
      <c r="AC28" s="6">
        <v>252</v>
      </c>
      <c r="AD28" s="6">
        <v>252</v>
      </c>
      <c r="AE28" s="6">
        <v>252</v>
      </c>
      <c r="AF28" s="6">
        <v>252</v>
      </c>
      <c r="AG28" s="372">
        <f ca="1">AE28+IF(NOT(ISBLANK(OFFSET(AG28,0,6))),N(OFFSET(AG28,0,6)),N(OFFSET(AG28,0,7)))-AF28</f>
        <v>0</v>
      </c>
      <c r="AH28" s="125"/>
      <c r="AI28" s="78" t="s">
        <v>463</v>
      </c>
      <c r="AJ28" s="78"/>
      <c r="AK28" s="126"/>
      <c r="AL28" s="32"/>
      <c r="AM28" s="445">
        <v>0</v>
      </c>
      <c r="AN28" s="19">
        <v>0</v>
      </c>
      <c r="AO28" s="19"/>
      <c r="AP28" s="19">
        <v>0</v>
      </c>
      <c r="AQ28" s="19">
        <v>0</v>
      </c>
      <c r="AR28" s="19"/>
      <c r="AS28" s="19"/>
      <c r="AT28" s="19"/>
      <c r="AU28" s="19"/>
      <c r="AV28" s="19"/>
      <c r="AW28" s="244">
        <v>400</v>
      </c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</row>
    <row r="29" spans="1:67" s="3" customFormat="1" ht="21.75" customHeight="1" x14ac:dyDescent="0.3">
      <c r="A29" s="25" t="s">
        <v>431</v>
      </c>
      <c r="B29" s="6">
        <v>200</v>
      </c>
      <c r="C29" s="66">
        <v>316.91000000000003</v>
      </c>
      <c r="D29" s="234"/>
      <c r="E29" s="1"/>
      <c r="F29" s="39">
        <v>400</v>
      </c>
      <c r="G29" s="39">
        <v>390</v>
      </c>
      <c r="H29" s="39">
        <v>390</v>
      </c>
      <c r="I29" s="39">
        <v>390</v>
      </c>
      <c r="J29" s="39">
        <v>390</v>
      </c>
      <c r="K29" s="39">
        <v>390</v>
      </c>
      <c r="L29" s="39">
        <v>390</v>
      </c>
      <c r="M29" s="39">
        <v>390</v>
      </c>
      <c r="N29" s="39">
        <v>390</v>
      </c>
      <c r="O29" s="39">
        <v>390</v>
      </c>
      <c r="P29" s="39">
        <v>390</v>
      </c>
      <c r="Q29" s="39">
        <v>390</v>
      </c>
      <c r="R29" s="39">
        <v>390</v>
      </c>
      <c r="S29" s="39">
        <v>380</v>
      </c>
      <c r="T29" s="39">
        <v>380</v>
      </c>
      <c r="U29" s="39">
        <v>370</v>
      </c>
      <c r="V29" s="39"/>
      <c r="W29" s="39"/>
      <c r="X29" s="39"/>
      <c r="Y29" s="39"/>
      <c r="Z29" s="39"/>
      <c r="AA29" s="39">
        <v>395</v>
      </c>
      <c r="AB29" s="39">
        <v>395</v>
      </c>
      <c r="AC29" s="6">
        <v>395</v>
      </c>
      <c r="AD29" s="6">
        <v>395</v>
      </c>
      <c r="AE29" s="6">
        <v>395</v>
      </c>
      <c r="AF29" s="6">
        <v>395</v>
      </c>
      <c r="AG29" s="372">
        <f ca="1">AE29+IF(NOT(ISBLANK(OFFSET(AG29,0,6))),N(OFFSET(AG29,0,6)),N(OFFSET(AG29,0,7)))-AF29</f>
        <v>0</v>
      </c>
      <c r="AH29" s="125"/>
      <c r="AI29" s="78" t="s">
        <v>463</v>
      </c>
      <c r="AJ29" s="78"/>
      <c r="AK29" s="126"/>
      <c r="AL29" s="32"/>
      <c r="AM29" s="445">
        <v>0</v>
      </c>
      <c r="AN29" s="19">
        <v>0</v>
      </c>
      <c r="AO29" s="19"/>
      <c r="AP29" s="19">
        <v>0</v>
      </c>
      <c r="AQ29" s="19">
        <v>0</v>
      </c>
      <c r="AR29" s="19"/>
      <c r="AS29" s="19"/>
      <c r="AT29" s="19"/>
      <c r="AU29" s="19"/>
      <c r="AV29" s="19"/>
      <c r="AW29" s="244">
        <v>200</v>
      </c>
      <c r="AX29" s="293">
        <v>600</v>
      </c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</row>
    <row r="30" spans="1:67" s="3" customFormat="1" ht="16.5" customHeight="1" x14ac:dyDescent="0.3">
      <c r="A30" s="23"/>
      <c r="B30" s="1"/>
      <c r="C30" s="64"/>
      <c r="D30" s="64"/>
      <c r="E30" s="11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1"/>
      <c r="AD30" s="1"/>
      <c r="AE30" s="1"/>
      <c r="AF30" s="1"/>
      <c r="AG30" s="2"/>
      <c r="AH30" s="11"/>
      <c r="AI30" s="10"/>
      <c r="AJ30" s="10"/>
      <c r="AK30" s="11"/>
      <c r="AL30" s="33"/>
      <c r="AM30" s="16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</row>
    <row r="31" spans="1:67" s="3" customFormat="1" ht="18.75" x14ac:dyDescent="0.3">
      <c r="A31" s="24" t="s">
        <v>432</v>
      </c>
      <c r="B31" s="12"/>
      <c r="C31" s="65"/>
      <c r="D31" s="65"/>
      <c r="E31" s="7"/>
      <c r="F31" s="13">
        <v>46006</v>
      </c>
      <c r="G31" s="13">
        <v>46013</v>
      </c>
      <c r="H31" s="13">
        <v>46020</v>
      </c>
      <c r="I31" s="13">
        <v>46027</v>
      </c>
      <c r="J31" s="13">
        <v>46034</v>
      </c>
      <c r="K31" s="13">
        <v>46041</v>
      </c>
      <c r="L31" s="13">
        <v>46048</v>
      </c>
      <c r="M31" s="13">
        <v>46055</v>
      </c>
      <c r="N31" s="13">
        <v>46062</v>
      </c>
      <c r="O31" s="13">
        <v>46069</v>
      </c>
      <c r="P31" s="13">
        <v>46076</v>
      </c>
      <c r="Q31" s="13">
        <v>46083</v>
      </c>
      <c r="R31" s="13">
        <v>46090</v>
      </c>
      <c r="S31" s="13">
        <v>46097</v>
      </c>
      <c r="T31" s="13">
        <v>46104</v>
      </c>
      <c r="U31" s="13">
        <v>46111</v>
      </c>
      <c r="V31" s="13">
        <v>46118</v>
      </c>
      <c r="W31" s="13">
        <v>46125</v>
      </c>
      <c r="X31" s="13">
        <v>46132</v>
      </c>
      <c r="Y31" s="13">
        <v>46139</v>
      </c>
      <c r="Z31" s="13">
        <v>46146</v>
      </c>
      <c r="AA31" s="13">
        <v>46154</v>
      </c>
      <c r="AB31" s="13">
        <v>46160</v>
      </c>
      <c r="AC31" s="13">
        <v>46161.48013502315</v>
      </c>
      <c r="AD31" s="13">
        <v>46161.480808761567</v>
      </c>
      <c r="AE31" s="13">
        <v>46161.482965671297</v>
      </c>
      <c r="AF31" s="13">
        <v>46161.483294399273</v>
      </c>
      <c r="AG31" s="35" t="s">
        <v>129</v>
      </c>
      <c r="AH31" s="7"/>
      <c r="AI31" s="29" t="s">
        <v>126</v>
      </c>
      <c r="AJ31" s="29" t="s">
        <v>126</v>
      </c>
      <c r="AK31" s="11"/>
      <c r="AL31" s="9" t="s">
        <v>127</v>
      </c>
      <c r="AM31" s="457">
        <v>46161.483293717742</v>
      </c>
      <c r="AN31" s="17">
        <v>46149</v>
      </c>
      <c r="AO31" s="339">
        <v>46150</v>
      </c>
      <c r="AP31" s="17">
        <v>46142</v>
      </c>
      <c r="AQ31" s="17">
        <v>46114</v>
      </c>
      <c r="AR31" s="17">
        <v>46107</v>
      </c>
      <c r="AS31" s="17">
        <v>46099</v>
      </c>
      <c r="AT31" s="294">
        <v>46065</v>
      </c>
      <c r="AU31" s="17">
        <v>46092</v>
      </c>
      <c r="AV31" s="17">
        <v>46084</v>
      </c>
      <c r="AW31" s="294">
        <v>46065</v>
      </c>
      <c r="AX31" s="292">
        <v>46045</v>
      </c>
      <c r="AY31" s="17">
        <v>46077</v>
      </c>
      <c r="AZ31" s="17">
        <v>46071</v>
      </c>
      <c r="BA31" s="17">
        <v>46056</v>
      </c>
      <c r="BB31" s="17">
        <v>46048</v>
      </c>
      <c r="BC31" s="17">
        <v>46043</v>
      </c>
      <c r="BD31" s="17">
        <v>46035</v>
      </c>
      <c r="BE31" s="17">
        <v>46029</v>
      </c>
      <c r="BF31" s="17">
        <v>46035</v>
      </c>
      <c r="BG31" s="17">
        <v>46029</v>
      </c>
      <c r="BH31" s="17">
        <v>46024</v>
      </c>
      <c r="BI31" s="17">
        <v>46007</v>
      </c>
      <c r="BJ31" s="17">
        <v>46001</v>
      </c>
      <c r="BK31" s="17">
        <v>46001</v>
      </c>
      <c r="BL31" s="17">
        <v>45994</v>
      </c>
      <c r="BM31" s="17">
        <v>45986</v>
      </c>
      <c r="BN31" s="17">
        <v>45986</v>
      </c>
      <c r="BO31" s="17">
        <v>45980</v>
      </c>
    </row>
    <row r="32" spans="1:67" s="3" customFormat="1" ht="18.75" x14ac:dyDescent="0.3">
      <c r="A32" s="25" t="s">
        <v>142</v>
      </c>
      <c r="B32" s="6">
        <v>200</v>
      </c>
      <c r="C32" s="66">
        <v>38</v>
      </c>
      <c r="D32" s="234">
        <v>10</v>
      </c>
      <c r="E32" s="7"/>
      <c r="F32" s="39">
        <v>200</v>
      </c>
      <c r="G32" s="39">
        <v>11</v>
      </c>
      <c r="H32" s="39">
        <v>0</v>
      </c>
      <c r="I32" s="39">
        <v>0</v>
      </c>
      <c r="J32" s="39">
        <v>0</v>
      </c>
      <c r="K32" s="39">
        <v>0</v>
      </c>
      <c r="L32" s="39">
        <v>0</v>
      </c>
      <c r="M32" s="39">
        <v>0</v>
      </c>
      <c r="N32" s="39">
        <v>0</v>
      </c>
      <c r="O32" s="39">
        <v>0</v>
      </c>
      <c r="P32" s="39">
        <v>0</v>
      </c>
      <c r="Q32" s="39">
        <f>0+AU32</f>
        <v>0</v>
      </c>
      <c r="R32" s="39">
        <v>143</v>
      </c>
      <c r="S32" s="39">
        <v>11</v>
      </c>
      <c r="T32" s="39">
        <v>0</v>
      </c>
      <c r="U32" s="39">
        <v>0</v>
      </c>
      <c r="V32" s="39"/>
      <c r="W32" s="39"/>
      <c r="X32" s="39"/>
      <c r="Y32" s="39"/>
      <c r="Z32" s="39"/>
      <c r="AA32" s="39">
        <v>0</v>
      </c>
      <c r="AB32" s="39">
        <v>0</v>
      </c>
      <c r="AC32" s="6">
        <v>0</v>
      </c>
      <c r="AD32" s="6">
        <v>0</v>
      </c>
      <c r="AE32" s="6">
        <v>0</v>
      </c>
      <c r="AF32" s="6">
        <v>0</v>
      </c>
      <c r="AG32" s="372">
        <f ca="1">AE32+IF(NOT(ISBLANK(OFFSET(AG32,0,6))),N(OFFSET(AG32,0,6)),N(OFFSET(AG32,0,7)))-AF32</f>
        <v>0</v>
      </c>
      <c r="AH32" s="7"/>
      <c r="AI32" s="78"/>
      <c r="AJ32" s="78"/>
      <c r="AK32" s="7"/>
      <c r="AL32" s="76">
        <v>200</v>
      </c>
      <c r="AM32" s="112">
        <v>0</v>
      </c>
      <c r="AN32" s="19">
        <v>0</v>
      </c>
      <c r="AO32" s="19"/>
      <c r="AP32" s="19">
        <v>0</v>
      </c>
      <c r="AQ32" s="19">
        <v>0</v>
      </c>
      <c r="AR32" s="19"/>
      <c r="AS32" s="19"/>
      <c r="AT32" s="19"/>
      <c r="AU32" s="19"/>
      <c r="AV32" s="19"/>
      <c r="AW32" s="19"/>
      <c r="AX32" s="19"/>
      <c r="AY32" s="19">
        <v>200</v>
      </c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>
        <v>200</v>
      </c>
      <c r="BM32" s="19"/>
      <c r="BN32" s="19"/>
      <c r="BO32" s="19"/>
    </row>
    <row r="33" spans="1:67" s="3" customFormat="1" ht="18.75" x14ac:dyDescent="0.3">
      <c r="A33" s="25" t="s">
        <v>433</v>
      </c>
      <c r="B33" s="6">
        <v>2500</v>
      </c>
      <c r="C33" s="66">
        <v>66.87</v>
      </c>
      <c r="D33" s="234">
        <v>10</v>
      </c>
      <c r="E33" s="7"/>
      <c r="F33" s="39">
        <v>11</v>
      </c>
      <c r="G33" s="39">
        <v>2</v>
      </c>
      <c r="H33" s="39">
        <v>2</v>
      </c>
      <c r="I33" s="39">
        <v>2</v>
      </c>
      <c r="J33" s="39">
        <v>0</v>
      </c>
      <c r="K33" s="39">
        <v>0</v>
      </c>
      <c r="L33" s="39">
        <v>0</v>
      </c>
      <c r="M33" s="39">
        <v>0</v>
      </c>
      <c r="N33" s="39">
        <v>0</v>
      </c>
      <c r="O33" s="39">
        <v>0</v>
      </c>
      <c r="P33" s="39">
        <v>0</v>
      </c>
      <c r="Q33" s="39">
        <v>0</v>
      </c>
      <c r="R33" s="39">
        <v>0</v>
      </c>
      <c r="S33" s="39">
        <v>0</v>
      </c>
      <c r="T33" s="39">
        <v>0</v>
      </c>
      <c r="U33" s="39">
        <v>0</v>
      </c>
      <c r="V33" s="39"/>
      <c r="W33" s="39"/>
      <c r="X33" s="39"/>
      <c r="Y33" s="39"/>
      <c r="Z33" s="39"/>
      <c r="AA33" s="39">
        <v>0</v>
      </c>
      <c r="AB33" s="39">
        <v>0</v>
      </c>
      <c r="AC33" s="6">
        <v>0</v>
      </c>
      <c r="AD33" s="6">
        <v>0</v>
      </c>
      <c r="AE33" s="6">
        <v>0</v>
      </c>
      <c r="AF33" s="6">
        <v>0</v>
      </c>
      <c r="AG33" s="372">
        <f ca="1">AE33+IF(NOT(ISBLANK(OFFSET(AG33,0,6))),N(OFFSET(AG33,0,6)),N(OFFSET(AG33,0,7)))-AF33</f>
        <v>0</v>
      </c>
      <c r="AH33" s="7"/>
      <c r="AI33" s="78"/>
      <c r="AJ33" s="78"/>
      <c r="AK33" s="7"/>
      <c r="AL33" s="76">
        <v>1</v>
      </c>
      <c r="AM33" s="112">
        <v>0</v>
      </c>
      <c r="AN33" s="19">
        <v>0</v>
      </c>
      <c r="AO33" s="19"/>
      <c r="AP33" s="19">
        <v>0</v>
      </c>
      <c r="AQ33" s="19">
        <v>0</v>
      </c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</row>
    <row r="34" spans="1:67" s="3" customFormat="1" ht="18.75" x14ac:dyDescent="0.25">
      <c r="A34" s="25" t="s">
        <v>434</v>
      </c>
      <c r="B34" s="6">
        <v>1050</v>
      </c>
      <c r="C34" s="66">
        <v>52.14</v>
      </c>
      <c r="D34" s="234">
        <v>10</v>
      </c>
      <c r="E34" s="1"/>
      <c r="F34" s="39">
        <v>7</v>
      </c>
      <c r="G34" s="39">
        <v>7</v>
      </c>
      <c r="H34" s="39">
        <v>7</v>
      </c>
      <c r="I34" s="39">
        <v>7</v>
      </c>
      <c r="J34" s="39">
        <v>7</v>
      </c>
      <c r="K34" s="39">
        <v>7</v>
      </c>
      <c r="L34" s="39">
        <v>7</v>
      </c>
      <c r="M34" s="39">
        <v>7</v>
      </c>
      <c r="N34" s="39">
        <v>6</v>
      </c>
      <c r="O34" s="39">
        <v>6</v>
      </c>
      <c r="P34" s="39">
        <v>6</v>
      </c>
      <c r="Q34" s="39">
        <v>6</v>
      </c>
      <c r="R34" s="39">
        <v>6</v>
      </c>
      <c r="S34" s="39">
        <v>4</v>
      </c>
      <c r="T34" s="39">
        <v>2</v>
      </c>
      <c r="U34" s="39">
        <v>2</v>
      </c>
      <c r="V34" s="39"/>
      <c r="W34" s="39"/>
      <c r="X34" s="39"/>
      <c r="Y34" s="39"/>
      <c r="Z34" s="39"/>
      <c r="AA34" s="39">
        <v>1</v>
      </c>
      <c r="AB34" s="39">
        <v>1</v>
      </c>
      <c r="AC34" s="6">
        <v>1</v>
      </c>
      <c r="AD34" s="6">
        <v>1</v>
      </c>
      <c r="AE34" s="6">
        <v>1</v>
      </c>
      <c r="AF34" s="6">
        <v>1</v>
      </c>
      <c r="AG34" s="372">
        <f ca="1">AE34+IF(NOT(ISBLANK(OFFSET(AG34,0,6))),N(OFFSET(AG34,0,6)),N(OFFSET(AG34,0,7)))-AF34</f>
        <v>0</v>
      </c>
      <c r="AH34" s="1"/>
      <c r="AI34" s="78"/>
      <c r="AJ34" s="78"/>
      <c r="AK34" s="1"/>
      <c r="AL34" s="76">
        <v>1</v>
      </c>
      <c r="AM34" s="445">
        <v>0</v>
      </c>
      <c r="AN34" s="19">
        <v>0</v>
      </c>
      <c r="AO34" s="19"/>
      <c r="AP34" s="19">
        <v>0</v>
      </c>
      <c r="AQ34" s="19">
        <v>0</v>
      </c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</row>
    <row r="35" spans="1:67" s="3" customFormat="1" ht="17.25" customHeight="1" x14ac:dyDescent="0.25">
      <c r="A35" s="23"/>
      <c r="B35" s="1"/>
      <c r="C35" s="64"/>
      <c r="D35" s="64"/>
      <c r="E35" s="1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1"/>
      <c r="AD35" s="1"/>
      <c r="AE35" s="1"/>
      <c r="AF35" s="1"/>
      <c r="AH35" s="1"/>
      <c r="AI35" s="10"/>
      <c r="AJ35" s="10"/>
      <c r="AK35" s="1"/>
      <c r="AL35" s="205"/>
      <c r="AM35" s="388"/>
      <c r="AN35" s="75"/>
      <c r="AO35" s="75"/>
      <c r="AP35" s="75"/>
      <c r="AQ35" s="75"/>
      <c r="AR35" s="75"/>
      <c r="AS35" s="75"/>
      <c r="AT35" s="75"/>
      <c r="AU35" s="75"/>
      <c r="AV35" s="75"/>
      <c r="AW35" s="75"/>
      <c r="AX35" s="75"/>
      <c r="AY35" s="75"/>
      <c r="AZ35" s="75"/>
      <c r="BA35" s="75"/>
      <c r="BB35" s="75"/>
      <c r="BC35" s="75"/>
      <c r="BD35" s="75"/>
      <c r="BE35" s="75"/>
      <c r="BF35" s="75"/>
      <c r="BG35" s="75"/>
      <c r="BH35" s="75"/>
      <c r="BI35" s="75"/>
      <c r="BJ35" s="75"/>
      <c r="BK35" s="75"/>
      <c r="BL35" s="75"/>
      <c r="BM35" s="75"/>
      <c r="BN35" s="75"/>
      <c r="BO35" s="75"/>
    </row>
    <row r="36" spans="1:67" s="3" customFormat="1" ht="18.75" x14ac:dyDescent="0.3">
      <c r="A36" s="24" t="s">
        <v>435</v>
      </c>
      <c r="B36" s="12"/>
      <c r="C36" s="65"/>
      <c r="D36" s="65"/>
      <c r="E36" s="1"/>
      <c r="F36" s="13">
        <v>46006</v>
      </c>
      <c r="G36" s="13">
        <v>46013</v>
      </c>
      <c r="H36" s="13">
        <v>46020</v>
      </c>
      <c r="I36" s="13">
        <v>46027</v>
      </c>
      <c r="J36" s="13">
        <v>46034</v>
      </c>
      <c r="K36" s="13">
        <v>46041</v>
      </c>
      <c r="L36" s="13">
        <v>46048</v>
      </c>
      <c r="M36" s="13">
        <v>46055</v>
      </c>
      <c r="N36" s="13">
        <v>46062</v>
      </c>
      <c r="O36" s="13">
        <v>46069</v>
      </c>
      <c r="P36" s="13">
        <v>46076</v>
      </c>
      <c r="Q36" s="13">
        <v>46083</v>
      </c>
      <c r="R36" s="13">
        <v>46090</v>
      </c>
      <c r="S36" s="13">
        <v>46097</v>
      </c>
      <c r="T36" s="13">
        <v>46104</v>
      </c>
      <c r="U36" s="13">
        <v>46111</v>
      </c>
      <c r="V36" s="13">
        <v>46118</v>
      </c>
      <c r="W36" s="13">
        <v>46125</v>
      </c>
      <c r="X36" s="13">
        <v>46132</v>
      </c>
      <c r="Y36" s="13">
        <v>46139</v>
      </c>
      <c r="Z36" s="13">
        <v>46146</v>
      </c>
      <c r="AA36" s="13">
        <v>46154</v>
      </c>
      <c r="AB36" s="13">
        <v>46160</v>
      </c>
      <c r="AC36" s="13">
        <v>46161.48013502315</v>
      </c>
      <c r="AD36" s="13">
        <v>46161.480808761567</v>
      </c>
      <c r="AE36" s="13">
        <v>46161.482965671297</v>
      </c>
      <c r="AF36" s="13">
        <v>46161.483294399433</v>
      </c>
      <c r="AG36" s="35" t="s">
        <v>129</v>
      </c>
      <c r="AH36" s="11"/>
      <c r="AI36" s="29" t="s">
        <v>126</v>
      </c>
      <c r="AJ36" s="29" t="s">
        <v>126</v>
      </c>
      <c r="AK36" s="11"/>
      <c r="AL36" s="9" t="s">
        <v>127</v>
      </c>
      <c r="AM36" s="17">
        <v>46161.483293718004</v>
      </c>
      <c r="AN36" s="17">
        <v>46149</v>
      </c>
      <c r="AO36" s="339">
        <v>46150</v>
      </c>
      <c r="AP36" s="17">
        <v>46142</v>
      </c>
      <c r="AQ36" s="17">
        <v>46114</v>
      </c>
      <c r="AR36" s="17">
        <v>46107</v>
      </c>
      <c r="AS36" s="17">
        <v>46099</v>
      </c>
      <c r="AT36" s="294">
        <v>46065</v>
      </c>
      <c r="AU36" s="17">
        <v>46092</v>
      </c>
      <c r="AV36" s="17">
        <v>46084</v>
      </c>
      <c r="AW36" s="294">
        <v>46065</v>
      </c>
      <c r="AX36" s="292">
        <v>46045</v>
      </c>
      <c r="AY36" s="17">
        <v>46077</v>
      </c>
      <c r="AZ36" s="17">
        <v>46071</v>
      </c>
      <c r="BA36" s="17">
        <v>46056</v>
      </c>
      <c r="BB36" s="17">
        <v>46048</v>
      </c>
      <c r="BC36" s="17">
        <v>46043</v>
      </c>
      <c r="BD36" s="17">
        <v>46035</v>
      </c>
      <c r="BE36" s="17">
        <v>46029</v>
      </c>
      <c r="BF36" s="17">
        <v>46035</v>
      </c>
      <c r="BG36" s="17">
        <v>46029</v>
      </c>
      <c r="BH36" s="17">
        <v>46024</v>
      </c>
      <c r="BI36" s="17">
        <v>46007</v>
      </c>
      <c r="BJ36" s="17">
        <v>46001</v>
      </c>
      <c r="BK36" s="17">
        <v>46001</v>
      </c>
      <c r="BL36" s="17">
        <v>45994</v>
      </c>
      <c r="BM36" s="17">
        <v>45986</v>
      </c>
      <c r="BN36" s="17">
        <v>45986</v>
      </c>
      <c r="BO36" s="17">
        <v>45980</v>
      </c>
    </row>
    <row r="37" spans="1:67" s="3" customFormat="1" ht="18.75" x14ac:dyDescent="0.3">
      <c r="A37" s="25" t="s">
        <v>436</v>
      </c>
      <c r="B37" s="135">
        <v>75</v>
      </c>
      <c r="C37" s="81">
        <v>225.67</v>
      </c>
      <c r="D37" s="234">
        <v>15</v>
      </c>
      <c r="E37" s="1"/>
      <c r="F37" s="39">
        <v>10</v>
      </c>
      <c r="G37" s="39">
        <v>8</v>
      </c>
      <c r="H37" s="39">
        <v>8</v>
      </c>
      <c r="I37" s="39">
        <v>8</v>
      </c>
      <c r="J37" s="39">
        <v>8</v>
      </c>
      <c r="K37" s="39">
        <v>8</v>
      </c>
      <c r="L37" s="39">
        <v>7</v>
      </c>
      <c r="M37" s="39">
        <v>5</v>
      </c>
      <c r="N37" s="39">
        <v>3</v>
      </c>
      <c r="O37" s="39">
        <v>3</v>
      </c>
      <c r="P37" s="39">
        <v>0</v>
      </c>
      <c r="Q37" s="39">
        <v>0</v>
      </c>
      <c r="R37" s="39">
        <v>0</v>
      </c>
      <c r="S37" s="39">
        <v>0</v>
      </c>
      <c r="T37" s="39">
        <v>0</v>
      </c>
      <c r="U37" s="39">
        <v>0</v>
      </c>
      <c r="V37" s="39"/>
      <c r="W37" s="39"/>
      <c r="X37" s="39"/>
      <c r="Y37" s="39"/>
      <c r="Z37" s="39"/>
      <c r="AA37" s="39">
        <v>0</v>
      </c>
      <c r="AB37" s="39">
        <v>0</v>
      </c>
      <c r="AC37" s="6">
        <v>0</v>
      </c>
      <c r="AD37" s="6">
        <v>0</v>
      </c>
      <c r="AE37" s="6">
        <v>0</v>
      </c>
      <c r="AF37" s="6">
        <v>0</v>
      </c>
      <c r="AG37" s="372">
        <f ca="1">AE37+IF(NOT(ISBLANK(OFFSET(AG37,0,6))),N(OFFSET(AG37,0,6)),N(OFFSET(AG37,0,7)))-AF37</f>
        <v>0</v>
      </c>
      <c r="AH37" s="11"/>
      <c r="AI37" s="78" t="s">
        <v>537</v>
      </c>
      <c r="AJ37" s="78"/>
      <c r="AK37" s="1"/>
      <c r="AL37" s="32"/>
      <c r="AM37" s="445">
        <v>0</v>
      </c>
      <c r="AN37" s="19">
        <v>0</v>
      </c>
      <c r="AO37" s="19"/>
      <c r="AP37" s="19">
        <v>0</v>
      </c>
      <c r="AQ37" s="19">
        <v>0</v>
      </c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</row>
    <row r="38" spans="1:67" s="3" customFormat="1" ht="19.5" customHeight="1" x14ac:dyDescent="0.3">
      <c r="A38" s="25" t="s">
        <v>437</v>
      </c>
      <c r="B38" s="135">
        <v>75</v>
      </c>
      <c r="C38" s="66">
        <v>294.58999999999997</v>
      </c>
      <c r="D38" s="234">
        <v>20</v>
      </c>
      <c r="E38" s="1"/>
      <c r="F38" s="39">
        <v>0</v>
      </c>
      <c r="G38" s="39">
        <v>0</v>
      </c>
      <c r="H38" s="39">
        <v>0</v>
      </c>
      <c r="I38" s="39">
        <v>0</v>
      </c>
      <c r="J38" s="39">
        <v>0</v>
      </c>
      <c r="K38" s="39">
        <v>0</v>
      </c>
      <c r="L38" s="39">
        <v>0</v>
      </c>
      <c r="M38" s="39">
        <v>0</v>
      </c>
      <c r="N38" s="39">
        <v>0</v>
      </c>
      <c r="O38" s="39">
        <v>0</v>
      </c>
      <c r="P38" s="39">
        <v>0</v>
      </c>
      <c r="Q38" s="39">
        <f>0+AU38</f>
        <v>0</v>
      </c>
      <c r="R38" s="39">
        <v>93</v>
      </c>
      <c r="S38" s="39">
        <v>90</v>
      </c>
      <c r="T38" s="39">
        <v>85</v>
      </c>
      <c r="U38" s="39">
        <v>82</v>
      </c>
      <c r="V38" s="39"/>
      <c r="W38" s="39"/>
      <c r="X38" s="39"/>
      <c r="Y38" s="39"/>
      <c r="Z38" s="39"/>
      <c r="AA38" s="39">
        <v>76</v>
      </c>
      <c r="AB38" s="39">
        <v>73</v>
      </c>
      <c r="AC38" s="6">
        <v>73</v>
      </c>
      <c r="AD38" s="6">
        <v>73</v>
      </c>
      <c r="AE38" s="6">
        <v>73</v>
      </c>
      <c r="AF38" s="6">
        <v>73</v>
      </c>
      <c r="AG38" s="372">
        <f ca="1">AE38+IF(NOT(ISBLANK(OFFSET(AG38,0,6))),N(OFFSET(AG38,0,6)),N(OFFSET(AG38,0,7)))-AF38</f>
        <v>0</v>
      </c>
      <c r="AH38" s="11"/>
      <c r="AI38" s="78"/>
      <c r="AJ38" s="78"/>
      <c r="AL38" s="32"/>
      <c r="AM38" s="445">
        <v>0</v>
      </c>
      <c r="AN38" s="19">
        <v>0</v>
      </c>
      <c r="AO38" s="19"/>
      <c r="AP38" s="19">
        <v>0</v>
      </c>
      <c r="AQ38" s="19">
        <v>0</v>
      </c>
      <c r="AR38" s="19"/>
      <c r="AS38" s="19"/>
      <c r="AT38" s="19"/>
      <c r="AU38" s="19"/>
      <c r="AV38" s="19"/>
      <c r="AW38" s="19"/>
      <c r="AX38" s="293">
        <v>100</v>
      </c>
      <c r="AY38" s="19">
        <v>100</v>
      </c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</row>
    <row r="39" spans="1:67" ht="18.75" customHeight="1" x14ac:dyDescent="0.25">
      <c r="A39" s="25" t="s">
        <v>438</v>
      </c>
      <c r="B39" s="135">
        <v>50</v>
      </c>
      <c r="C39" s="66">
        <v>346.84</v>
      </c>
      <c r="D39" s="234">
        <v>10</v>
      </c>
      <c r="F39" s="39">
        <v>1</v>
      </c>
      <c r="G39" s="39">
        <v>1</v>
      </c>
      <c r="H39" s="39">
        <v>1</v>
      </c>
      <c r="I39" s="39">
        <v>1</v>
      </c>
      <c r="J39" s="39">
        <v>1</v>
      </c>
      <c r="K39" s="39">
        <v>0</v>
      </c>
      <c r="L39" s="39">
        <v>0</v>
      </c>
      <c r="M39" s="39">
        <v>0</v>
      </c>
      <c r="N39" s="39">
        <v>0</v>
      </c>
      <c r="O39" s="39">
        <v>0</v>
      </c>
      <c r="P39" s="39">
        <v>0</v>
      </c>
      <c r="Q39" s="39">
        <v>0</v>
      </c>
      <c r="R39" s="39">
        <v>0</v>
      </c>
      <c r="S39" s="39">
        <v>0</v>
      </c>
      <c r="T39" s="39">
        <v>0</v>
      </c>
      <c r="U39" s="39">
        <v>0</v>
      </c>
      <c r="V39" s="39"/>
      <c r="W39" s="39"/>
      <c r="X39" s="39"/>
      <c r="Y39" s="39"/>
      <c r="Z39" s="39"/>
      <c r="AA39" s="39">
        <v>0</v>
      </c>
      <c r="AB39" s="39">
        <v>0</v>
      </c>
      <c r="AC39" s="6">
        <v>0</v>
      </c>
      <c r="AD39" s="6">
        <v>0</v>
      </c>
      <c r="AE39" s="6">
        <v>0</v>
      </c>
      <c r="AF39" s="6">
        <v>0</v>
      </c>
      <c r="AG39" s="372">
        <f ca="1">AE39+IF(NOT(ISBLANK(OFFSET(AG39,0,6))),N(OFFSET(AG39,0,6)),N(OFFSET(AG39,0,7)))-AF39</f>
        <v>0</v>
      </c>
      <c r="AI39" s="78"/>
      <c r="AJ39" s="78"/>
      <c r="AK39" s="1"/>
      <c r="AL39" s="32"/>
      <c r="AM39" s="445">
        <v>0</v>
      </c>
      <c r="AN39" s="19">
        <v>0</v>
      </c>
      <c r="AO39" s="19"/>
      <c r="AP39" s="19">
        <v>0</v>
      </c>
      <c r="AQ39" s="19">
        <v>0</v>
      </c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</row>
    <row r="40" spans="1:67" ht="18.75" x14ac:dyDescent="0.25">
      <c r="A40" s="23"/>
      <c r="B40" s="1"/>
      <c r="C40" s="64"/>
      <c r="D40" s="64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1"/>
      <c r="AD40" s="1"/>
      <c r="AE40" s="1"/>
      <c r="AF40" s="1"/>
      <c r="AK40" s="1"/>
      <c r="AL40" s="33"/>
      <c r="AM40" s="388"/>
      <c r="AN40" s="75"/>
      <c r="AO40" s="75"/>
      <c r="AP40" s="75"/>
      <c r="AQ40" s="75"/>
      <c r="AR40" s="75"/>
      <c r="AS40" s="75"/>
      <c r="AT40" s="75"/>
      <c r="AU40" s="75"/>
      <c r="AV40" s="75"/>
      <c r="AW40" s="75"/>
      <c r="AX40" s="75"/>
      <c r="AY40" s="75"/>
      <c r="AZ40" s="75"/>
      <c r="BA40" s="75"/>
      <c r="BB40" s="75"/>
      <c r="BC40" s="75"/>
      <c r="BD40" s="75"/>
      <c r="BE40" s="75"/>
      <c r="BF40" s="75"/>
      <c r="BG40" s="75"/>
      <c r="BH40" s="75"/>
      <c r="BI40" s="75"/>
      <c r="BJ40" s="75"/>
      <c r="BK40" s="75"/>
      <c r="BL40" s="75"/>
      <c r="BM40" s="75"/>
      <c r="BN40" s="75"/>
      <c r="BO40" s="75"/>
    </row>
    <row r="41" spans="1:67" ht="18.75" x14ac:dyDescent="0.3">
      <c r="A41" s="24" t="s">
        <v>439</v>
      </c>
      <c r="B41" s="12" t="s">
        <v>151</v>
      </c>
      <c r="C41" s="12"/>
      <c r="D41" s="12" t="s">
        <v>125</v>
      </c>
      <c r="F41" s="13">
        <v>46006</v>
      </c>
      <c r="G41" s="13">
        <v>46013</v>
      </c>
      <c r="H41" s="13">
        <v>46020</v>
      </c>
      <c r="I41" s="13">
        <v>46027</v>
      </c>
      <c r="J41" s="13">
        <v>46034</v>
      </c>
      <c r="K41" s="13">
        <v>46041</v>
      </c>
      <c r="L41" s="13">
        <v>46048</v>
      </c>
      <c r="M41" s="13">
        <v>46055</v>
      </c>
      <c r="N41" s="13">
        <v>46062</v>
      </c>
      <c r="O41" s="13">
        <v>46069</v>
      </c>
      <c r="P41" s="13">
        <v>46076</v>
      </c>
      <c r="Q41" s="13">
        <v>46083</v>
      </c>
      <c r="R41" s="13">
        <v>46090</v>
      </c>
      <c r="S41" s="13">
        <v>46097</v>
      </c>
      <c r="T41" s="13">
        <v>46104</v>
      </c>
      <c r="U41" s="13">
        <v>46111</v>
      </c>
      <c r="V41" s="13">
        <v>46118</v>
      </c>
      <c r="W41" s="13">
        <v>46125</v>
      </c>
      <c r="X41" s="13">
        <v>46132</v>
      </c>
      <c r="Y41" s="13">
        <v>46139</v>
      </c>
      <c r="Z41" s="13">
        <v>46146</v>
      </c>
      <c r="AA41" s="13">
        <v>46154</v>
      </c>
      <c r="AB41" s="13">
        <v>46160</v>
      </c>
      <c r="AC41" s="13">
        <v>46161.48013502315</v>
      </c>
      <c r="AD41" s="13">
        <v>46161.480808761567</v>
      </c>
      <c r="AE41" s="13">
        <v>46161.482965671297</v>
      </c>
      <c r="AF41" s="13">
        <v>46161.483294399593</v>
      </c>
      <c r="AG41" s="35" t="s">
        <v>129</v>
      </c>
      <c r="AI41" s="29" t="s">
        <v>126</v>
      </c>
      <c r="AJ41" s="29" t="s">
        <v>126</v>
      </c>
      <c r="AK41" s="1"/>
      <c r="AL41" s="9" t="s">
        <v>127</v>
      </c>
      <c r="AM41" s="17">
        <v>46161.483293718236</v>
      </c>
      <c r="AN41" s="17">
        <v>46149</v>
      </c>
      <c r="AO41" s="339">
        <v>46150</v>
      </c>
      <c r="AP41" s="17">
        <v>46142</v>
      </c>
      <c r="AQ41" s="17">
        <v>46114</v>
      </c>
      <c r="AR41" s="17">
        <v>46107</v>
      </c>
      <c r="AS41" s="17">
        <v>46099</v>
      </c>
      <c r="AT41" s="294">
        <v>46065</v>
      </c>
      <c r="AU41" s="17">
        <v>46092</v>
      </c>
      <c r="AV41" s="17">
        <v>46084</v>
      </c>
      <c r="AW41" s="294">
        <v>46065</v>
      </c>
      <c r="AX41" s="292">
        <v>46045</v>
      </c>
      <c r="AY41" s="17">
        <v>46077</v>
      </c>
      <c r="AZ41" s="17">
        <v>46071</v>
      </c>
      <c r="BA41" s="17">
        <v>46056</v>
      </c>
      <c r="BB41" s="17">
        <v>46048</v>
      </c>
      <c r="BC41" s="17">
        <v>46043</v>
      </c>
      <c r="BD41" s="17">
        <v>46035</v>
      </c>
      <c r="BE41" s="17">
        <v>46029</v>
      </c>
      <c r="BF41" s="17">
        <v>46035</v>
      </c>
      <c r="BG41" s="17">
        <v>46029</v>
      </c>
      <c r="BH41" s="17">
        <v>46024</v>
      </c>
      <c r="BI41" s="17">
        <v>46007</v>
      </c>
      <c r="BJ41" s="17">
        <v>46001</v>
      </c>
      <c r="BK41" s="17">
        <v>46001</v>
      </c>
      <c r="BL41" s="17">
        <v>45994</v>
      </c>
      <c r="BM41" s="17">
        <v>45986</v>
      </c>
      <c r="BN41" s="17">
        <v>45986</v>
      </c>
      <c r="BO41" s="17">
        <v>45980</v>
      </c>
    </row>
    <row r="42" spans="1:67" ht="18.75" x14ac:dyDescent="0.3">
      <c r="A42" s="25" t="s">
        <v>440</v>
      </c>
      <c r="B42" s="6">
        <v>25</v>
      </c>
      <c r="C42" s="66">
        <v>41.75</v>
      </c>
      <c r="D42" s="234">
        <v>10</v>
      </c>
      <c r="F42" s="72">
        <v>10</v>
      </c>
      <c r="G42" s="72">
        <v>6</v>
      </c>
      <c r="H42" s="72">
        <v>6</v>
      </c>
      <c r="I42" s="72">
        <v>6</v>
      </c>
      <c r="J42" s="72">
        <v>4</v>
      </c>
      <c r="K42" s="72">
        <v>4</v>
      </c>
      <c r="L42" s="72">
        <v>4</v>
      </c>
      <c r="M42" s="72">
        <v>4</v>
      </c>
      <c r="N42" s="72">
        <v>4</v>
      </c>
      <c r="O42" s="72">
        <v>4</v>
      </c>
      <c r="P42" s="72">
        <v>4</v>
      </c>
      <c r="Q42" s="72">
        <v>4</v>
      </c>
      <c r="R42" s="72">
        <v>4</v>
      </c>
      <c r="S42" s="72">
        <v>4</v>
      </c>
      <c r="T42" s="72">
        <v>3</v>
      </c>
      <c r="U42" s="72">
        <v>3</v>
      </c>
      <c r="V42" s="72"/>
      <c r="W42" s="72"/>
      <c r="X42" s="72"/>
      <c r="Y42" s="72"/>
      <c r="Z42" s="72"/>
      <c r="AA42" s="72">
        <v>0</v>
      </c>
      <c r="AB42" s="72">
        <v>0</v>
      </c>
      <c r="AC42" s="72"/>
      <c r="AD42" s="72"/>
      <c r="AE42" s="72"/>
      <c r="AF42" s="72"/>
      <c r="AG42" s="372">
        <f ca="1">AE42+IF(NOT(ISBLANK(OFFSET(AG42,0,6))),N(OFFSET(AG42,0,6)),N(OFFSET(AG42,0,7)))-AF42</f>
        <v>0</v>
      </c>
      <c r="AI42" s="78"/>
      <c r="AJ42" s="78"/>
      <c r="AK42" s="1"/>
      <c r="AL42" s="32"/>
      <c r="AM42" s="445">
        <v>0</v>
      </c>
      <c r="AN42" s="19">
        <v>0</v>
      </c>
      <c r="AO42" s="19"/>
      <c r="AP42" s="19">
        <v>0</v>
      </c>
      <c r="AQ42" s="19">
        <v>0</v>
      </c>
      <c r="AR42" s="19"/>
      <c r="AS42" s="19"/>
      <c r="AT42" s="19"/>
      <c r="AU42" s="19"/>
      <c r="AV42" s="19"/>
      <c r="AW42" s="19"/>
      <c r="AX42" s="293">
        <v>200</v>
      </c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</row>
    <row r="43" spans="1:67" ht="18.75" x14ac:dyDescent="0.3">
      <c r="A43" s="25" t="s">
        <v>441</v>
      </c>
      <c r="B43" s="6">
        <v>25</v>
      </c>
      <c r="C43" s="66">
        <v>57</v>
      </c>
      <c r="D43" s="234">
        <v>10</v>
      </c>
      <c r="F43" s="72">
        <v>8</v>
      </c>
      <c r="G43" s="72">
        <v>8</v>
      </c>
      <c r="H43" s="72">
        <v>8</v>
      </c>
      <c r="I43" s="72">
        <v>8</v>
      </c>
      <c r="J43" s="72">
        <v>8</v>
      </c>
      <c r="K43" s="72">
        <v>8</v>
      </c>
      <c r="L43" s="72">
        <v>8</v>
      </c>
      <c r="M43" s="72">
        <v>8</v>
      </c>
      <c r="N43" s="72">
        <v>8</v>
      </c>
      <c r="O43" s="72">
        <v>8</v>
      </c>
      <c r="P43" s="72">
        <v>8</v>
      </c>
      <c r="Q43" s="72">
        <v>8</v>
      </c>
      <c r="R43" s="72">
        <v>8</v>
      </c>
      <c r="S43" s="72">
        <v>8</v>
      </c>
      <c r="T43" s="72">
        <v>8</v>
      </c>
      <c r="U43" s="72">
        <v>8</v>
      </c>
      <c r="V43" s="72"/>
      <c r="W43" s="72"/>
      <c r="X43" s="72"/>
      <c r="Y43" s="72"/>
      <c r="Z43" s="72"/>
      <c r="AA43" s="72">
        <v>8</v>
      </c>
      <c r="AB43" s="72">
        <v>8</v>
      </c>
      <c r="AC43" s="72">
        <v>8</v>
      </c>
      <c r="AD43" s="72">
        <v>8</v>
      </c>
      <c r="AE43" s="72">
        <v>8</v>
      </c>
      <c r="AF43" s="72">
        <v>8</v>
      </c>
      <c r="AG43" s="372">
        <f ca="1">AE43+IF(NOT(ISBLANK(OFFSET(AG43,0,6))),N(OFFSET(AG43,0,6)),N(OFFSET(AG43,0,7)))-AF43</f>
        <v>0</v>
      </c>
      <c r="AI43" s="78" t="s">
        <v>538</v>
      </c>
      <c r="AJ43" s="78"/>
      <c r="AK43" s="1"/>
      <c r="AL43" s="32"/>
      <c r="AM43" s="445">
        <v>0</v>
      </c>
      <c r="AN43" s="19">
        <v>0</v>
      </c>
      <c r="AO43" s="19"/>
      <c r="AP43" s="19">
        <v>0</v>
      </c>
      <c r="AQ43" s="19">
        <v>0</v>
      </c>
      <c r="AR43" s="19"/>
      <c r="AS43" s="19"/>
      <c r="AT43" s="19"/>
      <c r="AU43" s="19"/>
      <c r="AV43" s="19"/>
      <c r="AW43" s="244">
        <v>150</v>
      </c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</row>
    <row r="44" spans="1:67" ht="18.75" x14ac:dyDescent="0.25">
      <c r="A44" s="23"/>
      <c r="B44" s="1"/>
      <c r="C44" s="64"/>
      <c r="D44" s="64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1"/>
      <c r="AD44" s="1"/>
      <c r="AE44" s="1"/>
      <c r="AF44" s="1"/>
      <c r="AI44" s="10"/>
      <c r="AJ44" s="10"/>
      <c r="AK44" s="1"/>
      <c r="AL44" s="33"/>
      <c r="AM44" s="388"/>
      <c r="AN44" s="75"/>
      <c r="AO44" s="75"/>
      <c r="AP44" s="75"/>
      <c r="AQ44" s="75"/>
      <c r="AR44" s="75"/>
      <c r="AS44" s="75"/>
      <c r="AT44" s="75"/>
      <c r="AU44" s="75"/>
      <c r="AV44" s="75"/>
      <c r="AW44" s="75"/>
      <c r="AX44" s="75"/>
      <c r="AY44" s="75"/>
      <c r="AZ44" s="75"/>
      <c r="BA44" s="75"/>
      <c r="BB44" s="75"/>
      <c r="BC44" s="75"/>
      <c r="BD44" s="75"/>
      <c r="BE44" s="75"/>
      <c r="BF44" s="75"/>
      <c r="BG44" s="75"/>
      <c r="BH44" s="75"/>
      <c r="BI44" s="75"/>
      <c r="BJ44" s="75"/>
      <c r="BK44" s="75"/>
      <c r="BL44" s="75"/>
      <c r="BM44" s="75"/>
      <c r="BN44" s="75"/>
      <c r="BO44" s="75"/>
    </row>
    <row r="45" spans="1:67" ht="18.75" x14ac:dyDescent="0.3">
      <c r="A45" s="143" t="s">
        <v>442</v>
      </c>
      <c r="B45" s="144"/>
      <c r="C45" s="144"/>
      <c r="D45" s="144"/>
      <c r="E45" s="1"/>
      <c r="F45" s="13">
        <v>46006</v>
      </c>
      <c r="G45" s="13">
        <v>46013</v>
      </c>
      <c r="H45" s="13">
        <v>46020</v>
      </c>
      <c r="I45" s="13">
        <v>46027</v>
      </c>
      <c r="J45" s="13">
        <v>46034</v>
      </c>
      <c r="K45" s="13">
        <v>46041</v>
      </c>
      <c r="L45" s="13">
        <v>46048</v>
      </c>
      <c r="M45" s="13">
        <v>46055</v>
      </c>
      <c r="N45" s="13">
        <v>46062</v>
      </c>
      <c r="O45" s="13">
        <v>46069</v>
      </c>
      <c r="P45" s="13">
        <v>46076</v>
      </c>
      <c r="Q45" s="13">
        <v>46083</v>
      </c>
      <c r="R45" s="13">
        <v>46090</v>
      </c>
      <c r="S45" s="13">
        <v>46097</v>
      </c>
      <c r="T45" s="13">
        <v>46104</v>
      </c>
      <c r="U45" s="13">
        <v>46111</v>
      </c>
      <c r="V45" s="13">
        <v>46118</v>
      </c>
      <c r="W45" s="13">
        <v>46125</v>
      </c>
      <c r="X45" s="13">
        <v>46132</v>
      </c>
      <c r="Y45" s="13">
        <v>46139</v>
      </c>
      <c r="Z45" s="13">
        <v>46146</v>
      </c>
      <c r="AA45" s="13">
        <v>46154</v>
      </c>
      <c r="AB45" s="13">
        <v>46160</v>
      </c>
      <c r="AC45" s="13">
        <v>46161.48013502315</v>
      </c>
      <c r="AD45" s="13">
        <v>46161.480808761567</v>
      </c>
      <c r="AE45" s="13">
        <v>46161.482965671297</v>
      </c>
      <c r="AF45" s="13">
        <v>46161.48329439971</v>
      </c>
      <c r="AG45" s="35" t="s">
        <v>129</v>
      </c>
      <c r="AH45" s="41"/>
      <c r="AI45" s="29" t="s">
        <v>126</v>
      </c>
      <c r="AJ45" s="29" t="s">
        <v>126</v>
      </c>
      <c r="AL45" s="9" t="s">
        <v>127</v>
      </c>
      <c r="AM45" s="17">
        <v>46161.483293718447</v>
      </c>
      <c r="AN45" s="17">
        <v>46149</v>
      </c>
      <c r="AO45" s="339">
        <v>46150</v>
      </c>
      <c r="AP45" s="17">
        <v>46142</v>
      </c>
      <c r="AQ45" s="17">
        <v>46114</v>
      </c>
      <c r="AR45" s="17">
        <v>46107</v>
      </c>
      <c r="AS45" s="17">
        <v>46099</v>
      </c>
      <c r="AT45" s="294">
        <v>46065</v>
      </c>
      <c r="AU45" s="17">
        <v>46092</v>
      </c>
      <c r="AV45" s="17">
        <v>46084</v>
      </c>
      <c r="AW45" s="294">
        <v>46065</v>
      </c>
      <c r="AX45" s="292">
        <v>46045</v>
      </c>
      <c r="AY45" s="17">
        <v>46077</v>
      </c>
      <c r="AZ45" s="17">
        <v>46071</v>
      </c>
      <c r="BA45" s="17">
        <v>46056</v>
      </c>
      <c r="BB45" s="17">
        <v>46048</v>
      </c>
      <c r="BC45" s="17">
        <v>46043</v>
      </c>
      <c r="BD45" s="17">
        <v>46035</v>
      </c>
      <c r="BE45" s="17">
        <v>46029</v>
      </c>
      <c r="BF45" s="17">
        <v>46035</v>
      </c>
      <c r="BG45" s="17">
        <v>46029</v>
      </c>
      <c r="BH45" s="17">
        <v>46024</v>
      </c>
      <c r="BI45" s="17">
        <v>46007</v>
      </c>
      <c r="BJ45" s="17">
        <v>46001</v>
      </c>
      <c r="BK45" s="17">
        <v>46001</v>
      </c>
      <c r="BL45" s="17">
        <v>45994</v>
      </c>
      <c r="BM45" s="17">
        <v>45986</v>
      </c>
      <c r="BN45" s="17">
        <v>45986</v>
      </c>
      <c r="BO45" s="17">
        <v>45980</v>
      </c>
    </row>
    <row r="46" spans="1:67" ht="18.75" x14ac:dyDescent="0.3">
      <c r="A46" s="25" t="s">
        <v>443</v>
      </c>
      <c r="B46" s="72">
        <v>150</v>
      </c>
      <c r="C46" s="77">
        <v>453.38</v>
      </c>
      <c r="D46" s="234">
        <v>10</v>
      </c>
      <c r="E46" s="41"/>
      <c r="F46" s="72">
        <v>0</v>
      </c>
      <c r="G46" s="72">
        <v>0</v>
      </c>
      <c r="H46" s="72">
        <v>0</v>
      </c>
      <c r="I46" s="72">
        <v>0</v>
      </c>
      <c r="J46" s="72">
        <v>0</v>
      </c>
      <c r="K46" s="72">
        <v>0</v>
      </c>
      <c r="L46" s="72">
        <v>0</v>
      </c>
      <c r="M46" s="72">
        <v>0</v>
      </c>
      <c r="N46" s="72">
        <v>0</v>
      </c>
      <c r="O46" s="72">
        <v>0</v>
      </c>
      <c r="P46" s="72">
        <v>0</v>
      </c>
      <c r="Q46" s="72">
        <v>0</v>
      </c>
      <c r="R46" s="72">
        <v>0</v>
      </c>
      <c r="S46" s="72">
        <v>0</v>
      </c>
      <c r="T46" s="72">
        <v>0</v>
      </c>
      <c r="U46" s="72">
        <v>0</v>
      </c>
      <c r="V46" s="72"/>
      <c r="W46" s="72"/>
      <c r="X46" s="72"/>
      <c r="Y46" s="72"/>
      <c r="Z46" s="72"/>
      <c r="AA46" s="72">
        <v>0</v>
      </c>
      <c r="AB46" s="72">
        <v>0</v>
      </c>
      <c r="AC46" s="72">
        <v>0</v>
      </c>
      <c r="AD46" s="72">
        <v>0</v>
      </c>
      <c r="AE46" s="72">
        <v>0</v>
      </c>
      <c r="AF46" s="72">
        <v>0</v>
      </c>
      <c r="AG46" s="372">
        <f t="shared" ref="AG46:AG52" ca="1" si="1">AE46+IF(NOT(ISBLANK(OFFSET(AG46,0,6))),N(OFFSET(AG46,0,6)),N(OFFSET(AG46,0,7)))-AF46</f>
        <v>0</v>
      </c>
      <c r="AH46" s="41"/>
      <c r="AI46" s="78" t="s">
        <v>539</v>
      </c>
      <c r="AJ46" s="134"/>
      <c r="AK46" s="1"/>
      <c r="AL46" s="32"/>
      <c r="AM46" s="445">
        <v>0</v>
      </c>
      <c r="AN46" s="19">
        <v>0</v>
      </c>
      <c r="AO46" s="19"/>
      <c r="AP46" s="19">
        <v>0</v>
      </c>
      <c r="AQ46" s="19">
        <v>0</v>
      </c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</row>
    <row r="47" spans="1:67" ht="18.75" x14ac:dyDescent="0.3">
      <c r="A47" s="25" t="s">
        <v>444</v>
      </c>
      <c r="B47" s="72">
        <v>100</v>
      </c>
      <c r="C47" s="77">
        <v>355.78</v>
      </c>
      <c r="D47" s="234">
        <v>10</v>
      </c>
      <c r="E47" s="41"/>
      <c r="F47" s="72">
        <v>3</v>
      </c>
      <c r="G47" s="72">
        <v>2</v>
      </c>
      <c r="H47" s="72">
        <v>2</v>
      </c>
      <c r="I47" s="72">
        <v>2</v>
      </c>
      <c r="J47" s="72">
        <v>2</v>
      </c>
      <c r="K47" s="72">
        <v>2</v>
      </c>
      <c r="L47" s="72">
        <v>2</v>
      </c>
      <c r="M47" s="72">
        <v>2</v>
      </c>
      <c r="N47" s="72">
        <v>2</v>
      </c>
      <c r="O47" s="72">
        <v>2</v>
      </c>
      <c r="P47" s="72">
        <v>1</v>
      </c>
      <c r="Q47" s="72">
        <v>0</v>
      </c>
      <c r="R47" s="72">
        <v>0</v>
      </c>
      <c r="S47" s="72">
        <v>0</v>
      </c>
      <c r="T47" s="72">
        <v>0</v>
      </c>
      <c r="U47" s="72">
        <v>0</v>
      </c>
      <c r="V47" s="72"/>
      <c r="W47" s="72"/>
      <c r="X47" s="72"/>
      <c r="Y47" s="72"/>
      <c r="Z47" s="72"/>
      <c r="AA47" s="72">
        <v>0</v>
      </c>
      <c r="AB47" s="72">
        <v>0</v>
      </c>
      <c r="AC47" s="72">
        <v>0</v>
      </c>
      <c r="AD47" s="72">
        <v>0</v>
      </c>
      <c r="AE47" s="72">
        <v>0</v>
      </c>
      <c r="AF47" s="72">
        <v>0</v>
      </c>
      <c r="AG47" s="372">
        <f t="shared" ca="1" si="1"/>
        <v>0</v>
      </c>
      <c r="AH47" s="41"/>
      <c r="AI47" s="78"/>
      <c r="AJ47" s="78"/>
      <c r="AK47" s="1"/>
      <c r="AL47" s="32"/>
      <c r="AM47" s="445">
        <v>0</v>
      </c>
      <c r="AN47" s="19">
        <v>0</v>
      </c>
      <c r="AO47" s="19"/>
      <c r="AP47" s="19">
        <v>0</v>
      </c>
      <c r="AQ47" s="19">
        <v>0</v>
      </c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</row>
    <row r="48" spans="1:67" ht="18.75" x14ac:dyDescent="0.3">
      <c r="A48" s="25" t="s">
        <v>445</v>
      </c>
      <c r="B48" s="72">
        <v>50</v>
      </c>
      <c r="C48" s="77">
        <v>249.26</v>
      </c>
      <c r="D48" s="234">
        <v>10</v>
      </c>
      <c r="E48" s="41"/>
      <c r="F48" s="72">
        <v>8</v>
      </c>
      <c r="G48" s="72">
        <v>8</v>
      </c>
      <c r="H48" s="72">
        <v>8</v>
      </c>
      <c r="I48" s="72">
        <v>8</v>
      </c>
      <c r="J48" s="72">
        <v>7</v>
      </c>
      <c r="K48" s="72">
        <v>7</v>
      </c>
      <c r="L48" s="72">
        <v>7</v>
      </c>
      <c r="M48" s="72">
        <v>7</v>
      </c>
      <c r="N48" s="72">
        <v>7</v>
      </c>
      <c r="O48" s="72">
        <v>7</v>
      </c>
      <c r="P48" s="72">
        <v>7</v>
      </c>
      <c r="Q48" s="72">
        <v>7</v>
      </c>
      <c r="R48" s="72">
        <v>7</v>
      </c>
      <c r="S48" s="72">
        <v>7</v>
      </c>
      <c r="T48" s="72">
        <v>2</v>
      </c>
      <c r="U48" s="72">
        <v>2</v>
      </c>
      <c r="V48" s="72"/>
      <c r="W48" s="72"/>
      <c r="X48" s="72"/>
      <c r="Y48" s="72"/>
      <c r="Z48" s="72"/>
      <c r="AA48" s="72">
        <v>0</v>
      </c>
      <c r="AB48" s="72">
        <v>0</v>
      </c>
      <c r="AC48" s="72">
        <v>0</v>
      </c>
      <c r="AD48" s="72">
        <v>0</v>
      </c>
      <c r="AE48" s="72">
        <v>0</v>
      </c>
      <c r="AF48" s="72">
        <v>0</v>
      </c>
      <c r="AG48" s="372">
        <f t="shared" ca="1" si="1"/>
        <v>0</v>
      </c>
      <c r="AH48" s="41"/>
      <c r="AI48" s="134"/>
      <c r="AJ48" s="134"/>
      <c r="AK48" s="3"/>
      <c r="AL48" s="32"/>
      <c r="AM48" s="445">
        <v>0</v>
      </c>
      <c r="AN48" s="19">
        <v>0</v>
      </c>
      <c r="AO48" s="19"/>
      <c r="AP48" s="19">
        <v>0</v>
      </c>
      <c r="AQ48" s="19">
        <v>0</v>
      </c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</row>
    <row r="49" spans="1:67" ht="18.75" x14ac:dyDescent="0.3">
      <c r="A49" s="25" t="s">
        <v>513</v>
      </c>
      <c r="B49" s="6">
        <v>500</v>
      </c>
      <c r="C49" s="66">
        <v>138.53</v>
      </c>
      <c r="D49" s="234">
        <v>1</v>
      </c>
      <c r="E49" s="1"/>
      <c r="F49" s="72">
        <v>2</v>
      </c>
      <c r="G49" s="72">
        <v>2</v>
      </c>
      <c r="H49" s="72">
        <v>2</v>
      </c>
      <c r="I49" s="72">
        <v>2</v>
      </c>
      <c r="J49" s="72">
        <v>2</v>
      </c>
      <c r="K49" s="72">
        <v>2</v>
      </c>
      <c r="L49" s="72">
        <v>2</v>
      </c>
      <c r="M49" s="72">
        <v>2</v>
      </c>
      <c r="N49" s="72">
        <v>2</v>
      </c>
      <c r="O49" s="72">
        <v>2</v>
      </c>
      <c r="P49" s="72">
        <v>2</v>
      </c>
      <c r="Q49" s="72">
        <v>2</v>
      </c>
      <c r="R49" s="72">
        <v>2</v>
      </c>
      <c r="S49" s="72">
        <v>2</v>
      </c>
      <c r="T49" s="72">
        <v>2</v>
      </c>
      <c r="U49" s="72">
        <v>2</v>
      </c>
      <c r="V49" s="72">
        <v>2</v>
      </c>
      <c r="W49" s="72">
        <v>2</v>
      </c>
      <c r="X49" s="72">
        <v>2</v>
      </c>
      <c r="Y49" s="72">
        <v>2</v>
      </c>
      <c r="Z49" s="72">
        <v>2</v>
      </c>
      <c r="AA49" s="72">
        <v>2</v>
      </c>
      <c r="AB49" s="72"/>
      <c r="AC49" s="72"/>
      <c r="AD49" s="72"/>
      <c r="AE49" s="72"/>
      <c r="AF49" s="72"/>
      <c r="AG49" s="372">
        <f t="shared" ca="1" si="1"/>
        <v>0</v>
      </c>
      <c r="AH49" s="41"/>
      <c r="AI49" s="134"/>
      <c r="AJ49" s="134"/>
      <c r="AK49" s="7"/>
      <c r="AL49" s="32"/>
      <c r="AM49" s="445">
        <v>0</v>
      </c>
      <c r="AN49" s="19">
        <v>0</v>
      </c>
      <c r="AO49" s="19"/>
      <c r="AP49" s="19">
        <v>0</v>
      </c>
      <c r="AQ49" s="19">
        <v>0</v>
      </c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</row>
    <row r="50" spans="1:67" ht="18.75" x14ac:dyDescent="0.3">
      <c r="A50" s="25" t="s">
        <v>514</v>
      </c>
      <c r="B50" s="83">
        <v>1000</v>
      </c>
      <c r="C50" s="66">
        <v>181.15</v>
      </c>
      <c r="D50" s="234">
        <v>1</v>
      </c>
      <c r="E50" s="1"/>
      <c r="F50" s="72">
        <v>1</v>
      </c>
      <c r="G50" s="72">
        <v>1</v>
      </c>
      <c r="H50" s="72">
        <v>1</v>
      </c>
      <c r="I50" s="72">
        <v>1</v>
      </c>
      <c r="J50" s="72">
        <v>1</v>
      </c>
      <c r="K50" s="72">
        <v>1</v>
      </c>
      <c r="L50" s="72">
        <v>1</v>
      </c>
      <c r="M50" s="72">
        <v>1</v>
      </c>
      <c r="N50" s="72">
        <v>1</v>
      </c>
      <c r="O50" s="72">
        <v>1</v>
      </c>
      <c r="P50" s="72">
        <v>1</v>
      </c>
      <c r="Q50" s="72">
        <v>1</v>
      </c>
      <c r="R50" s="72">
        <v>1</v>
      </c>
      <c r="S50" s="72">
        <v>1</v>
      </c>
      <c r="T50" s="72">
        <v>1</v>
      </c>
      <c r="U50" s="72">
        <v>1</v>
      </c>
      <c r="V50" s="72">
        <v>1</v>
      </c>
      <c r="W50" s="72">
        <v>1</v>
      </c>
      <c r="X50" s="72">
        <v>1</v>
      </c>
      <c r="Y50" s="72">
        <v>1</v>
      </c>
      <c r="Z50" s="72">
        <v>1</v>
      </c>
      <c r="AA50" s="72">
        <v>1</v>
      </c>
      <c r="AB50" s="72"/>
      <c r="AC50" s="72"/>
      <c r="AD50" s="72"/>
      <c r="AE50" s="72"/>
      <c r="AF50" s="72"/>
      <c r="AG50" s="372">
        <f t="shared" ca="1" si="1"/>
        <v>0</v>
      </c>
      <c r="AH50" s="41"/>
      <c r="AI50" s="78"/>
      <c r="AJ50" s="78"/>
      <c r="AK50" s="7"/>
      <c r="AL50" s="32"/>
      <c r="AM50" s="445">
        <v>0</v>
      </c>
      <c r="AN50" s="19">
        <v>0</v>
      </c>
      <c r="AO50" s="19"/>
      <c r="AP50" s="19">
        <v>0</v>
      </c>
      <c r="AQ50" s="19">
        <v>0</v>
      </c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</row>
    <row r="51" spans="1:67" ht="18.75" x14ac:dyDescent="0.3">
      <c r="A51" s="25" t="s">
        <v>515</v>
      </c>
      <c r="B51" s="6">
        <v>3000</v>
      </c>
      <c r="C51" s="66">
        <v>223.78</v>
      </c>
      <c r="D51" s="234">
        <v>1</v>
      </c>
      <c r="E51" s="1"/>
      <c r="F51" s="72">
        <v>2</v>
      </c>
      <c r="G51" s="72">
        <v>2</v>
      </c>
      <c r="H51" s="72">
        <v>2</v>
      </c>
      <c r="I51" s="72">
        <v>2</v>
      </c>
      <c r="J51" s="72">
        <v>2</v>
      </c>
      <c r="K51" s="72">
        <v>2</v>
      </c>
      <c r="L51" s="72">
        <v>2</v>
      </c>
      <c r="M51" s="72">
        <v>2</v>
      </c>
      <c r="N51" s="72">
        <v>2</v>
      </c>
      <c r="O51" s="72">
        <v>2</v>
      </c>
      <c r="P51" s="72">
        <v>2</v>
      </c>
      <c r="Q51" s="72">
        <v>2</v>
      </c>
      <c r="R51" s="72">
        <v>2</v>
      </c>
      <c r="S51" s="72">
        <v>2</v>
      </c>
      <c r="T51" s="72">
        <v>2</v>
      </c>
      <c r="U51" s="72">
        <v>2</v>
      </c>
      <c r="V51" s="72">
        <v>2</v>
      </c>
      <c r="W51" s="72">
        <v>2</v>
      </c>
      <c r="X51" s="72">
        <v>2</v>
      </c>
      <c r="Y51" s="72">
        <v>2</v>
      </c>
      <c r="Z51" s="72">
        <v>2</v>
      </c>
      <c r="AA51" s="72">
        <v>2</v>
      </c>
      <c r="AB51" s="72"/>
      <c r="AC51" s="72"/>
      <c r="AD51" s="72"/>
      <c r="AE51" s="72"/>
      <c r="AF51" s="72"/>
      <c r="AG51" s="372">
        <f t="shared" ca="1" si="1"/>
        <v>0</v>
      </c>
      <c r="AH51" s="41"/>
      <c r="AI51" s="134"/>
      <c r="AJ51" s="134"/>
      <c r="AK51" s="7"/>
      <c r="AL51" s="32"/>
      <c r="AM51" s="445">
        <v>0</v>
      </c>
      <c r="AN51" s="19">
        <v>0</v>
      </c>
      <c r="AO51" s="19"/>
      <c r="AP51" s="19">
        <v>0</v>
      </c>
      <c r="AQ51" s="19">
        <v>0</v>
      </c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</row>
    <row r="52" spans="1:67" ht="18.75" x14ac:dyDescent="0.3">
      <c r="A52" s="25" t="s">
        <v>446</v>
      </c>
      <c r="B52" s="6">
        <v>200</v>
      </c>
      <c r="C52" s="66">
        <v>249.78</v>
      </c>
      <c r="D52" s="234">
        <v>50</v>
      </c>
      <c r="E52" s="1"/>
      <c r="F52" s="72">
        <v>0</v>
      </c>
      <c r="G52" s="72">
        <v>400</v>
      </c>
      <c r="H52" s="72">
        <v>400</v>
      </c>
      <c r="I52" s="72">
        <v>400</v>
      </c>
      <c r="J52" s="72">
        <v>400</v>
      </c>
      <c r="K52" s="72">
        <v>400</v>
      </c>
      <c r="L52" s="72">
        <v>400</v>
      </c>
      <c r="M52" s="72">
        <v>400</v>
      </c>
      <c r="N52" s="72">
        <v>400</v>
      </c>
      <c r="O52" s="72">
        <v>400</v>
      </c>
      <c r="P52" s="72">
        <v>400</v>
      </c>
      <c r="Q52" s="72">
        <v>400</v>
      </c>
      <c r="R52" s="72">
        <v>200</v>
      </c>
      <c r="S52" s="72">
        <v>200</v>
      </c>
      <c r="T52" s="72">
        <v>200</v>
      </c>
      <c r="U52" s="72">
        <v>200</v>
      </c>
      <c r="V52" s="72">
        <v>200</v>
      </c>
      <c r="W52" s="72">
        <v>200</v>
      </c>
      <c r="X52" s="72">
        <v>200</v>
      </c>
      <c r="Y52" s="72">
        <v>200</v>
      </c>
      <c r="Z52" s="72">
        <v>200</v>
      </c>
      <c r="AA52" s="72">
        <v>200</v>
      </c>
      <c r="AB52" s="72"/>
      <c r="AC52" s="72"/>
      <c r="AD52" s="72"/>
      <c r="AE52" s="72"/>
      <c r="AF52" s="72"/>
      <c r="AG52" s="372">
        <f t="shared" ca="1" si="1"/>
        <v>0</v>
      </c>
      <c r="AH52" s="41"/>
      <c r="AI52" s="134"/>
      <c r="AJ52" s="134"/>
      <c r="AK52" s="7"/>
      <c r="AL52" s="32"/>
      <c r="AM52" s="445">
        <v>0</v>
      </c>
      <c r="AN52" s="19">
        <v>0</v>
      </c>
      <c r="AO52" s="19"/>
      <c r="AP52" s="19">
        <v>0</v>
      </c>
      <c r="AQ52" s="19">
        <v>0</v>
      </c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>
        <v>400</v>
      </c>
      <c r="BK52" s="19"/>
      <c r="BL52" s="19"/>
      <c r="BM52" s="19"/>
      <c r="BN52" s="19"/>
      <c r="BO52" s="19"/>
    </row>
    <row r="53" spans="1:67" ht="18.75" x14ac:dyDescent="0.3">
      <c r="B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H53" s="41"/>
      <c r="AK53" s="41"/>
      <c r="AM53" s="41"/>
    </row>
    <row r="54" spans="1:67" ht="18.75" x14ac:dyDescent="0.3">
      <c r="A54" s="143" t="s">
        <v>447</v>
      </c>
      <c r="B54" s="144"/>
      <c r="C54" s="144"/>
      <c r="D54" s="144"/>
      <c r="E54" s="1"/>
      <c r="F54" s="13">
        <v>46006</v>
      </c>
      <c r="G54" s="13">
        <v>46013</v>
      </c>
      <c r="H54" s="13">
        <v>46020</v>
      </c>
      <c r="I54" s="13">
        <v>46027</v>
      </c>
      <c r="J54" s="13">
        <v>46034</v>
      </c>
      <c r="K54" s="13">
        <v>46041</v>
      </c>
      <c r="L54" s="13">
        <v>46048</v>
      </c>
      <c r="M54" s="13">
        <v>46055</v>
      </c>
      <c r="N54" s="13">
        <v>46062</v>
      </c>
      <c r="O54" s="13">
        <v>46069</v>
      </c>
      <c r="P54" s="13">
        <v>46076</v>
      </c>
      <c r="Q54" s="13">
        <v>46083</v>
      </c>
      <c r="R54" s="13">
        <v>46090</v>
      </c>
      <c r="S54" s="13">
        <v>46097</v>
      </c>
      <c r="T54" s="13">
        <v>46104</v>
      </c>
      <c r="U54" s="13">
        <v>46111</v>
      </c>
      <c r="V54" s="13">
        <v>46118</v>
      </c>
      <c r="W54" s="13">
        <v>46125</v>
      </c>
      <c r="X54" s="13">
        <v>46132</v>
      </c>
      <c r="Y54" s="13">
        <v>46139</v>
      </c>
      <c r="Z54" s="13">
        <v>46146</v>
      </c>
      <c r="AA54" s="13">
        <v>46154</v>
      </c>
      <c r="AB54" s="13">
        <v>46160</v>
      </c>
      <c r="AC54" s="13">
        <v>46161.48013502315</v>
      </c>
      <c r="AD54" s="13">
        <v>46161.480808761567</v>
      </c>
      <c r="AE54" s="13">
        <v>46161.482965671297</v>
      </c>
      <c r="AF54" s="13">
        <v>46161.483294399877</v>
      </c>
      <c r="AG54" s="35" t="s">
        <v>129</v>
      </c>
      <c r="AH54" s="41"/>
      <c r="AI54" s="29" t="s">
        <v>126</v>
      </c>
      <c r="AJ54" s="29" t="s">
        <v>126</v>
      </c>
      <c r="AL54" s="9" t="s">
        <v>127</v>
      </c>
      <c r="AM54" s="17">
        <v>46161.48329371884</v>
      </c>
      <c r="AN54" s="17">
        <v>46149</v>
      </c>
      <c r="AO54" s="339">
        <v>46150</v>
      </c>
      <c r="AP54" s="17">
        <v>46142</v>
      </c>
      <c r="AQ54" s="17">
        <v>46114</v>
      </c>
      <c r="AR54" s="17">
        <v>46107</v>
      </c>
      <c r="AS54" s="17">
        <v>46099</v>
      </c>
      <c r="AT54" s="294">
        <v>46065</v>
      </c>
      <c r="AU54" s="17">
        <v>46092</v>
      </c>
      <c r="AV54" s="17">
        <v>46084</v>
      </c>
      <c r="AW54" s="294">
        <v>46065</v>
      </c>
      <c r="AX54" s="292">
        <v>46045</v>
      </c>
      <c r="AY54" s="17">
        <v>46077</v>
      </c>
      <c r="AZ54" s="17">
        <v>46071</v>
      </c>
      <c r="BA54" s="17">
        <v>46056</v>
      </c>
      <c r="BB54" s="17">
        <v>46048</v>
      </c>
      <c r="BC54" s="17">
        <v>46043</v>
      </c>
      <c r="BD54" s="17">
        <v>46035</v>
      </c>
      <c r="BE54" s="17">
        <v>46029</v>
      </c>
      <c r="BF54" s="17">
        <v>46035</v>
      </c>
      <c r="BG54" s="17">
        <v>46029</v>
      </c>
      <c r="BH54" s="17">
        <v>46024</v>
      </c>
      <c r="BI54" s="17">
        <v>46007</v>
      </c>
      <c r="BJ54" s="17">
        <v>46001</v>
      </c>
      <c r="BK54" s="17">
        <v>46001</v>
      </c>
      <c r="BL54" s="17">
        <v>45994</v>
      </c>
      <c r="BM54" s="17">
        <v>45986</v>
      </c>
      <c r="BN54" s="17">
        <v>45986</v>
      </c>
      <c r="BO54" s="17">
        <v>45980</v>
      </c>
    </row>
    <row r="55" spans="1:67" ht="18.75" x14ac:dyDescent="0.3">
      <c r="A55" s="25" t="s">
        <v>448</v>
      </c>
      <c r="B55" s="72">
        <v>100</v>
      </c>
      <c r="C55" s="77">
        <v>539.70000000000005</v>
      </c>
      <c r="D55" s="234">
        <v>15</v>
      </c>
      <c r="E55" s="41"/>
      <c r="F55" s="72">
        <v>28</v>
      </c>
      <c r="G55" s="72">
        <v>28</v>
      </c>
      <c r="H55" s="72">
        <v>28</v>
      </c>
      <c r="I55" s="72">
        <v>28</v>
      </c>
      <c r="J55" s="72">
        <v>28</v>
      </c>
      <c r="K55" s="72">
        <v>29</v>
      </c>
      <c r="L55" s="72">
        <v>29</v>
      </c>
      <c r="M55" s="72">
        <v>29</v>
      </c>
      <c r="N55" s="72">
        <v>29</v>
      </c>
      <c r="O55" s="72">
        <v>29</v>
      </c>
      <c r="P55" s="72">
        <v>29</v>
      </c>
      <c r="Q55" s="72">
        <v>29</v>
      </c>
      <c r="R55" s="72">
        <v>29</v>
      </c>
      <c r="S55" s="72">
        <v>29</v>
      </c>
      <c r="T55" s="72">
        <v>27</v>
      </c>
      <c r="U55" s="72">
        <v>26</v>
      </c>
      <c r="V55" s="72"/>
      <c r="W55" s="72"/>
      <c r="X55" s="72"/>
      <c r="Y55" s="72"/>
      <c r="Z55" s="72"/>
      <c r="AA55" s="72">
        <v>21</v>
      </c>
      <c r="AB55" s="72">
        <v>21</v>
      </c>
      <c r="AC55" s="72">
        <v>21</v>
      </c>
      <c r="AD55" s="72">
        <v>21</v>
      </c>
      <c r="AE55" s="72">
        <v>21</v>
      </c>
      <c r="AF55" s="72">
        <v>21</v>
      </c>
      <c r="AG55" s="372">
        <f ca="1">AE55+IF(NOT(ISBLANK(OFFSET(AG55,0,6))),N(OFFSET(AG55,0,6)),N(OFFSET(AG55,0,7)))-AF55</f>
        <v>0</v>
      </c>
      <c r="AH55" s="41"/>
      <c r="AI55" s="134"/>
      <c r="AJ55" s="134"/>
      <c r="AK55" s="7"/>
      <c r="AL55" s="32"/>
      <c r="AM55" s="445">
        <v>0</v>
      </c>
      <c r="AN55" s="19">
        <v>0</v>
      </c>
      <c r="AO55" s="19"/>
      <c r="AP55" s="19">
        <v>0</v>
      </c>
      <c r="AQ55" s="19">
        <v>0</v>
      </c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</row>
    <row r="56" spans="1:67" ht="18.75" x14ac:dyDescent="0.3">
      <c r="A56" s="25" t="s">
        <v>449</v>
      </c>
      <c r="B56" s="72">
        <v>100</v>
      </c>
      <c r="C56" s="77">
        <v>652.04999999999995</v>
      </c>
      <c r="D56" s="234">
        <v>25</v>
      </c>
      <c r="E56" s="41"/>
      <c r="F56" s="72">
        <v>0</v>
      </c>
      <c r="G56" s="72">
        <v>0</v>
      </c>
      <c r="H56" s="72">
        <v>0</v>
      </c>
      <c r="I56" s="72">
        <v>0</v>
      </c>
      <c r="J56" s="72">
        <v>0</v>
      </c>
      <c r="K56" s="72">
        <v>1</v>
      </c>
      <c r="L56" s="72">
        <v>1</v>
      </c>
      <c r="M56" s="72">
        <v>1</v>
      </c>
      <c r="N56" s="72">
        <v>1</v>
      </c>
      <c r="O56" s="72">
        <v>1</v>
      </c>
      <c r="P56" s="72">
        <v>2</v>
      </c>
      <c r="Q56" s="72">
        <v>2</v>
      </c>
      <c r="R56" s="72">
        <v>2</v>
      </c>
      <c r="S56" s="72">
        <v>2</v>
      </c>
      <c r="T56" s="72">
        <v>1</v>
      </c>
      <c r="U56" s="72">
        <v>1</v>
      </c>
      <c r="V56" s="72"/>
      <c r="W56" s="72"/>
      <c r="X56" s="72"/>
      <c r="Y56" s="72"/>
      <c r="Z56" s="72"/>
      <c r="AA56" s="72">
        <v>1</v>
      </c>
      <c r="AB56" s="72">
        <v>1</v>
      </c>
      <c r="AC56" s="72">
        <v>1</v>
      </c>
      <c r="AD56" s="72">
        <v>1</v>
      </c>
      <c r="AE56" s="72">
        <v>1</v>
      </c>
      <c r="AF56" s="72">
        <v>1</v>
      </c>
      <c r="AG56" s="372">
        <f ca="1">AE56+IF(NOT(ISBLANK(OFFSET(AG56,0,6))),N(OFFSET(AG56,0,6)),N(OFFSET(AG56,0,7)))-AF56</f>
        <v>0</v>
      </c>
      <c r="AH56" s="41"/>
      <c r="AI56" s="134"/>
      <c r="AJ56" s="134"/>
      <c r="AK56" s="1"/>
      <c r="AL56" s="32"/>
      <c r="AM56" s="445">
        <v>0</v>
      </c>
      <c r="AN56" s="19">
        <v>0</v>
      </c>
      <c r="AO56" s="19"/>
      <c r="AP56" s="19">
        <v>0</v>
      </c>
      <c r="AQ56" s="19">
        <v>0</v>
      </c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</row>
    <row r="57" spans="1:67" ht="18.75" x14ac:dyDescent="0.3">
      <c r="A57" s="25" t="s">
        <v>450</v>
      </c>
      <c r="B57" s="72">
        <v>50</v>
      </c>
      <c r="C57" s="77">
        <v>567.53</v>
      </c>
      <c r="D57" s="234">
        <v>5</v>
      </c>
      <c r="E57" s="41"/>
      <c r="F57" s="72">
        <v>29</v>
      </c>
      <c r="G57" s="72">
        <v>29</v>
      </c>
      <c r="H57" s="72">
        <v>29</v>
      </c>
      <c r="I57" s="72">
        <v>29</v>
      </c>
      <c r="J57" s="72">
        <v>29</v>
      </c>
      <c r="K57" s="72">
        <v>28</v>
      </c>
      <c r="L57" s="72">
        <v>28</v>
      </c>
      <c r="M57" s="72">
        <v>28</v>
      </c>
      <c r="N57" s="72">
        <v>28</v>
      </c>
      <c r="O57" s="72">
        <v>28</v>
      </c>
      <c r="P57" s="72">
        <v>28</v>
      </c>
      <c r="Q57" s="72">
        <v>28</v>
      </c>
      <c r="R57" s="72">
        <v>28</v>
      </c>
      <c r="S57" s="72">
        <v>28</v>
      </c>
      <c r="T57" s="72">
        <v>28</v>
      </c>
      <c r="U57" s="72">
        <v>28</v>
      </c>
      <c r="V57" s="72"/>
      <c r="W57" s="72"/>
      <c r="X57" s="72"/>
      <c r="Y57" s="72"/>
      <c r="Z57" s="72"/>
      <c r="AA57" s="72">
        <v>28</v>
      </c>
      <c r="AB57" s="72">
        <v>28</v>
      </c>
      <c r="AC57" s="72">
        <v>28</v>
      </c>
      <c r="AD57" s="72">
        <v>28</v>
      </c>
      <c r="AE57" s="72">
        <v>28</v>
      </c>
      <c r="AF57" s="72">
        <v>28</v>
      </c>
      <c r="AG57" s="372">
        <f ca="1">AE57+IF(NOT(ISBLANK(OFFSET(AG57,0,6))),N(OFFSET(AG57,0,6)),N(OFFSET(AG57,0,7)))-AF57</f>
        <v>0</v>
      </c>
      <c r="AH57" s="41"/>
      <c r="AI57" s="134"/>
      <c r="AJ57" s="134"/>
      <c r="AK57" s="1"/>
      <c r="AL57" s="32"/>
      <c r="AM57" s="445">
        <v>0</v>
      </c>
      <c r="AN57" s="19">
        <v>0</v>
      </c>
      <c r="AO57" s="19"/>
      <c r="AP57" s="19">
        <v>0</v>
      </c>
      <c r="AQ57" s="19">
        <v>0</v>
      </c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</row>
    <row r="58" spans="1:67" ht="18.75" x14ac:dyDescent="0.3">
      <c r="B58" s="41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K58" s="41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  <c r="AZ58" s="116"/>
      <c r="BA58" s="116"/>
      <c r="BB58" s="116"/>
      <c r="BC58" s="116"/>
      <c r="BD58" s="116"/>
      <c r="BE58" s="116"/>
      <c r="BF58" s="116"/>
      <c r="BG58" s="116"/>
      <c r="BH58" s="116"/>
      <c r="BI58" s="116"/>
      <c r="BJ58" s="116"/>
      <c r="BK58" s="116"/>
      <c r="BL58" s="116"/>
      <c r="BM58" s="116"/>
      <c r="BN58" s="116"/>
      <c r="BO58" s="116"/>
    </row>
    <row r="59" spans="1:67" ht="18.75" x14ac:dyDescent="0.3">
      <c r="A59" s="145" t="s">
        <v>451</v>
      </c>
      <c r="B59" s="146"/>
      <c r="C59" s="146"/>
      <c r="D59" s="146"/>
      <c r="E59" s="1"/>
      <c r="F59" s="13">
        <v>46006</v>
      </c>
      <c r="G59" s="13">
        <v>46013</v>
      </c>
      <c r="H59" s="13">
        <v>46020</v>
      </c>
      <c r="I59" s="13">
        <v>46027</v>
      </c>
      <c r="J59" s="13">
        <v>46034</v>
      </c>
      <c r="K59" s="13">
        <v>46041</v>
      </c>
      <c r="L59" s="13">
        <v>46048</v>
      </c>
      <c r="M59" s="13">
        <v>46055</v>
      </c>
      <c r="N59" s="13">
        <v>46062</v>
      </c>
      <c r="O59" s="13">
        <v>46069</v>
      </c>
      <c r="P59" s="13">
        <v>46076</v>
      </c>
      <c r="Q59" s="13">
        <v>46083</v>
      </c>
      <c r="R59" s="13">
        <v>46090</v>
      </c>
      <c r="S59" s="13">
        <v>46097</v>
      </c>
      <c r="T59" s="13">
        <v>46104</v>
      </c>
      <c r="U59" s="13">
        <v>46111</v>
      </c>
      <c r="V59" s="13">
        <v>46118</v>
      </c>
      <c r="W59" s="13">
        <v>46125</v>
      </c>
      <c r="X59" s="13">
        <v>46132</v>
      </c>
      <c r="Y59" s="13">
        <v>46139</v>
      </c>
      <c r="Z59" s="13">
        <v>46146</v>
      </c>
      <c r="AA59" s="13">
        <v>46154</v>
      </c>
      <c r="AB59" s="13">
        <v>46160</v>
      </c>
      <c r="AC59" s="13">
        <v>46161.48013502315</v>
      </c>
      <c r="AD59" s="13">
        <v>46161.480808761567</v>
      </c>
      <c r="AE59" s="13">
        <v>46161.482965671297</v>
      </c>
      <c r="AF59" s="13">
        <v>46161.483294400066</v>
      </c>
      <c r="AG59" s="35" t="s">
        <v>129</v>
      </c>
      <c r="AH59" s="41"/>
      <c r="AI59" s="29" t="s">
        <v>126</v>
      </c>
      <c r="AJ59" s="29" t="s">
        <v>126</v>
      </c>
      <c r="AL59" s="9" t="s">
        <v>127</v>
      </c>
      <c r="AM59" s="17">
        <v>46161.483293719088</v>
      </c>
      <c r="AN59" s="17">
        <v>46149</v>
      </c>
      <c r="AO59" s="339">
        <v>46150</v>
      </c>
      <c r="AP59" s="17">
        <v>46142</v>
      </c>
      <c r="AQ59" s="17">
        <v>46114</v>
      </c>
      <c r="AR59" s="17">
        <v>46107</v>
      </c>
      <c r="AS59" s="17">
        <v>46099</v>
      </c>
      <c r="AT59" s="294">
        <v>46065</v>
      </c>
      <c r="AU59" s="17">
        <v>46092</v>
      </c>
      <c r="AV59" s="17">
        <v>46084</v>
      </c>
      <c r="AW59" s="294">
        <v>46065</v>
      </c>
      <c r="AX59" s="292">
        <v>46045</v>
      </c>
      <c r="AY59" s="17">
        <v>46077</v>
      </c>
      <c r="AZ59" s="17">
        <v>46071</v>
      </c>
      <c r="BA59" s="17">
        <v>46056</v>
      </c>
      <c r="BB59" s="17">
        <v>46048</v>
      </c>
      <c r="BC59" s="17">
        <v>46043</v>
      </c>
      <c r="BD59" s="17">
        <v>46035</v>
      </c>
      <c r="BE59" s="17">
        <v>46029</v>
      </c>
      <c r="BF59" s="17">
        <v>46035</v>
      </c>
      <c r="BG59" s="17">
        <v>46029</v>
      </c>
      <c r="BH59" s="17">
        <v>46024</v>
      </c>
      <c r="BI59" s="17">
        <v>46007</v>
      </c>
      <c r="BJ59" s="17">
        <v>46001</v>
      </c>
      <c r="BK59" s="17">
        <v>46001</v>
      </c>
      <c r="BL59" s="17">
        <v>45994</v>
      </c>
      <c r="BM59" s="17">
        <v>45986</v>
      </c>
      <c r="BN59" s="17">
        <v>45986</v>
      </c>
      <c r="BO59" s="17">
        <v>45980</v>
      </c>
    </row>
    <row r="60" spans="1:67" ht="18.75" x14ac:dyDescent="0.3">
      <c r="A60" s="25" t="s">
        <v>452</v>
      </c>
      <c r="B60" s="6">
        <v>300</v>
      </c>
      <c r="C60" s="66">
        <v>169.8</v>
      </c>
      <c r="D60" s="234">
        <v>50</v>
      </c>
      <c r="E60" s="1"/>
      <c r="F60" s="39">
        <v>0</v>
      </c>
      <c r="G60" s="39">
        <v>0</v>
      </c>
      <c r="H60" s="39">
        <v>0</v>
      </c>
      <c r="I60" s="39">
        <v>0</v>
      </c>
      <c r="J60" s="39">
        <v>0</v>
      </c>
      <c r="K60" s="39">
        <v>0</v>
      </c>
      <c r="L60" s="39">
        <v>0</v>
      </c>
      <c r="M60" s="39">
        <v>0</v>
      </c>
      <c r="N60" s="39">
        <v>0</v>
      </c>
      <c r="O60" s="39">
        <v>0</v>
      </c>
      <c r="P60" s="39">
        <v>0</v>
      </c>
      <c r="Q60" s="39">
        <v>0</v>
      </c>
      <c r="R60" s="39">
        <v>0</v>
      </c>
      <c r="S60" s="39">
        <v>0</v>
      </c>
      <c r="T60" s="39">
        <v>0</v>
      </c>
      <c r="U60" s="39">
        <v>0</v>
      </c>
      <c r="V60" s="39">
        <v>0</v>
      </c>
      <c r="W60" s="39">
        <v>0</v>
      </c>
      <c r="X60" s="39">
        <v>0</v>
      </c>
      <c r="Y60" s="39">
        <v>0</v>
      </c>
      <c r="Z60" s="39">
        <v>0</v>
      </c>
      <c r="AA60" s="39">
        <v>0</v>
      </c>
      <c r="AB60" s="39"/>
      <c r="AC60" s="6"/>
      <c r="AD60" s="6"/>
      <c r="AE60" s="6"/>
      <c r="AF60" s="6"/>
      <c r="AG60" s="372">
        <f t="shared" ref="AG60:AG69" ca="1" si="2">AE60+IF(NOT(ISBLANK(OFFSET(AG60,0,6))),N(OFFSET(AG60,0,6)),N(OFFSET(AG60,0,7)))-AF60</f>
        <v>0</v>
      </c>
      <c r="AH60" s="41"/>
      <c r="AI60" s="134"/>
      <c r="AJ60" s="134"/>
      <c r="AL60" s="76"/>
      <c r="AM60" s="445">
        <v>0</v>
      </c>
      <c r="AN60" s="19">
        <v>0</v>
      </c>
      <c r="AO60" s="19"/>
      <c r="AP60" s="19">
        <v>0</v>
      </c>
      <c r="AQ60" s="19">
        <v>0</v>
      </c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</row>
    <row r="61" spans="1:67" ht="18.75" x14ac:dyDescent="0.3">
      <c r="A61" s="25" t="s">
        <v>453</v>
      </c>
      <c r="B61" s="6">
        <v>200</v>
      </c>
      <c r="C61" s="66">
        <v>175.22</v>
      </c>
      <c r="D61" s="234">
        <v>50</v>
      </c>
      <c r="E61" s="1"/>
      <c r="F61" s="39">
        <v>0</v>
      </c>
      <c r="G61" s="39">
        <v>0</v>
      </c>
      <c r="H61" s="39">
        <v>0</v>
      </c>
      <c r="I61" s="39">
        <v>0</v>
      </c>
      <c r="J61" s="39">
        <v>0</v>
      </c>
      <c r="K61" s="39">
        <v>0</v>
      </c>
      <c r="L61" s="39">
        <v>0</v>
      </c>
      <c r="M61" s="39">
        <v>0</v>
      </c>
      <c r="N61" s="39">
        <v>0</v>
      </c>
      <c r="O61" s="39">
        <v>0</v>
      </c>
      <c r="P61" s="39">
        <v>0</v>
      </c>
      <c r="Q61" s="39">
        <v>0</v>
      </c>
      <c r="R61" s="39">
        <v>0</v>
      </c>
      <c r="S61" s="39">
        <v>0</v>
      </c>
      <c r="T61" s="39">
        <v>0</v>
      </c>
      <c r="U61" s="39">
        <v>0</v>
      </c>
      <c r="V61" s="39">
        <v>0</v>
      </c>
      <c r="W61" s="39">
        <v>0</v>
      </c>
      <c r="X61" s="39">
        <v>0</v>
      </c>
      <c r="Y61" s="39">
        <v>0</v>
      </c>
      <c r="Z61" s="39">
        <v>0</v>
      </c>
      <c r="AA61" s="39">
        <v>0</v>
      </c>
      <c r="AB61" s="39"/>
      <c r="AC61" s="6"/>
      <c r="AD61" s="6"/>
      <c r="AE61" s="6"/>
      <c r="AF61" s="6"/>
      <c r="AG61" s="372">
        <f t="shared" ca="1" si="2"/>
        <v>0</v>
      </c>
      <c r="AH61" s="41"/>
      <c r="AI61" s="134"/>
      <c r="AJ61" s="134"/>
      <c r="AL61" s="76"/>
      <c r="AM61" s="445">
        <v>0</v>
      </c>
      <c r="AN61" s="19">
        <v>0</v>
      </c>
      <c r="AO61" s="19"/>
      <c r="AP61" s="19">
        <v>0</v>
      </c>
      <c r="AQ61" s="19">
        <v>0</v>
      </c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</row>
    <row r="62" spans="1:67" ht="18.75" x14ac:dyDescent="0.3">
      <c r="A62" s="25" t="s">
        <v>454</v>
      </c>
      <c r="B62" s="6">
        <v>200</v>
      </c>
      <c r="C62" s="66">
        <v>230.34</v>
      </c>
      <c r="D62" s="234">
        <v>15</v>
      </c>
      <c r="E62" s="1"/>
      <c r="F62" s="39">
        <v>0</v>
      </c>
      <c r="G62" s="39">
        <v>0</v>
      </c>
      <c r="H62" s="39">
        <v>0</v>
      </c>
      <c r="I62" s="39">
        <v>0</v>
      </c>
      <c r="J62" s="39">
        <v>0</v>
      </c>
      <c r="K62" s="39">
        <v>0</v>
      </c>
      <c r="L62" s="39">
        <v>0</v>
      </c>
      <c r="M62" s="39">
        <v>0</v>
      </c>
      <c r="N62" s="39">
        <v>0</v>
      </c>
      <c r="O62" s="39">
        <v>0</v>
      </c>
      <c r="P62" s="39">
        <v>0</v>
      </c>
      <c r="Q62" s="39">
        <v>0</v>
      </c>
      <c r="R62" s="39">
        <v>0</v>
      </c>
      <c r="S62" s="39">
        <v>0</v>
      </c>
      <c r="T62" s="39">
        <v>0</v>
      </c>
      <c r="U62" s="39">
        <v>0</v>
      </c>
      <c r="V62" s="39">
        <v>0</v>
      </c>
      <c r="W62" s="39">
        <v>0</v>
      </c>
      <c r="X62" s="39">
        <v>0</v>
      </c>
      <c r="Y62" s="39">
        <v>0</v>
      </c>
      <c r="Z62" s="39">
        <v>0</v>
      </c>
      <c r="AA62" s="39">
        <v>0</v>
      </c>
      <c r="AB62" s="39"/>
      <c r="AC62" s="6"/>
      <c r="AD62" s="6"/>
      <c r="AE62" s="6"/>
      <c r="AF62" s="6"/>
      <c r="AG62" s="372">
        <f t="shared" ca="1" si="2"/>
        <v>0</v>
      </c>
      <c r="AH62" s="41"/>
      <c r="AI62" s="134"/>
      <c r="AJ62" s="134"/>
      <c r="AL62" s="76"/>
      <c r="AM62" s="445">
        <v>0</v>
      </c>
      <c r="AN62" s="19">
        <v>0</v>
      </c>
      <c r="AO62" s="19"/>
      <c r="AP62" s="19">
        <v>0</v>
      </c>
      <c r="AQ62" s="19">
        <v>0</v>
      </c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</row>
    <row r="63" spans="1:67" ht="18.75" x14ac:dyDescent="0.3">
      <c r="A63" s="95" t="s">
        <v>516</v>
      </c>
      <c r="B63" s="72">
        <v>100</v>
      </c>
      <c r="C63" s="77">
        <v>22.98</v>
      </c>
      <c r="D63" s="234">
        <v>1</v>
      </c>
      <c r="F63" s="39">
        <v>3</v>
      </c>
      <c r="G63" s="39">
        <v>3</v>
      </c>
      <c r="H63" s="39">
        <v>3</v>
      </c>
      <c r="I63" s="39">
        <v>3</v>
      </c>
      <c r="J63" s="39">
        <v>3</v>
      </c>
      <c r="K63" s="39">
        <v>3</v>
      </c>
      <c r="L63" s="39">
        <v>3</v>
      </c>
      <c r="M63" s="39">
        <v>3</v>
      </c>
      <c r="N63" s="39">
        <v>3</v>
      </c>
      <c r="O63" s="39">
        <v>3</v>
      </c>
      <c r="P63" s="39">
        <v>3</v>
      </c>
      <c r="Q63" s="39">
        <v>3</v>
      </c>
      <c r="R63" s="39">
        <v>3</v>
      </c>
      <c r="S63" s="39">
        <v>3</v>
      </c>
      <c r="T63" s="39">
        <v>3</v>
      </c>
      <c r="U63" s="39">
        <v>3</v>
      </c>
      <c r="V63" s="39">
        <v>3</v>
      </c>
      <c r="W63" s="39">
        <v>3</v>
      </c>
      <c r="X63" s="39">
        <v>3</v>
      </c>
      <c r="Y63" s="39">
        <v>3</v>
      </c>
      <c r="Z63" s="39">
        <v>3</v>
      </c>
      <c r="AA63" s="39">
        <v>3</v>
      </c>
      <c r="AB63" s="39"/>
      <c r="AC63" s="6"/>
      <c r="AD63" s="6"/>
      <c r="AE63" s="6"/>
      <c r="AF63" s="6"/>
      <c r="AG63" s="372">
        <f t="shared" ca="1" si="2"/>
        <v>0</v>
      </c>
      <c r="AI63" s="134"/>
      <c r="AJ63" s="134"/>
      <c r="AK63" s="1"/>
      <c r="AL63" s="32"/>
      <c r="AM63" s="445">
        <v>0</v>
      </c>
      <c r="AN63" s="19">
        <v>0</v>
      </c>
      <c r="AO63" s="19"/>
      <c r="AP63" s="19">
        <v>0</v>
      </c>
      <c r="AQ63" s="19">
        <v>0</v>
      </c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</row>
    <row r="64" spans="1:67" ht="18.75" x14ac:dyDescent="0.3">
      <c r="A64" s="25" t="s">
        <v>517</v>
      </c>
      <c r="B64" s="6">
        <v>1000</v>
      </c>
      <c r="C64" s="66">
        <v>7.75</v>
      </c>
      <c r="D64" s="234">
        <v>1</v>
      </c>
      <c r="E64" s="1"/>
      <c r="F64" s="39">
        <v>1</v>
      </c>
      <c r="G64" s="39">
        <v>1</v>
      </c>
      <c r="H64" s="39">
        <v>1</v>
      </c>
      <c r="I64" s="39">
        <v>1</v>
      </c>
      <c r="J64" s="39">
        <v>1</v>
      </c>
      <c r="K64" s="39">
        <v>1</v>
      </c>
      <c r="L64" s="39">
        <v>1</v>
      </c>
      <c r="M64" s="39">
        <v>1</v>
      </c>
      <c r="N64" s="39">
        <v>1</v>
      </c>
      <c r="O64" s="39">
        <v>1</v>
      </c>
      <c r="P64" s="39">
        <v>1</v>
      </c>
      <c r="Q64" s="39">
        <v>1</v>
      </c>
      <c r="R64" s="39">
        <v>1</v>
      </c>
      <c r="S64" s="39">
        <v>1</v>
      </c>
      <c r="T64" s="39">
        <v>1</v>
      </c>
      <c r="U64" s="39">
        <v>1</v>
      </c>
      <c r="V64" s="39">
        <v>1</v>
      </c>
      <c r="W64" s="39">
        <v>1</v>
      </c>
      <c r="X64" s="39">
        <v>1</v>
      </c>
      <c r="Y64" s="39">
        <v>1</v>
      </c>
      <c r="Z64" s="39">
        <v>1</v>
      </c>
      <c r="AA64" s="39">
        <v>1</v>
      </c>
      <c r="AB64" s="39"/>
      <c r="AC64" s="6"/>
      <c r="AD64" s="6"/>
      <c r="AE64" s="6"/>
      <c r="AF64" s="6"/>
      <c r="AG64" s="372">
        <f t="shared" ca="1" si="2"/>
        <v>0</v>
      </c>
      <c r="AH64" s="41"/>
      <c r="AI64" s="134"/>
      <c r="AJ64" s="134"/>
      <c r="AL64" s="76"/>
      <c r="AM64" s="445">
        <v>0</v>
      </c>
      <c r="AN64" s="19">
        <v>0</v>
      </c>
      <c r="AO64" s="19"/>
      <c r="AP64" s="19">
        <v>0</v>
      </c>
      <c r="AQ64" s="19">
        <v>0</v>
      </c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</row>
    <row r="65" spans="1:67" ht="18.75" x14ac:dyDescent="0.3">
      <c r="A65" s="25" t="s">
        <v>518</v>
      </c>
      <c r="B65" s="6">
        <v>300</v>
      </c>
      <c r="C65" s="66">
        <v>53.97</v>
      </c>
      <c r="D65" s="234">
        <v>1</v>
      </c>
      <c r="E65" s="1"/>
      <c r="F65" s="39">
        <v>3</v>
      </c>
      <c r="G65" s="39">
        <v>3</v>
      </c>
      <c r="H65" s="39">
        <v>3</v>
      </c>
      <c r="I65" s="39">
        <v>3</v>
      </c>
      <c r="J65" s="39">
        <v>3</v>
      </c>
      <c r="K65" s="39">
        <v>3</v>
      </c>
      <c r="L65" s="39">
        <v>3</v>
      </c>
      <c r="M65" s="39">
        <v>3</v>
      </c>
      <c r="N65" s="39">
        <v>3</v>
      </c>
      <c r="O65" s="39">
        <v>3</v>
      </c>
      <c r="P65" s="39">
        <v>3</v>
      </c>
      <c r="Q65" s="39">
        <v>3</v>
      </c>
      <c r="R65" s="39">
        <v>3</v>
      </c>
      <c r="S65" s="39">
        <v>3</v>
      </c>
      <c r="T65" s="39">
        <v>3</v>
      </c>
      <c r="U65" s="39">
        <v>3</v>
      </c>
      <c r="V65" s="39">
        <v>3</v>
      </c>
      <c r="W65" s="39">
        <v>3</v>
      </c>
      <c r="X65" s="39">
        <v>3</v>
      </c>
      <c r="Y65" s="39">
        <v>3</v>
      </c>
      <c r="Z65" s="39">
        <v>3</v>
      </c>
      <c r="AA65" s="39">
        <v>3</v>
      </c>
      <c r="AB65" s="39"/>
      <c r="AC65" s="6"/>
      <c r="AD65" s="6"/>
      <c r="AE65" s="6"/>
      <c r="AF65" s="6"/>
      <c r="AG65" s="372">
        <f t="shared" ca="1" si="2"/>
        <v>0</v>
      </c>
      <c r="AH65" s="41"/>
      <c r="AI65" s="134"/>
      <c r="AJ65" s="134"/>
      <c r="AL65" s="76"/>
      <c r="AM65" s="445">
        <v>0</v>
      </c>
      <c r="AN65" s="19">
        <v>0</v>
      </c>
      <c r="AO65" s="19"/>
      <c r="AP65" s="19">
        <v>0</v>
      </c>
      <c r="AQ65" s="19">
        <v>0</v>
      </c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</row>
    <row r="66" spans="1:67" ht="18.75" x14ac:dyDescent="0.3">
      <c r="A66" s="25" t="s">
        <v>519</v>
      </c>
      <c r="B66" s="6">
        <v>3000</v>
      </c>
      <c r="C66" s="66">
        <v>213</v>
      </c>
      <c r="D66" s="234">
        <v>0</v>
      </c>
      <c r="E66" s="1"/>
      <c r="F66" s="39">
        <v>0</v>
      </c>
      <c r="G66" s="39">
        <v>0</v>
      </c>
      <c r="H66" s="39">
        <v>0</v>
      </c>
      <c r="I66" s="39">
        <v>0</v>
      </c>
      <c r="J66" s="39">
        <v>0</v>
      </c>
      <c r="K66" s="39">
        <v>0</v>
      </c>
      <c r="L66" s="39">
        <v>0</v>
      </c>
      <c r="M66" s="39">
        <v>0</v>
      </c>
      <c r="N66" s="39">
        <v>0</v>
      </c>
      <c r="O66" s="39">
        <v>0</v>
      </c>
      <c r="P66" s="39">
        <v>0</v>
      </c>
      <c r="Q66" s="39">
        <v>0</v>
      </c>
      <c r="R66" s="39">
        <v>0</v>
      </c>
      <c r="S66" s="39">
        <v>0</v>
      </c>
      <c r="T66" s="39">
        <v>0</v>
      </c>
      <c r="U66" s="39">
        <v>0</v>
      </c>
      <c r="V66" s="39">
        <v>0</v>
      </c>
      <c r="W66" s="39">
        <v>0</v>
      </c>
      <c r="X66" s="39">
        <v>0</v>
      </c>
      <c r="Y66" s="39">
        <v>0</v>
      </c>
      <c r="Z66" s="39">
        <v>0</v>
      </c>
      <c r="AA66" s="39">
        <v>0</v>
      </c>
      <c r="AB66" s="39"/>
      <c r="AC66" s="6"/>
      <c r="AD66" s="6"/>
      <c r="AE66" s="6"/>
      <c r="AF66" s="6"/>
      <c r="AG66" s="372">
        <f t="shared" ca="1" si="2"/>
        <v>0</v>
      </c>
      <c r="AH66" s="41"/>
      <c r="AI66" s="134"/>
      <c r="AJ66" s="134"/>
      <c r="AL66" s="76"/>
      <c r="AM66" s="445">
        <v>0</v>
      </c>
      <c r="AN66" s="19">
        <v>0</v>
      </c>
      <c r="AO66" s="19"/>
      <c r="AP66" s="19">
        <v>0</v>
      </c>
      <c r="AQ66" s="19">
        <v>0</v>
      </c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</row>
    <row r="67" spans="1:67" ht="18.75" x14ac:dyDescent="0.3">
      <c r="A67" s="25" t="s">
        <v>455</v>
      </c>
      <c r="B67" s="6">
        <v>150</v>
      </c>
      <c r="C67" s="66">
        <v>306</v>
      </c>
      <c r="D67" s="234">
        <v>10</v>
      </c>
      <c r="E67" s="1"/>
      <c r="F67" s="39">
        <v>12</v>
      </c>
      <c r="G67" s="39">
        <v>12</v>
      </c>
      <c r="H67" s="39">
        <v>12</v>
      </c>
      <c r="I67" s="39">
        <v>12</v>
      </c>
      <c r="J67" s="39">
        <v>12</v>
      </c>
      <c r="K67" s="39">
        <v>12</v>
      </c>
      <c r="L67" s="39">
        <v>12</v>
      </c>
      <c r="M67" s="39">
        <v>12</v>
      </c>
      <c r="N67" s="39">
        <v>12</v>
      </c>
      <c r="O67" s="39">
        <v>12</v>
      </c>
      <c r="P67" s="39">
        <v>11</v>
      </c>
      <c r="Q67" s="39">
        <v>11</v>
      </c>
      <c r="R67" s="39">
        <v>11</v>
      </c>
      <c r="S67" s="39">
        <v>11</v>
      </c>
      <c r="T67" s="39">
        <v>11</v>
      </c>
      <c r="U67" s="39">
        <v>11</v>
      </c>
      <c r="V67" s="39"/>
      <c r="W67" s="39"/>
      <c r="X67" s="39"/>
      <c r="Y67" s="39"/>
      <c r="Z67" s="39"/>
      <c r="AA67" s="39">
        <v>11</v>
      </c>
      <c r="AB67" s="39">
        <v>11</v>
      </c>
      <c r="AC67" s="6">
        <v>11</v>
      </c>
      <c r="AD67" s="6">
        <v>11</v>
      </c>
      <c r="AE67" s="6">
        <v>11</v>
      </c>
      <c r="AF67" s="6">
        <v>11</v>
      </c>
      <c r="AG67" s="372">
        <f t="shared" ca="1" si="2"/>
        <v>0</v>
      </c>
      <c r="AH67" s="41"/>
      <c r="AI67" s="134"/>
      <c r="AJ67" s="134"/>
      <c r="AL67" s="76"/>
      <c r="AM67" s="445">
        <v>0</v>
      </c>
      <c r="AN67" s="19">
        <v>0</v>
      </c>
      <c r="AO67" s="19"/>
      <c r="AP67" s="19">
        <v>0</v>
      </c>
      <c r="AQ67" s="19">
        <v>0</v>
      </c>
      <c r="AR67" s="159"/>
      <c r="AS67" s="159"/>
      <c r="AT67" s="159"/>
      <c r="AU67" s="159"/>
      <c r="AV67" s="159"/>
      <c r="AW67" s="159"/>
      <c r="AX67" s="159"/>
      <c r="AY67" s="159"/>
      <c r="AZ67" s="159"/>
      <c r="BA67" s="159"/>
      <c r="BB67" s="159"/>
      <c r="BC67" s="159"/>
      <c r="BD67" s="159"/>
      <c r="BE67" s="159"/>
      <c r="BF67" s="159"/>
      <c r="BG67" s="159"/>
      <c r="BH67" s="159"/>
      <c r="BI67" s="159"/>
      <c r="BJ67" s="159"/>
      <c r="BK67" s="159"/>
      <c r="BL67" s="159"/>
      <c r="BM67" s="159"/>
      <c r="BN67" s="159"/>
      <c r="BO67" s="159"/>
    </row>
    <row r="68" spans="1:67" ht="18.75" x14ac:dyDescent="0.3">
      <c r="A68" s="25" t="s">
        <v>456</v>
      </c>
      <c r="B68" s="6">
        <v>75</v>
      </c>
      <c r="C68" s="66">
        <v>216.38</v>
      </c>
      <c r="D68" s="234">
        <v>10</v>
      </c>
      <c r="E68" s="1"/>
      <c r="F68" s="39">
        <v>0</v>
      </c>
      <c r="G68" s="39">
        <v>0</v>
      </c>
      <c r="H68" s="39">
        <v>0</v>
      </c>
      <c r="I68" s="39">
        <v>0</v>
      </c>
      <c r="J68" s="39">
        <v>0</v>
      </c>
      <c r="K68" s="39">
        <v>0</v>
      </c>
      <c r="L68" s="39">
        <v>0</v>
      </c>
      <c r="M68" s="39">
        <v>0</v>
      </c>
      <c r="N68" s="39">
        <v>0</v>
      </c>
      <c r="O68" s="39">
        <v>0</v>
      </c>
      <c r="P68" s="39">
        <v>0</v>
      </c>
      <c r="Q68" s="39">
        <v>0</v>
      </c>
      <c r="R68" s="39">
        <v>0</v>
      </c>
      <c r="S68" s="39">
        <v>0</v>
      </c>
      <c r="T68" s="39">
        <v>0</v>
      </c>
      <c r="U68" s="39">
        <v>0</v>
      </c>
      <c r="V68" s="39"/>
      <c r="W68" s="39"/>
      <c r="X68" s="39"/>
      <c r="Y68" s="39"/>
      <c r="Z68" s="39"/>
      <c r="AA68" s="39">
        <v>0</v>
      </c>
      <c r="AB68" s="39">
        <v>0</v>
      </c>
      <c r="AC68" s="6">
        <v>0</v>
      </c>
      <c r="AD68" s="6">
        <v>0</v>
      </c>
      <c r="AE68" s="6">
        <v>0</v>
      </c>
      <c r="AF68" s="6">
        <v>0</v>
      </c>
      <c r="AG68" s="372">
        <f t="shared" ca="1" si="2"/>
        <v>0</v>
      </c>
      <c r="AH68" s="41"/>
      <c r="AI68" s="134"/>
      <c r="AJ68" s="134"/>
      <c r="AL68" s="76"/>
      <c r="AM68" s="445">
        <v>0</v>
      </c>
      <c r="AN68" s="19">
        <v>0</v>
      </c>
      <c r="AO68" s="19"/>
      <c r="AP68" s="19">
        <v>0</v>
      </c>
      <c r="AQ68" s="19">
        <v>0</v>
      </c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</row>
    <row r="69" spans="1:67" ht="18.75" x14ac:dyDescent="0.3">
      <c r="A69" s="25" t="s">
        <v>457</v>
      </c>
      <c r="B69" s="6">
        <v>100</v>
      </c>
      <c r="C69" s="66">
        <v>306</v>
      </c>
      <c r="D69" s="234">
        <v>5</v>
      </c>
      <c r="E69" s="1"/>
      <c r="F69" s="39">
        <v>23</v>
      </c>
      <c r="G69" s="39">
        <v>22</v>
      </c>
      <c r="H69" s="39">
        <v>22</v>
      </c>
      <c r="I69" s="39">
        <v>22</v>
      </c>
      <c r="J69" s="39">
        <v>22</v>
      </c>
      <c r="K69" s="39">
        <v>21</v>
      </c>
      <c r="L69" s="39">
        <v>21</v>
      </c>
      <c r="M69" s="39">
        <v>21</v>
      </c>
      <c r="N69" s="39">
        <v>21</v>
      </c>
      <c r="O69" s="39">
        <v>21</v>
      </c>
      <c r="P69" s="39">
        <v>21</v>
      </c>
      <c r="Q69" s="39">
        <v>21</v>
      </c>
      <c r="R69" s="39">
        <v>21</v>
      </c>
      <c r="S69" s="39">
        <v>21</v>
      </c>
      <c r="T69" s="39">
        <v>21</v>
      </c>
      <c r="U69" s="39">
        <v>21</v>
      </c>
      <c r="V69" s="39"/>
      <c r="W69" s="39"/>
      <c r="X69" s="39"/>
      <c r="Y69" s="39"/>
      <c r="Z69" s="39"/>
      <c r="AA69" s="39">
        <v>20</v>
      </c>
      <c r="AB69" s="39">
        <v>20</v>
      </c>
      <c r="AC69" s="6">
        <v>20</v>
      </c>
      <c r="AD69" s="6">
        <v>20</v>
      </c>
      <c r="AE69" s="6">
        <v>20</v>
      </c>
      <c r="AF69" s="6">
        <v>20</v>
      </c>
      <c r="AG69" s="372">
        <f t="shared" ca="1" si="2"/>
        <v>0</v>
      </c>
      <c r="AH69" s="41"/>
      <c r="AI69" s="134"/>
      <c r="AJ69" s="134"/>
      <c r="AL69" s="76"/>
      <c r="AM69" s="445">
        <v>0</v>
      </c>
      <c r="AN69" s="19">
        <v>0</v>
      </c>
      <c r="AO69" s="19"/>
      <c r="AP69" s="19">
        <v>0</v>
      </c>
      <c r="AQ69" s="19">
        <v>0</v>
      </c>
      <c r="AR69" s="159"/>
      <c r="AS69" s="159"/>
      <c r="AT69" s="159"/>
      <c r="AU69" s="159"/>
      <c r="AV69" s="159"/>
      <c r="AW69" s="159"/>
      <c r="AX69" s="159"/>
      <c r="AY69" s="159"/>
      <c r="AZ69" s="159"/>
      <c r="BA69" s="159"/>
      <c r="BB69" s="159"/>
      <c r="BC69" s="159"/>
      <c r="BD69" s="159"/>
      <c r="BE69" s="159"/>
      <c r="BF69" s="159"/>
      <c r="BG69" s="159"/>
      <c r="BH69" s="159"/>
      <c r="BI69" s="159"/>
      <c r="BJ69" s="159"/>
      <c r="BK69" s="159"/>
      <c r="BL69" s="159"/>
      <c r="BM69" s="159"/>
      <c r="BN69" s="159"/>
      <c r="BO69" s="159"/>
    </row>
    <row r="70" spans="1:67" ht="18.75" x14ac:dyDescent="0.3">
      <c r="B70" s="41"/>
      <c r="C70" s="120"/>
      <c r="D70" s="120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1"/>
      <c r="AD70" s="1"/>
      <c r="AE70" s="1"/>
      <c r="AF70" s="1"/>
      <c r="AG70" s="2"/>
      <c r="AI70" s="75"/>
      <c r="AJ70" s="75"/>
      <c r="AK70" s="1"/>
      <c r="AL70" s="15"/>
      <c r="AM70" s="388"/>
      <c r="AN70" s="75"/>
      <c r="AO70" s="75"/>
      <c r="AP70" s="75"/>
      <c r="AQ70" s="75"/>
      <c r="AR70" s="75"/>
      <c r="AS70" s="75"/>
      <c r="AT70" s="75"/>
      <c r="AU70" s="75"/>
      <c r="AV70" s="75"/>
      <c r="AW70" s="75"/>
      <c r="AX70" s="75"/>
      <c r="AY70" s="75"/>
      <c r="AZ70" s="75"/>
      <c r="BA70" s="75"/>
      <c r="BB70" s="75"/>
      <c r="BC70" s="75"/>
      <c r="BD70" s="75"/>
      <c r="BE70" s="75"/>
      <c r="BF70" s="75"/>
      <c r="BG70" s="75"/>
      <c r="BH70" s="75"/>
      <c r="BI70" s="75"/>
      <c r="BJ70" s="75"/>
      <c r="BK70" s="75"/>
      <c r="BL70" s="75"/>
      <c r="BM70" s="75"/>
      <c r="BN70" s="75"/>
      <c r="BO70" s="75"/>
    </row>
    <row r="71" spans="1:67" ht="18.75" x14ac:dyDescent="0.3">
      <c r="A71" s="215" t="s">
        <v>458</v>
      </c>
      <c r="B71" s="216"/>
      <c r="C71" s="216"/>
      <c r="D71" s="216"/>
      <c r="F71" s="13">
        <v>46006</v>
      </c>
      <c r="G71" s="13">
        <v>46013</v>
      </c>
      <c r="H71" s="13">
        <v>46020</v>
      </c>
      <c r="I71" s="13">
        <v>46027</v>
      </c>
      <c r="J71" s="13">
        <v>46034</v>
      </c>
      <c r="K71" s="13">
        <v>46041</v>
      </c>
      <c r="L71" s="13">
        <v>46048</v>
      </c>
      <c r="M71" s="13">
        <v>46055</v>
      </c>
      <c r="N71" s="13">
        <v>46062</v>
      </c>
      <c r="O71" s="13">
        <v>46069</v>
      </c>
      <c r="P71" s="13">
        <v>46076</v>
      </c>
      <c r="Q71" s="13">
        <v>46083</v>
      </c>
      <c r="R71" s="13">
        <v>46090</v>
      </c>
      <c r="S71" s="13">
        <v>46097</v>
      </c>
      <c r="T71" s="13">
        <v>46104</v>
      </c>
      <c r="U71" s="13">
        <v>46111</v>
      </c>
      <c r="V71" s="13">
        <v>46118</v>
      </c>
      <c r="W71" s="13">
        <v>46125</v>
      </c>
      <c r="X71" s="13">
        <v>46132</v>
      </c>
      <c r="Y71" s="13">
        <v>46139</v>
      </c>
      <c r="Z71" s="13">
        <v>46146</v>
      </c>
      <c r="AA71" s="13">
        <v>46154</v>
      </c>
      <c r="AB71" s="13">
        <v>46160</v>
      </c>
      <c r="AC71" s="13">
        <v>46161.48013502315</v>
      </c>
      <c r="AD71" s="13">
        <v>46161.480808761567</v>
      </c>
      <c r="AE71" s="13">
        <v>46161.482965671297</v>
      </c>
      <c r="AF71" s="13">
        <v>46161.483294400299</v>
      </c>
      <c r="AG71" s="35" t="s">
        <v>129</v>
      </c>
      <c r="AI71" s="29" t="s">
        <v>126</v>
      </c>
      <c r="AJ71" s="29" t="s">
        <v>126</v>
      </c>
      <c r="AK71" s="1"/>
      <c r="AL71" s="9" t="s">
        <v>127</v>
      </c>
      <c r="AM71" s="17">
        <v>46161.483293719619</v>
      </c>
      <c r="AN71" s="17">
        <v>46149</v>
      </c>
      <c r="AO71" s="339">
        <v>46150</v>
      </c>
      <c r="AP71" s="17">
        <v>46142</v>
      </c>
      <c r="AQ71" s="17">
        <v>46114</v>
      </c>
      <c r="AR71" s="17">
        <v>46107</v>
      </c>
      <c r="AS71" s="17">
        <v>46099</v>
      </c>
      <c r="AT71" s="294">
        <v>46065</v>
      </c>
      <c r="AU71" s="17">
        <v>46092</v>
      </c>
      <c r="AV71" s="17">
        <v>46084</v>
      </c>
      <c r="AW71" s="294">
        <v>46065</v>
      </c>
      <c r="AX71" s="292">
        <v>46045</v>
      </c>
      <c r="AY71" s="17">
        <v>46077</v>
      </c>
      <c r="AZ71" s="17">
        <v>46071</v>
      </c>
      <c r="BA71" s="17">
        <v>46056</v>
      </c>
      <c r="BB71" s="17">
        <v>46048</v>
      </c>
      <c r="BC71" s="17">
        <v>46043</v>
      </c>
      <c r="BD71" s="17">
        <v>46035</v>
      </c>
      <c r="BE71" s="17">
        <v>46029</v>
      </c>
      <c r="BF71" s="17">
        <v>46035</v>
      </c>
      <c r="BG71" s="17">
        <v>46029</v>
      </c>
      <c r="BH71" s="17">
        <v>46024</v>
      </c>
      <c r="BI71" s="17">
        <v>46007</v>
      </c>
      <c r="BJ71" s="17">
        <v>46001</v>
      </c>
      <c r="BK71" s="17">
        <v>46001</v>
      </c>
      <c r="BL71" s="17">
        <v>45994</v>
      </c>
      <c r="BM71" s="17">
        <v>45986</v>
      </c>
      <c r="BN71" s="17">
        <v>45986</v>
      </c>
      <c r="BO71" s="17">
        <v>45980</v>
      </c>
    </row>
    <row r="72" spans="1:67" ht="18.75" x14ac:dyDescent="0.25">
      <c r="A72" s="25" t="s">
        <v>459</v>
      </c>
      <c r="B72" s="6">
        <v>200</v>
      </c>
      <c r="C72" s="66">
        <v>183.24</v>
      </c>
      <c r="D72" s="234" t="s">
        <v>460</v>
      </c>
      <c r="F72" s="39">
        <v>1000</v>
      </c>
      <c r="G72" s="39">
        <f>800+BE72</f>
        <v>1200</v>
      </c>
      <c r="H72" s="39">
        <v>1000</v>
      </c>
      <c r="I72" s="39">
        <v>800</v>
      </c>
      <c r="J72" s="39">
        <v>400</v>
      </c>
      <c r="K72" s="39">
        <v>0</v>
      </c>
      <c r="L72" s="39">
        <f>400+AZ72</f>
        <v>400</v>
      </c>
      <c r="M72" s="39">
        <v>400</v>
      </c>
      <c r="N72" s="39">
        <f>0+AW72</f>
        <v>0</v>
      </c>
      <c r="O72" s="39">
        <v>600</v>
      </c>
      <c r="P72" s="39">
        <v>400</v>
      </c>
      <c r="Q72" s="39">
        <v>200</v>
      </c>
      <c r="R72" s="39">
        <v>600</v>
      </c>
      <c r="S72" s="39">
        <v>0</v>
      </c>
      <c r="T72" s="39">
        <f>0+AO72</f>
        <v>0</v>
      </c>
      <c r="U72" s="39">
        <v>600</v>
      </c>
      <c r="V72" s="39">
        <v>200</v>
      </c>
      <c r="W72" s="39">
        <v>200</v>
      </c>
      <c r="X72" s="39">
        <v>200</v>
      </c>
      <c r="Y72" s="39">
        <v>200</v>
      </c>
      <c r="Z72" s="39">
        <v>0</v>
      </c>
      <c r="AA72" s="39">
        <f>0+AJ72</f>
        <v>0</v>
      </c>
      <c r="AB72" s="39"/>
      <c r="AC72" s="6"/>
      <c r="AD72" s="6"/>
      <c r="AE72" s="6"/>
      <c r="AF72" s="6"/>
      <c r="AG72" s="372">
        <f t="shared" ref="AG72:AG83" ca="1" si="3">AE72+IF(NOT(ISBLANK(OFFSET(AG72,0,6))),N(OFFSET(AG72,0,6)),N(OFFSET(AG72,0,7)))-AF72</f>
        <v>0</v>
      </c>
      <c r="AI72" s="134"/>
      <c r="AJ72" s="134"/>
      <c r="AK72" s="1"/>
      <c r="AL72" s="76"/>
      <c r="AM72" s="445">
        <v>0</v>
      </c>
      <c r="AN72" s="19">
        <v>600</v>
      </c>
      <c r="AO72" s="19"/>
      <c r="AP72" s="19">
        <v>0</v>
      </c>
      <c r="AQ72" s="19">
        <v>200</v>
      </c>
      <c r="AR72" s="19"/>
      <c r="AS72" s="19">
        <v>800</v>
      </c>
      <c r="AT72" s="19"/>
      <c r="AU72" s="19"/>
      <c r="AV72" s="19">
        <v>600</v>
      </c>
      <c r="AW72" s="19"/>
      <c r="AX72" s="19"/>
      <c r="AY72" s="19"/>
      <c r="AZ72" s="19"/>
      <c r="BA72" s="19">
        <v>1000</v>
      </c>
      <c r="BB72" s="19"/>
      <c r="BC72" s="19"/>
      <c r="BD72" s="19">
        <v>800</v>
      </c>
      <c r="BE72" s="19">
        <v>400</v>
      </c>
      <c r="BF72" s="19"/>
      <c r="BG72" s="19"/>
      <c r="BH72" s="19"/>
      <c r="BI72" s="19">
        <v>400</v>
      </c>
      <c r="BJ72" s="19">
        <v>600</v>
      </c>
      <c r="BK72" s="19"/>
      <c r="BL72" s="19">
        <v>400</v>
      </c>
      <c r="BM72" s="19">
        <v>800</v>
      </c>
      <c r="BN72" s="19"/>
      <c r="BO72" s="19">
        <v>600</v>
      </c>
    </row>
    <row r="73" spans="1:67" ht="18.75" x14ac:dyDescent="0.25">
      <c r="A73" s="25" t="s">
        <v>461</v>
      </c>
      <c r="B73" s="6">
        <v>200</v>
      </c>
      <c r="C73" s="66">
        <v>240.83</v>
      </c>
      <c r="D73" s="234" t="s">
        <v>460</v>
      </c>
      <c r="F73" s="39">
        <v>600</v>
      </c>
      <c r="G73" s="39">
        <f>600+BE73</f>
        <v>600</v>
      </c>
      <c r="H73" s="39">
        <v>800</v>
      </c>
      <c r="I73" s="39">
        <v>800</v>
      </c>
      <c r="J73" s="39">
        <v>600</v>
      </c>
      <c r="K73" s="39">
        <v>600</v>
      </c>
      <c r="L73" s="39">
        <v>400</v>
      </c>
      <c r="M73" s="39">
        <v>400</v>
      </c>
      <c r="N73" s="39">
        <v>200</v>
      </c>
      <c r="O73" s="39">
        <v>200</v>
      </c>
      <c r="P73" s="39">
        <v>0</v>
      </c>
      <c r="Q73" s="39">
        <f>400+AU73</f>
        <v>400</v>
      </c>
      <c r="R73" s="39">
        <v>600</v>
      </c>
      <c r="S73" s="39">
        <v>600</v>
      </c>
      <c r="T73" s="39">
        <v>600</v>
      </c>
      <c r="U73" s="39">
        <v>600</v>
      </c>
      <c r="V73" s="39">
        <v>600</v>
      </c>
      <c r="W73" s="39">
        <v>600</v>
      </c>
      <c r="X73" s="39">
        <v>600</v>
      </c>
      <c r="Y73" s="39">
        <v>400</v>
      </c>
      <c r="Z73" s="39">
        <v>200</v>
      </c>
      <c r="AA73" s="39">
        <v>0</v>
      </c>
      <c r="AB73" s="39"/>
      <c r="AC73" s="6"/>
      <c r="AD73" s="6"/>
      <c r="AE73" s="6"/>
      <c r="AF73" s="6"/>
      <c r="AG73" s="372">
        <f t="shared" ca="1" si="3"/>
        <v>0</v>
      </c>
      <c r="AI73" s="134"/>
      <c r="AJ73" s="134"/>
      <c r="AK73" s="1"/>
      <c r="AL73" s="76"/>
      <c r="AM73" s="445">
        <v>0</v>
      </c>
      <c r="AN73" s="19">
        <v>0</v>
      </c>
      <c r="AO73" s="19"/>
      <c r="AP73" s="19">
        <v>0</v>
      </c>
      <c r="AQ73" s="19">
        <v>0</v>
      </c>
      <c r="AR73" s="19"/>
      <c r="AS73" s="19"/>
      <c r="AT73" s="19"/>
      <c r="AU73" s="19"/>
      <c r="AV73" s="19"/>
      <c r="AW73" s="19"/>
      <c r="AX73" s="19"/>
      <c r="AY73" s="19">
        <v>400</v>
      </c>
      <c r="AZ73" s="19">
        <v>600</v>
      </c>
      <c r="BA73" s="19"/>
      <c r="BB73" s="19"/>
      <c r="BC73" s="19"/>
      <c r="BD73" s="19"/>
      <c r="BE73" s="19"/>
      <c r="BF73" s="19"/>
      <c r="BG73" s="19"/>
      <c r="BH73" s="19"/>
      <c r="BI73" s="19">
        <v>200</v>
      </c>
      <c r="BJ73" s="19"/>
      <c r="BK73" s="19"/>
      <c r="BL73" s="19">
        <v>200</v>
      </c>
      <c r="BM73" s="19">
        <v>400</v>
      </c>
      <c r="BN73" s="19"/>
      <c r="BO73" s="19"/>
    </row>
    <row r="74" spans="1:67" ht="18.75" x14ac:dyDescent="0.25">
      <c r="A74" s="25" t="s">
        <v>462</v>
      </c>
      <c r="B74" s="6">
        <v>100</v>
      </c>
      <c r="C74" s="66">
        <v>175.13</v>
      </c>
      <c r="D74" s="234" t="s">
        <v>460</v>
      </c>
      <c r="F74" s="39">
        <v>300</v>
      </c>
      <c r="G74" s="39">
        <f>300+BF74</f>
        <v>300</v>
      </c>
      <c r="H74" s="39">
        <v>800</v>
      </c>
      <c r="I74" s="39">
        <v>700</v>
      </c>
      <c r="J74" s="39">
        <v>600</v>
      </c>
      <c r="K74" s="39">
        <v>600</v>
      </c>
      <c r="L74" s="39">
        <v>600</v>
      </c>
      <c r="M74" s="39">
        <v>500</v>
      </c>
      <c r="N74" s="39">
        <v>500</v>
      </c>
      <c r="O74" s="39">
        <v>500</v>
      </c>
      <c r="P74" s="39">
        <v>500</v>
      </c>
      <c r="Q74" s="39">
        <v>400</v>
      </c>
      <c r="R74" s="39">
        <v>300</v>
      </c>
      <c r="S74" s="39">
        <v>300</v>
      </c>
      <c r="T74" s="39">
        <v>300</v>
      </c>
      <c r="U74" s="39">
        <v>200</v>
      </c>
      <c r="V74" s="39">
        <v>200</v>
      </c>
      <c r="W74" s="39">
        <v>300</v>
      </c>
      <c r="X74" s="39">
        <v>300</v>
      </c>
      <c r="Y74" s="39">
        <v>300</v>
      </c>
      <c r="Z74" s="39">
        <v>300</v>
      </c>
      <c r="AA74" s="39">
        <v>200</v>
      </c>
      <c r="AB74" s="39"/>
      <c r="AC74" s="6"/>
      <c r="AD74" s="6"/>
      <c r="AE74" s="6"/>
      <c r="AF74" s="6"/>
      <c r="AG74" s="372">
        <f t="shared" ca="1" si="3"/>
        <v>0</v>
      </c>
      <c r="AI74" s="134"/>
      <c r="AJ74" s="134"/>
      <c r="AK74" s="1"/>
      <c r="AL74" s="76"/>
      <c r="AM74" s="445">
        <v>0</v>
      </c>
      <c r="AN74" s="19">
        <v>0</v>
      </c>
      <c r="AO74" s="19"/>
      <c r="AP74" s="19">
        <v>0</v>
      </c>
      <c r="AQ74" s="19">
        <v>100</v>
      </c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>
        <v>500</v>
      </c>
      <c r="BK74" s="19"/>
      <c r="BL74" s="19"/>
      <c r="BM74" s="19"/>
      <c r="BN74" s="19">
        <v>200</v>
      </c>
      <c r="BO74" s="19"/>
    </row>
    <row r="75" spans="1:67" ht="18.75" x14ac:dyDescent="0.3">
      <c r="A75" s="95" t="s">
        <v>522</v>
      </c>
      <c r="B75" s="217">
        <v>200</v>
      </c>
      <c r="C75" s="218">
        <v>29.77</v>
      </c>
      <c r="D75" s="234" t="s">
        <v>460</v>
      </c>
      <c r="F75" s="39">
        <v>2</v>
      </c>
      <c r="G75" s="39">
        <v>2</v>
      </c>
      <c r="H75" s="39">
        <v>2</v>
      </c>
      <c r="I75" s="39">
        <v>2</v>
      </c>
      <c r="J75" s="39">
        <v>2</v>
      </c>
      <c r="K75" s="39">
        <v>2</v>
      </c>
      <c r="L75" s="39">
        <v>2</v>
      </c>
      <c r="M75" s="39">
        <v>2</v>
      </c>
      <c r="N75" s="39">
        <v>2</v>
      </c>
      <c r="O75" s="39">
        <v>2</v>
      </c>
      <c r="P75" s="39">
        <v>2</v>
      </c>
      <c r="Q75" s="39">
        <v>2</v>
      </c>
      <c r="R75" s="39">
        <v>2</v>
      </c>
      <c r="S75" s="39">
        <v>2</v>
      </c>
      <c r="T75" s="39">
        <v>2</v>
      </c>
      <c r="U75" s="39">
        <v>2</v>
      </c>
      <c r="V75" s="39">
        <v>2</v>
      </c>
      <c r="W75" s="39">
        <v>2</v>
      </c>
      <c r="X75" s="39">
        <v>2</v>
      </c>
      <c r="Y75" s="39">
        <v>2</v>
      </c>
      <c r="Z75" s="39">
        <v>2</v>
      </c>
      <c r="AA75" s="39">
        <v>2</v>
      </c>
      <c r="AB75" s="39"/>
      <c r="AC75" s="6"/>
      <c r="AD75" s="6"/>
      <c r="AE75" s="6"/>
      <c r="AF75" s="6"/>
      <c r="AG75" s="372">
        <f t="shared" ca="1" si="3"/>
        <v>0</v>
      </c>
      <c r="AI75" s="134"/>
      <c r="AJ75" s="134"/>
      <c r="AK75" s="1"/>
      <c r="AL75" s="32"/>
      <c r="AM75" s="445">
        <v>0</v>
      </c>
      <c r="AN75" s="19">
        <v>0</v>
      </c>
      <c r="AO75" s="19"/>
      <c r="AP75" s="19">
        <v>0</v>
      </c>
      <c r="AQ75" s="19">
        <v>0</v>
      </c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</row>
    <row r="76" spans="1:67" ht="18.75" x14ac:dyDescent="0.3">
      <c r="A76" s="95" t="s">
        <v>523</v>
      </c>
      <c r="B76" s="217">
        <v>1000</v>
      </c>
      <c r="C76" s="218">
        <v>70</v>
      </c>
      <c r="D76" s="234" t="s">
        <v>460</v>
      </c>
      <c r="F76" s="39">
        <v>2</v>
      </c>
      <c r="G76" s="39">
        <v>2</v>
      </c>
      <c r="H76" s="39">
        <v>2</v>
      </c>
      <c r="I76" s="39">
        <v>2</v>
      </c>
      <c r="J76" s="39">
        <v>2</v>
      </c>
      <c r="K76" s="39">
        <v>2</v>
      </c>
      <c r="L76" s="39">
        <v>2</v>
      </c>
      <c r="M76" s="39">
        <v>2</v>
      </c>
      <c r="N76" s="39">
        <v>2</v>
      </c>
      <c r="O76" s="39">
        <v>2</v>
      </c>
      <c r="P76" s="39">
        <v>2</v>
      </c>
      <c r="Q76" s="39">
        <v>2</v>
      </c>
      <c r="R76" s="39">
        <v>2</v>
      </c>
      <c r="S76" s="39">
        <v>2</v>
      </c>
      <c r="T76" s="39">
        <v>2</v>
      </c>
      <c r="U76" s="39">
        <v>2</v>
      </c>
      <c r="V76" s="39">
        <v>1</v>
      </c>
      <c r="W76" s="39">
        <v>1</v>
      </c>
      <c r="X76" s="39">
        <v>1</v>
      </c>
      <c r="Y76" s="39">
        <v>1</v>
      </c>
      <c r="Z76" s="39">
        <v>1</v>
      </c>
      <c r="AA76" s="39">
        <v>1</v>
      </c>
      <c r="AB76" s="39"/>
      <c r="AC76" s="6"/>
      <c r="AD76" s="6"/>
      <c r="AE76" s="6"/>
      <c r="AF76" s="6"/>
      <c r="AG76" s="372">
        <f t="shared" ca="1" si="3"/>
        <v>0</v>
      </c>
      <c r="AI76" s="134"/>
      <c r="AJ76" s="134"/>
      <c r="AK76" s="1"/>
      <c r="AL76" s="76"/>
      <c r="AM76" s="445">
        <v>0</v>
      </c>
      <c r="AN76" s="19">
        <v>0</v>
      </c>
      <c r="AO76" s="19"/>
      <c r="AP76" s="19">
        <v>0</v>
      </c>
      <c r="AQ76" s="19">
        <v>0</v>
      </c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</row>
    <row r="77" spans="1:67" ht="18.75" x14ac:dyDescent="0.3">
      <c r="A77" s="95" t="s">
        <v>524</v>
      </c>
      <c r="B77" s="219">
        <v>2000</v>
      </c>
      <c r="C77" s="218">
        <v>71</v>
      </c>
      <c r="D77" s="234">
        <v>0</v>
      </c>
      <c r="F77" s="39">
        <v>0</v>
      </c>
      <c r="G77" s="39">
        <v>0</v>
      </c>
      <c r="H77" s="39">
        <v>0</v>
      </c>
      <c r="I77" s="39">
        <v>0</v>
      </c>
      <c r="J77" s="39">
        <v>0</v>
      </c>
      <c r="K77" s="39">
        <v>0</v>
      </c>
      <c r="L77" s="39">
        <v>0</v>
      </c>
      <c r="M77" s="39">
        <v>0</v>
      </c>
      <c r="N77" s="39">
        <v>0</v>
      </c>
      <c r="O77" s="39">
        <v>0</v>
      </c>
      <c r="P77" s="39">
        <v>0</v>
      </c>
      <c r="Q77" s="39">
        <v>0</v>
      </c>
      <c r="R77" s="39">
        <v>0</v>
      </c>
      <c r="S77" s="39">
        <v>0</v>
      </c>
      <c r="T77" s="39">
        <v>0</v>
      </c>
      <c r="U77" s="39">
        <v>0</v>
      </c>
      <c r="V77" s="39">
        <v>0</v>
      </c>
      <c r="W77" s="39">
        <v>0</v>
      </c>
      <c r="X77" s="39">
        <v>0</v>
      </c>
      <c r="Y77" s="39">
        <v>0</v>
      </c>
      <c r="Z77" s="39">
        <v>0</v>
      </c>
      <c r="AA77" s="39">
        <v>0</v>
      </c>
      <c r="AB77" s="39"/>
      <c r="AC77" s="6"/>
      <c r="AD77" s="6"/>
      <c r="AE77" s="6"/>
      <c r="AF77" s="6"/>
      <c r="AG77" s="372">
        <f t="shared" ca="1" si="3"/>
        <v>0</v>
      </c>
      <c r="AI77" s="134"/>
      <c r="AJ77" s="134"/>
      <c r="AK77" s="1"/>
      <c r="AL77" s="76"/>
      <c r="AM77" s="445">
        <v>0</v>
      </c>
      <c r="AN77" s="19">
        <v>0</v>
      </c>
      <c r="AO77" s="19"/>
      <c r="AP77" s="19">
        <v>0</v>
      </c>
      <c r="AQ77" s="19">
        <v>0</v>
      </c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</row>
    <row r="78" spans="1:67" ht="18.75" x14ac:dyDescent="0.3">
      <c r="A78" s="95" t="s">
        <v>464</v>
      </c>
      <c r="B78" s="217">
        <v>200</v>
      </c>
      <c r="C78" s="218">
        <v>184.13</v>
      </c>
      <c r="D78" s="234">
        <v>15</v>
      </c>
      <c r="F78" s="39">
        <v>2</v>
      </c>
      <c r="G78" s="39">
        <v>0</v>
      </c>
      <c r="H78" s="39">
        <v>0</v>
      </c>
      <c r="I78" s="39">
        <v>0</v>
      </c>
      <c r="J78" s="39">
        <v>0</v>
      </c>
      <c r="K78" s="39">
        <v>0</v>
      </c>
      <c r="L78" s="39">
        <f>0+AY78</f>
        <v>0</v>
      </c>
      <c r="M78" s="39">
        <v>40</v>
      </c>
      <c r="N78" s="39">
        <v>39</v>
      </c>
      <c r="O78" s="39">
        <v>39</v>
      </c>
      <c r="P78" s="39">
        <v>40</v>
      </c>
      <c r="Q78" s="39">
        <v>40</v>
      </c>
      <c r="R78" s="39">
        <v>40</v>
      </c>
      <c r="S78" s="39">
        <v>40</v>
      </c>
      <c r="T78" s="39">
        <v>38</v>
      </c>
      <c r="U78" s="39">
        <v>38</v>
      </c>
      <c r="V78" s="39"/>
      <c r="W78" s="39"/>
      <c r="X78" s="39"/>
      <c r="Y78" s="39"/>
      <c r="Z78" s="39"/>
      <c r="AA78" s="39">
        <v>36</v>
      </c>
      <c r="AB78" s="39">
        <v>30</v>
      </c>
      <c r="AC78" s="6">
        <v>30</v>
      </c>
      <c r="AD78" s="6">
        <v>30</v>
      </c>
      <c r="AE78" s="6">
        <v>30</v>
      </c>
      <c r="AF78" s="6">
        <v>30</v>
      </c>
      <c r="AG78" s="372">
        <f t="shared" ca="1" si="3"/>
        <v>0</v>
      </c>
      <c r="AI78" s="134"/>
      <c r="AJ78" s="134"/>
      <c r="AK78" s="1"/>
      <c r="AL78" s="76"/>
      <c r="AM78" s="445">
        <v>0</v>
      </c>
      <c r="AN78" s="19">
        <v>0</v>
      </c>
      <c r="AO78" s="19"/>
      <c r="AP78" s="19">
        <v>0</v>
      </c>
      <c r="AQ78" s="19">
        <v>0</v>
      </c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>
        <v>40</v>
      </c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</row>
    <row r="79" spans="1:67" ht="18.75" x14ac:dyDescent="0.3">
      <c r="A79" s="95" t="s">
        <v>465</v>
      </c>
      <c r="B79" s="217">
        <v>150</v>
      </c>
      <c r="C79" s="218">
        <v>181.4</v>
      </c>
      <c r="D79" s="234">
        <v>15</v>
      </c>
      <c r="F79" s="39">
        <v>17</v>
      </c>
      <c r="G79" s="39">
        <v>16</v>
      </c>
      <c r="H79" s="39">
        <v>16</v>
      </c>
      <c r="I79" s="39">
        <v>16</v>
      </c>
      <c r="J79" s="39">
        <v>16</v>
      </c>
      <c r="K79" s="39">
        <v>16</v>
      </c>
      <c r="L79" s="39">
        <v>16</v>
      </c>
      <c r="M79" s="39">
        <v>16</v>
      </c>
      <c r="N79" s="39">
        <v>16</v>
      </c>
      <c r="O79" s="39">
        <v>16</v>
      </c>
      <c r="P79" s="39">
        <v>16</v>
      </c>
      <c r="Q79" s="39">
        <v>16</v>
      </c>
      <c r="R79" s="39">
        <v>16</v>
      </c>
      <c r="S79" s="39">
        <v>16</v>
      </c>
      <c r="T79" s="39">
        <v>18</v>
      </c>
      <c r="U79" s="39">
        <v>17</v>
      </c>
      <c r="V79" s="39"/>
      <c r="W79" s="39"/>
      <c r="X79" s="39"/>
      <c r="Y79" s="39"/>
      <c r="Z79" s="39"/>
      <c r="AA79" s="39">
        <v>15</v>
      </c>
      <c r="AB79" s="39">
        <v>15</v>
      </c>
      <c r="AC79" s="6">
        <v>15</v>
      </c>
      <c r="AD79" s="6">
        <v>15</v>
      </c>
      <c r="AE79" s="6">
        <v>15</v>
      </c>
      <c r="AF79" s="6">
        <v>15</v>
      </c>
      <c r="AG79" s="372">
        <f t="shared" ca="1" si="3"/>
        <v>0</v>
      </c>
      <c r="AI79" s="134"/>
      <c r="AJ79" s="134"/>
      <c r="AK79" s="1"/>
      <c r="AL79" s="76"/>
      <c r="AM79" s="445">
        <v>0</v>
      </c>
      <c r="AN79" s="19">
        <v>0</v>
      </c>
      <c r="AO79" s="19"/>
      <c r="AP79" s="19">
        <v>0</v>
      </c>
      <c r="AQ79" s="19">
        <v>0</v>
      </c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</row>
    <row r="80" spans="1:67" ht="18.75" x14ac:dyDescent="0.3">
      <c r="A80" s="95" t="s">
        <v>466</v>
      </c>
      <c r="B80" s="217" t="s">
        <v>467</v>
      </c>
      <c r="C80" s="218" t="s">
        <v>467</v>
      </c>
      <c r="D80" s="234">
        <v>10</v>
      </c>
      <c r="F80" s="39">
        <v>0</v>
      </c>
      <c r="G80" s="39">
        <v>0</v>
      </c>
      <c r="H80" s="39">
        <v>0</v>
      </c>
      <c r="I80" s="39">
        <v>0</v>
      </c>
      <c r="J80" s="39">
        <v>0</v>
      </c>
      <c r="K80" s="39">
        <v>0</v>
      </c>
      <c r="L80" s="39">
        <v>0</v>
      </c>
      <c r="M80" s="39">
        <v>0</v>
      </c>
      <c r="N80" s="39">
        <v>0</v>
      </c>
      <c r="O80" s="39">
        <v>0</v>
      </c>
      <c r="P80" s="39">
        <v>0</v>
      </c>
      <c r="Q80" s="39">
        <v>0</v>
      </c>
      <c r="R80" s="39">
        <v>0</v>
      </c>
      <c r="S80" s="39">
        <v>0</v>
      </c>
      <c r="T80" s="39">
        <v>0</v>
      </c>
      <c r="U80" s="39">
        <v>0</v>
      </c>
      <c r="V80" s="39"/>
      <c r="W80" s="39"/>
      <c r="X80" s="39"/>
      <c r="Y80" s="39"/>
      <c r="Z80" s="39"/>
      <c r="AA80" s="39">
        <v>0</v>
      </c>
      <c r="AB80" s="39">
        <v>0</v>
      </c>
      <c r="AC80" s="6">
        <v>0</v>
      </c>
      <c r="AD80" s="6">
        <v>0</v>
      </c>
      <c r="AE80" s="6">
        <v>0</v>
      </c>
      <c r="AF80" s="6">
        <v>0</v>
      </c>
      <c r="AG80" s="372">
        <f t="shared" ca="1" si="3"/>
        <v>0</v>
      </c>
      <c r="AI80" s="134"/>
      <c r="AJ80" s="134"/>
      <c r="AK80" s="1"/>
      <c r="AL80" s="76"/>
      <c r="AM80" s="445">
        <v>0</v>
      </c>
      <c r="AN80" s="19">
        <v>0</v>
      </c>
      <c r="AO80" s="19"/>
      <c r="AP80" s="19">
        <v>0</v>
      </c>
      <c r="AQ80" s="19">
        <v>0</v>
      </c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</row>
    <row r="81" spans="1:67" ht="18.75" x14ac:dyDescent="0.3">
      <c r="A81" s="95" t="s">
        <v>468</v>
      </c>
      <c r="B81" s="217">
        <v>150</v>
      </c>
      <c r="C81" s="218">
        <v>400.5</v>
      </c>
      <c r="D81" s="234">
        <v>15</v>
      </c>
      <c r="F81" s="39">
        <v>1</v>
      </c>
      <c r="G81" s="39">
        <v>51</v>
      </c>
      <c r="H81" s="39">
        <v>9</v>
      </c>
      <c r="I81" s="39">
        <v>9</v>
      </c>
      <c r="J81" s="39">
        <v>8</v>
      </c>
      <c r="K81" s="39">
        <v>17</v>
      </c>
      <c r="L81" s="39">
        <v>17</v>
      </c>
      <c r="M81" s="39">
        <v>16</v>
      </c>
      <c r="N81" s="39">
        <v>16</v>
      </c>
      <c r="O81" s="39">
        <v>16</v>
      </c>
      <c r="P81" s="39">
        <v>16</v>
      </c>
      <c r="Q81" s="39">
        <v>16</v>
      </c>
      <c r="R81" s="39">
        <v>16</v>
      </c>
      <c r="S81" s="39">
        <v>15</v>
      </c>
      <c r="T81" s="39">
        <v>15</v>
      </c>
      <c r="U81" s="39">
        <v>15</v>
      </c>
      <c r="V81" s="39"/>
      <c r="W81" s="39"/>
      <c r="X81" s="39"/>
      <c r="Y81" s="39"/>
      <c r="Z81" s="39"/>
      <c r="AA81" s="39">
        <v>8</v>
      </c>
      <c r="AB81" s="39">
        <v>8</v>
      </c>
      <c r="AC81" s="6">
        <v>8</v>
      </c>
      <c r="AD81" s="6">
        <v>8</v>
      </c>
      <c r="AE81" s="6">
        <v>8</v>
      </c>
      <c r="AF81" s="6">
        <v>8</v>
      </c>
      <c r="AG81" s="372">
        <f t="shared" ca="1" si="3"/>
        <v>0</v>
      </c>
      <c r="AI81" s="134"/>
      <c r="AJ81" s="134"/>
      <c r="AK81" s="1"/>
      <c r="AL81" s="76"/>
      <c r="AM81" s="445">
        <v>0</v>
      </c>
      <c r="AN81" s="19">
        <v>0</v>
      </c>
      <c r="AO81" s="19"/>
      <c r="AP81" s="19">
        <v>0</v>
      </c>
      <c r="AQ81" s="19">
        <v>0</v>
      </c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</row>
    <row r="82" spans="1:67" ht="18.75" x14ac:dyDescent="0.3">
      <c r="A82" s="95" t="s">
        <v>469</v>
      </c>
      <c r="B82" s="217">
        <v>100</v>
      </c>
      <c r="C82" s="218">
        <v>365</v>
      </c>
      <c r="D82" s="234">
        <v>15</v>
      </c>
      <c r="F82" s="39">
        <v>27</v>
      </c>
      <c r="G82" s="39">
        <v>24</v>
      </c>
      <c r="H82" s="39">
        <v>24</v>
      </c>
      <c r="I82" s="39">
        <v>24</v>
      </c>
      <c r="J82" s="39">
        <v>23</v>
      </c>
      <c r="K82" s="39">
        <v>22</v>
      </c>
      <c r="L82" s="39">
        <v>22</v>
      </c>
      <c r="M82" s="39">
        <v>22</v>
      </c>
      <c r="N82" s="39">
        <v>21</v>
      </c>
      <c r="O82" s="39">
        <v>21</v>
      </c>
      <c r="P82" s="39">
        <v>21</v>
      </c>
      <c r="Q82" s="39">
        <v>21</v>
      </c>
      <c r="R82" s="39">
        <v>21</v>
      </c>
      <c r="S82" s="39">
        <v>21</v>
      </c>
      <c r="T82" s="39">
        <v>20</v>
      </c>
      <c r="U82" s="39">
        <v>20</v>
      </c>
      <c r="V82" s="39"/>
      <c r="W82" s="39"/>
      <c r="X82" s="39"/>
      <c r="Y82" s="39"/>
      <c r="Z82" s="39"/>
      <c r="AA82" s="39">
        <v>16</v>
      </c>
      <c r="AB82" s="39">
        <v>16</v>
      </c>
      <c r="AC82" s="6">
        <v>16</v>
      </c>
      <c r="AD82" s="6">
        <v>16</v>
      </c>
      <c r="AE82" s="6">
        <v>16</v>
      </c>
      <c r="AF82" s="6">
        <v>16</v>
      </c>
      <c r="AG82" s="372">
        <f t="shared" ca="1" si="3"/>
        <v>0</v>
      </c>
      <c r="AI82" s="134" t="s">
        <v>540</v>
      </c>
      <c r="AJ82" s="134"/>
      <c r="AK82" s="1"/>
      <c r="AL82" s="76"/>
      <c r="AM82" s="445">
        <v>0</v>
      </c>
      <c r="AN82" s="19">
        <v>0</v>
      </c>
      <c r="AO82" s="19"/>
      <c r="AP82" s="19">
        <v>0</v>
      </c>
      <c r="AQ82" s="19">
        <v>0</v>
      </c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</row>
    <row r="83" spans="1:67" ht="18.75" x14ac:dyDescent="0.3">
      <c r="A83" s="95" t="s">
        <v>470</v>
      </c>
      <c r="B83" s="217">
        <v>75</v>
      </c>
      <c r="C83" s="218">
        <v>438.75</v>
      </c>
      <c r="D83" s="234">
        <v>10</v>
      </c>
      <c r="F83" s="39">
        <v>21</v>
      </c>
      <c r="G83" s="39">
        <v>21</v>
      </c>
      <c r="H83" s="39">
        <v>20</v>
      </c>
      <c r="I83" s="39">
        <v>20</v>
      </c>
      <c r="J83" s="39">
        <v>20</v>
      </c>
      <c r="K83" s="39">
        <v>20</v>
      </c>
      <c r="L83" s="39">
        <v>20</v>
      </c>
      <c r="M83" s="39">
        <v>19</v>
      </c>
      <c r="N83" s="39">
        <v>19</v>
      </c>
      <c r="O83" s="39">
        <v>19</v>
      </c>
      <c r="P83" s="39">
        <v>19</v>
      </c>
      <c r="Q83" s="39">
        <v>19</v>
      </c>
      <c r="R83" s="39">
        <v>19</v>
      </c>
      <c r="S83" s="39">
        <v>18</v>
      </c>
      <c r="T83" s="39">
        <v>18</v>
      </c>
      <c r="U83" s="39">
        <v>18</v>
      </c>
      <c r="V83" s="39"/>
      <c r="W83" s="39"/>
      <c r="X83" s="39"/>
      <c r="Y83" s="39"/>
      <c r="Z83" s="39"/>
      <c r="AA83" s="39">
        <v>17</v>
      </c>
      <c r="AB83" s="39">
        <v>17</v>
      </c>
      <c r="AC83" s="6">
        <v>17</v>
      </c>
      <c r="AD83" s="6">
        <v>17</v>
      </c>
      <c r="AE83" s="6">
        <v>17</v>
      </c>
      <c r="AF83" s="6">
        <v>17</v>
      </c>
      <c r="AG83" s="372">
        <f t="shared" ca="1" si="3"/>
        <v>0</v>
      </c>
      <c r="AI83" s="134"/>
      <c r="AJ83" s="134"/>
      <c r="AK83" s="1"/>
      <c r="AL83" s="76"/>
      <c r="AM83" s="445">
        <v>0</v>
      </c>
      <c r="AN83" s="19">
        <v>0</v>
      </c>
      <c r="AO83" s="19"/>
      <c r="AP83" s="19">
        <v>0</v>
      </c>
      <c r="AQ83" s="19">
        <v>0</v>
      </c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</row>
    <row r="84" spans="1:67" ht="18.75" x14ac:dyDescent="0.3">
      <c r="B84" s="41"/>
      <c r="C84" s="120"/>
      <c r="D84" s="120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1"/>
      <c r="AD84" s="1"/>
      <c r="AE84" s="1"/>
      <c r="AF84" s="1"/>
      <c r="AG84" s="2"/>
      <c r="AI84" s="75"/>
      <c r="AJ84" s="75"/>
      <c r="AK84" s="1"/>
      <c r="AL84" s="15"/>
      <c r="AM84" s="388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5"/>
      <c r="BA84" s="75"/>
      <c r="BB84" s="75"/>
      <c r="BC84" s="75"/>
      <c r="BD84" s="75"/>
      <c r="BE84" s="75"/>
      <c r="BF84" s="75"/>
      <c r="BG84" s="75"/>
      <c r="BH84" s="75"/>
      <c r="BI84" s="75"/>
      <c r="BJ84" s="75"/>
      <c r="BK84" s="75"/>
      <c r="BL84" s="75"/>
      <c r="BM84" s="75"/>
      <c r="BN84" s="75"/>
      <c r="BO84" s="75"/>
    </row>
    <row r="85" spans="1:67" ht="18.75" x14ac:dyDescent="0.25">
      <c r="A85" s="256" t="s">
        <v>473</v>
      </c>
      <c r="B85" s="257" t="s">
        <v>151</v>
      </c>
      <c r="C85" s="257" t="s">
        <v>152</v>
      </c>
      <c r="D85" s="257"/>
      <c r="F85" s="13">
        <v>46006</v>
      </c>
      <c r="G85" s="13">
        <v>46013</v>
      </c>
      <c r="H85" s="13">
        <v>46020</v>
      </c>
      <c r="I85" s="13">
        <v>46027</v>
      </c>
      <c r="J85" s="13">
        <v>46034</v>
      </c>
      <c r="K85" s="13">
        <v>46041</v>
      </c>
      <c r="L85" s="13">
        <v>46048</v>
      </c>
      <c r="M85" s="13">
        <v>46055</v>
      </c>
      <c r="N85" s="13">
        <v>46062</v>
      </c>
      <c r="O85" s="13">
        <v>46069</v>
      </c>
      <c r="P85" s="13">
        <v>46076</v>
      </c>
      <c r="Q85" s="13">
        <v>46083</v>
      </c>
      <c r="R85" s="13">
        <v>46090</v>
      </c>
      <c r="S85" s="13">
        <v>46097</v>
      </c>
      <c r="T85" s="13">
        <v>46104</v>
      </c>
      <c r="U85" s="13">
        <v>46111</v>
      </c>
      <c r="V85" s="13">
        <v>46118</v>
      </c>
      <c r="W85" s="13">
        <v>46125</v>
      </c>
      <c r="X85" s="13">
        <v>46132</v>
      </c>
      <c r="Y85" s="13">
        <v>46139</v>
      </c>
      <c r="Z85" s="13">
        <v>46146</v>
      </c>
      <c r="AA85" s="13">
        <v>46154</v>
      </c>
      <c r="AB85" s="13">
        <v>46160</v>
      </c>
      <c r="AC85" s="13">
        <v>46161.480135034719</v>
      </c>
      <c r="AD85" s="13">
        <v>46161.480808761567</v>
      </c>
      <c r="AE85" s="13">
        <v>46161.482965682873</v>
      </c>
      <c r="AF85" s="13">
        <v>46161.483294400598</v>
      </c>
      <c r="AG85" s="35" t="s">
        <v>129</v>
      </c>
      <c r="AI85" s="75"/>
      <c r="AJ85" s="75"/>
      <c r="AK85" s="1"/>
      <c r="AL85" s="15"/>
      <c r="AM85" s="388"/>
      <c r="AN85" s="75"/>
      <c r="AO85" s="75"/>
      <c r="AP85" s="75"/>
      <c r="AQ85" s="75"/>
      <c r="AR85" s="75"/>
      <c r="AS85" s="75"/>
      <c r="AT85" s="75"/>
      <c r="AU85" s="75"/>
      <c r="AV85" s="75"/>
      <c r="AW85" s="75"/>
      <c r="AX85" s="75"/>
      <c r="AY85" s="75"/>
      <c r="AZ85" s="75"/>
      <c r="BA85" s="75"/>
      <c r="BB85" s="75"/>
      <c r="BC85" s="75"/>
      <c r="BD85" s="75"/>
      <c r="BE85" s="75"/>
      <c r="BF85" s="75"/>
      <c r="BG85" s="75"/>
      <c r="BH85" s="75"/>
      <c r="BI85" s="75"/>
      <c r="BJ85" s="75"/>
      <c r="BK85" s="75"/>
      <c r="BL85" s="75"/>
      <c r="BM85" s="75"/>
      <c r="BN85" s="75"/>
      <c r="BO85" s="75"/>
    </row>
    <row r="86" spans="1:67" ht="18.75" hidden="1" x14ac:dyDescent="0.25">
      <c r="A86" s="25" t="s">
        <v>474</v>
      </c>
      <c r="B86" s="6">
        <v>100</v>
      </c>
      <c r="C86" s="66">
        <v>316</v>
      </c>
      <c r="D86" s="234"/>
      <c r="F86" s="39">
        <v>0</v>
      </c>
      <c r="G86" s="39">
        <v>0</v>
      </c>
      <c r="H86" s="39">
        <v>0</v>
      </c>
      <c r="I86" s="39">
        <v>0</v>
      </c>
      <c r="J86" s="39">
        <v>0</v>
      </c>
      <c r="K86" s="39">
        <v>0</v>
      </c>
      <c r="L86" s="39">
        <v>0</v>
      </c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6"/>
      <c r="AD86" s="6"/>
      <c r="AE86" s="6"/>
      <c r="AF86" s="6"/>
      <c r="AG86" s="26">
        <f ca="1">AE86+IF(NOT(ISBLANK(OFFSET(AG86,0,6))),N(OFFSET(AG86,0,6)),N(OFFSET(AG86,0,7)))-AF86</f>
        <v>0</v>
      </c>
      <c r="AI86" s="75"/>
      <c r="AJ86" s="75"/>
      <c r="AK86" s="1"/>
      <c r="AL86" s="15"/>
      <c r="AM86" s="388"/>
      <c r="AN86" s="75"/>
      <c r="AO86" s="75"/>
      <c r="AP86" s="75"/>
      <c r="AQ86" s="75"/>
      <c r="AR86" s="75"/>
      <c r="AS86" s="75"/>
      <c r="AT86" s="75"/>
      <c r="AU86" s="75"/>
      <c r="AV86" s="75"/>
      <c r="AW86" s="75"/>
      <c r="AX86" s="75"/>
      <c r="AY86" s="75"/>
      <c r="AZ86" s="75"/>
      <c r="BA86" s="75"/>
      <c r="BB86" s="75"/>
      <c r="BC86" s="75"/>
      <c r="BD86" s="75"/>
      <c r="BE86" s="75"/>
      <c r="BF86" s="75"/>
      <c r="BG86" s="75"/>
      <c r="BH86" s="75"/>
      <c r="BI86" s="75"/>
      <c r="BJ86" s="75"/>
      <c r="BK86" s="75"/>
      <c r="BL86" s="75"/>
      <c r="BM86" s="75"/>
      <c r="BN86" s="75"/>
      <c r="BO86" s="75"/>
    </row>
    <row r="87" spans="1:67" ht="18.75" hidden="1" x14ac:dyDescent="0.25">
      <c r="A87" s="25" t="s">
        <v>475</v>
      </c>
      <c r="B87" s="6">
        <v>100</v>
      </c>
      <c r="C87" s="66">
        <v>41</v>
      </c>
      <c r="D87" s="234"/>
      <c r="F87" s="39">
        <v>0</v>
      </c>
      <c r="G87" s="39">
        <v>0</v>
      </c>
      <c r="H87" s="39">
        <v>0</v>
      </c>
      <c r="I87" s="39">
        <v>0</v>
      </c>
      <c r="J87" s="39">
        <v>0</v>
      </c>
      <c r="K87" s="39">
        <v>0</v>
      </c>
      <c r="L87" s="39">
        <v>0</v>
      </c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6"/>
      <c r="AD87" s="6"/>
      <c r="AE87" s="6"/>
      <c r="AF87" s="6"/>
      <c r="AG87" s="26">
        <f ca="1">AE87+IF(NOT(ISBLANK(OFFSET(AG87,0,6))),N(OFFSET(AG87,0,6)),N(OFFSET(AG87,0,7)))-AF87</f>
        <v>0</v>
      </c>
      <c r="AI87" s="75"/>
      <c r="AJ87" s="75"/>
      <c r="AK87" s="1"/>
      <c r="AL87" s="15"/>
      <c r="AM87" s="388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5"/>
      <c r="BA87" s="75"/>
      <c r="BB87" s="75"/>
      <c r="BC87" s="75"/>
      <c r="BD87" s="75"/>
      <c r="BE87" s="75"/>
      <c r="BF87" s="75"/>
      <c r="BG87" s="75"/>
      <c r="BH87" s="75"/>
      <c r="BI87" s="75"/>
      <c r="BJ87" s="75"/>
      <c r="BK87" s="75"/>
      <c r="BL87" s="75"/>
      <c r="BM87" s="75"/>
      <c r="BN87" s="75"/>
      <c r="BO87" s="75"/>
    </row>
    <row r="88" spans="1:67" ht="18.75" x14ac:dyDescent="0.25">
      <c r="A88" s="25" t="s">
        <v>476</v>
      </c>
      <c r="B88" s="6">
        <v>150</v>
      </c>
      <c r="C88" s="66">
        <v>478.5</v>
      </c>
      <c r="D88" s="234"/>
      <c r="F88" s="39">
        <v>45</v>
      </c>
      <c r="G88" s="39">
        <v>45</v>
      </c>
      <c r="H88" s="39">
        <v>45</v>
      </c>
      <c r="I88" s="39">
        <v>45</v>
      </c>
      <c r="J88" s="39">
        <v>45</v>
      </c>
      <c r="K88" s="39">
        <v>46</v>
      </c>
      <c r="L88" s="39">
        <v>46</v>
      </c>
      <c r="M88" s="39">
        <v>46</v>
      </c>
      <c r="N88" s="206">
        <v>100</v>
      </c>
      <c r="O88" s="39">
        <v>60</v>
      </c>
      <c r="P88" s="39">
        <v>60</v>
      </c>
      <c r="Q88" s="39">
        <v>60</v>
      </c>
      <c r="R88" s="39">
        <v>56</v>
      </c>
      <c r="S88" s="39">
        <v>56</v>
      </c>
      <c r="T88" s="39">
        <v>56</v>
      </c>
      <c r="U88" s="39">
        <v>56</v>
      </c>
      <c r="V88" s="39"/>
      <c r="W88" s="39"/>
      <c r="X88" s="39"/>
      <c r="Y88" s="39"/>
      <c r="Z88" s="39"/>
      <c r="AA88" s="39">
        <v>49</v>
      </c>
      <c r="AB88" s="39">
        <v>49</v>
      </c>
      <c r="AC88" s="6">
        <v>146</v>
      </c>
      <c r="AD88" s="6">
        <v>146</v>
      </c>
      <c r="AE88" s="6">
        <v>146</v>
      </c>
      <c r="AF88" s="6">
        <v>146</v>
      </c>
      <c r="AG88" s="372">
        <f ca="1">AE88+IF(NOT(ISBLANK(OFFSET(AG88,0,6))),N(OFFSET(AG88,0,6)),N(OFFSET(AG88,0,7)))-AF88</f>
        <v>0</v>
      </c>
      <c r="AI88" s="75"/>
      <c r="AJ88" s="75"/>
      <c r="AK88" s="1"/>
      <c r="AL88" s="15"/>
      <c r="AM88" s="388"/>
      <c r="AN88" s="75"/>
      <c r="AO88" s="75"/>
      <c r="AP88" s="75"/>
      <c r="AQ88" s="75"/>
      <c r="AR88" s="75"/>
      <c r="AS88" s="75"/>
      <c r="AT88" s="75"/>
      <c r="AU88" s="75"/>
      <c r="AV88" s="75"/>
      <c r="AW88" s="75"/>
      <c r="AX88" s="75"/>
      <c r="AY88" s="75"/>
      <c r="AZ88" s="75"/>
      <c r="BA88" s="75"/>
      <c r="BB88" s="75"/>
      <c r="BC88" s="75"/>
      <c r="BD88" s="75"/>
      <c r="BE88" s="75"/>
      <c r="BF88" s="75"/>
      <c r="BG88" s="75"/>
      <c r="BH88" s="75"/>
      <c r="BI88" s="75"/>
      <c r="BJ88" s="75"/>
      <c r="BK88" s="75"/>
      <c r="BL88" s="75"/>
      <c r="BM88" s="75"/>
      <c r="BN88" s="75"/>
      <c r="BO88" s="75"/>
    </row>
    <row r="89" spans="1:67" ht="18.75" x14ac:dyDescent="0.3">
      <c r="B89" s="41"/>
      <c r="C89" s="120"/>
      <c r="D89" s="120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1"/>
      <c r="AD89" s="1"/>
      <c r="AE89" s="1"/>
      <c r="AF89" s="1"/>
      <c r="AG89" s="2"/>
      <c r="AI89" s="75"/>
      <c r="AJ89" s="75"/>
      <c r="AK89" s="1"/>
      <c r="AL89" s="15"/>
      <c r="AM89" s="388"/>
      <c r="AN89" s="75"/>
      <c r="AO89" s="75"/>
      <c r="AP89" s="75"/>
      <c r="AQ89" s="75"/>
      <c r="AR89" s="75"/>
      <c r="AS89" s="75"/>
      <c r="AT89" s="75"/>
      <c r="AU89" s="75"/>
      <c r="AV89" s="75"/>
      <c r="AW89" s="75"/>
      <c r="AX89" s="75"/>
      <c r="AY89" s="75"/>
      <c r="AZ89" s="75"/>
      <c r="BA89" s="75"/>
      <c r="BB89" s="75"/>
      <c r="BC89" s="75"/>
      <c r="BD89" s="75"/>
      <c r="BE89" s="75"/>
      <c r="BF89" s="75"/>
      <c r="BG89" s="75"/>
      <c r="BH89" s="75"/>
      <c r="BI89" s="75"/>
      <c r="BJ89" s="75"/>
      <c r="BK89" s="75"/>
      <c r="BL89" s="75"/>
      <c r="BM89" s="75"/>
      <c r="BN89" s="75"/>
      <c r="BO89" s="75"/>
    </row>
    <row r="90" spans="1:67" ht="18.75" x14ac:dyDescent="0.25">
      <c r="A90" s="407" t="s">
        <v>477</v>
      </c>
      <c r="B90" s="408" t="s">
        <v>151</v>
      </c>
      <c r="C90" s="408" t="s">
        <v>152</v>
      </c>
      <c r="D90" s="408"/>
      <c r="F90" s="13">
        <v>46006</v>
      </c>
      <c r="G90" s="13">
        <v>46013</v>
      </c>
      <c r="H90" s="13">
        <v>46020</v>
      </c>
      <c r="I90" s="13">
        <v>46027</v>
      </c>
      <c r="J90" s="13">
        <v>46034</v>
      </c>
      <c r="K90" s="13">
        <v>46041</v>
      </c>
      <c r="L90" s="13">
        <v>46048</v>
      </c>
      <c r="M90" s="13">
        <v>46055</v>
      </c>
      <c r="N90" s="13">
        <v>46062</v>
      </c>
      <c r="O90" s="13">
        <v>46069</v>
      </c>
      <c r="P90" s="13">
        <v>46076</v>
      </c>
      <c r="Q90" s="13">
        <v>46083</v>
      </c>
      <c r="R90" s="13">
        <v>46090</v>
      </c>
      <c r="S90" s="13">
        <v>46097</v>
      </c>
      <c r="T90" s="13">
        <v>46104</v>
      </c>
      <c r="U90" s="13">
        <v>46111</v>
      </c>
      <c r="V90" s="13">
        <v>46118</v>
      </c>
      <c r="W90" s="13">
        <v>46125</v>
      </c>
      <c r="X90" s="13">
        <v>46132</v>
      </c>
      <c r="Y90" s="13">
        <v>46139</v>
      </c>
      <c r="Z90" s="13">
        <v>46146</v>
      </c>
      <c r="AA90" s="13">
        <v>46154</v>
      </c>
      <c r="AB90" s="13">
        <v>46160</v>
      </c>
      <c r="AC90" s="13">
        <v>46161.480135034719</v>
      </c>
      <c r="AD90" s="13">
        <v>46161.480808761567</v>
      </c>
      <c r="AE90" s="13">
        <v>46161.482965682873</v>
      </c>
      <c r="AF90" s="13">
        <v>46161.483294400743</v>
      </c>
      <c r="AG90" s="35" t="s">
        <v>129</v>
      </c>
    </row>
    <row r="91" spans="1:67" ht="18.75" hidden="1" x14ac:dyDescent="0.25">
      <c r="A91" s="25" t="s">
        <v>421</v>
      </c>
      <c r="B91" s="6">
        <v>200</v>
      </c>
      <c r="C91" s="66">
        <v>479.2</v>
      </c>
      <c r="D91" s="234"/>
      <c r="F91" s="39">
        <v>0</v>
      </c>
      <c r="G91" s="39">
        <v>0</v>
      </c>
      <c r="H91" s="39">
        <v>0</v>
      </c>
      <c r="I91" s="39">
        <v>0</v>
      </c>
      <c r="J91" s="39">
        <v>0</v>
      </c>
      <c r="K91" s="39">
        <v>0</v>
      </c>
      <c r="L91" s="39">
        <v>0</v>
      </c>
      <c r="M91" s="39">
        <v>0</v>
      </c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6"/>
      <c r="AD91" s="6"/>
      <c r="AE91" s="6"/>
      <c r="AF91" s="6"/>
      <c r="AG91" s="26">
        <f ca="1">AE91+IF(NOT(ISBLANK(OFFSET(AG91,0,6))),N(OFFSET(AG91,0,6)),N(OFFSET(AG91,0,7)))-AF91</f>
        <v>0</v>
      </c>
    </row>
    <row r="92" spans="1:67" ht="18.75" x14ac:dyDescent="0.25">
      <c r="A92" s="25" t="s">
        <v>143</v>
      </c>
      <c r="B92" s="6">
        <v>200</v>
      </c>
      <c r="C92" s="66">
        <v>45.47</v>
      </c>
      <c r="D92" s="234"/>
      <c r="F92" s="39">
        <v>17</v>
      </c>
      <c r="G92" s="39">
        <v>15</v>
      </c>
      <c r="H92" s="39">
        <v>15</v>
      </c>
      <c r="I92" s="39">
        <v>15</v>
      </c>
      <c r="J92" s="39">
        <v>7</v>
      </c>
      <c r="K92" s="39">
        <v>10</v>
      </c>
      <c r="L92" s="39">
        <v>10</v>
      </c>
      <c r="M92" s="39">
        <v>10</v>
      </c>
      <c r="N92" s="39">
        <v>10</v>
      </c>
      <c r="O92" s="39">
        <v>10</v>
      </c>
      <c r="P92" s="39">
        <v>10</v>
      </c>
      <c r="Q92" s="39">
        <v>2</v>
      </c>
      <c r="R92" s="39">
        <v>2</v>
      </c>
      <c r="S92" s="39">
        <v>2</v>
      </c>
      <c r="T92" s="39">
        <v>2</v>
      </c>
      <c r="U92" s="39">
        <v>2</v>
      </c>
      <c r="V92" s="39"/>
      <c r="W92" s="39"/>
      <c r="X92" s="39"/>
      <c r="Y92" s="39"/>
      <c r="Z92" s="39"/>
      <c r="AA92" s="39">
        <v>0</v>
      </c>
      <c r="AB92" s="39">
        <v>0</v>
      </c>
      <c r="AC92" s="6">
        <v>0</v>
      </c>
      <c r="AD92" s="6">
        <v>0</v>
      </c>
      <c r="AE92" s="6">
        <v>0</v>
      </c>
      <c r="AF92" s="6">
        <v>0</v>
      </c>
      <c r="AG92" s="372">
        <f ca="1">AE92+IF(NOT(ISBLANK(OFFSET(AG92,0,6))),N(OFFSET(AG92,0,6)),N(OFFSET(AG92,0,7)))-AF92</f>
        <v>0</v>
      </c>
    </row>
    <row r="93" spans="1:67" ht="18.75" x14ac:dyDescent="0.25">
      <c r="A93" s="25" t="s">
        <v>156</v>
      </c>
      <c r="B93" s="6">
        <v>100</v>
      </c>
      <c r="C93" s="66">
        <v>1490</v>
      </c>
      <c r="D93" s="234"/>
      <c r="F93" s="39">
        <v>37</v>
      </c>
      <c r="G93" s="39">
        <v>32</v>
      </c>
      <c r="H93" s="39">
        <v>31</v>
      </c>
      <c r="I93" s="39">
        <v>31</v>
      </c>
      <c r="J93" s="39">
        <v>31</v>
      </c>
      <c r="K93" s="39">
        <v>29</v>
      </c>
      <c r="L93" s="39">
        <v>29</v>
      </c>
      <c r="M93" s="39">
        <v>29</v>
      </c>
      <c r="N93" s="39">
        <v>29</v>
      </c>
      <c r="O93" s="39">
        <v>29</v>
      </c>
      <c r="P93" s="39">
        <v>29</v>
      </c>
      <c r="Q93" s="39">
        <v>29</v>
      </c>
      <c r="R93" s="39">
        <v>29</v>
      </c>
      <c r="S93" s="39">
        <v>29</v>
      </c>
      <c r="T93" s="39">
        <v>29</v>
      </c>
      <c r="U93" s="39">
        <v>29</v>
      </c>
      <c r="V93" s="39"/>
      <c r="W93" s="39"/>
      <c r="X93" s="39"/>
      <c r="Y93" s="39"/>
      <c r="Z93" s="39"/>
      <c r="AA93" s="39">
        <v>29</v>
      </c>
      <c r="AB93" s="39">
        <v>29</v>
      </c>
      <c r="AC93" s="6">
        <v>36</v>
      </c>
      <c r="AD93" s="6">
        <v>36</v>
      </c>
      <c r="AE93" s="6">
        <v>36</v>
      </c>
      <c r="AF93" s="6">
        <v>36</v>
      </c>
      <c r="AG93" s="372">
        <f ca="1">AE93+IF(NOT(ISBLANK(OFFSET(AG93,0,6))),N(OFFSET(AG93,0,6)),N(OFFSET(AG93,0,7)))-AF93</f>
        <v>0</v>
      </c>
    </row>
    <row r="94" spans="1:67" ht="18.75" x14ac:dyDescent="0.3">
      <c r="B94" s="41"/>
      <c r="C94" s="120"/>
      <c r="D94" s="120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1"/>
      <c r="AD94" s="1"/>
      <c r="AE94" s="1"/>
      <c r="AF94" s="1"/>
      <c r="AG94" s="2"/>
      <c r="AI94" s="75"/>
      <c r="AJ94" s="75"/>
      <c r="AK94" s="1"/>
      <c r="AL94" s="15"/>
      <c r="AM94" s="388"/>
      <c r="AN94" s="75"/>
      <c r="AO94" s="75"/>
      <c r="AP94" s="75"/>
      <c r="AQ94" s="75"/>
      <c r="AR94" s="75"/>
      <c r="AS94" s="75"/>
      <c r="AT94" s="75"/>
      <c r="AU94" s="75"/>
      <c r="AV94" s="75"/>
      <c r="AW94" s="75"/>
      <c r="AX94" s="75"/>
      <c r="AY94" s="75"/>
      <c r="AZ94" s="75"/>
      <c r="BA94" s="75"/>
      <c r="BB94" s="75"/>
      <c r="BC94" s="75"/>
      <c r="BD94" s="75"/>
      <c r="BE94" s="75"/>
      <c r="BF94" s="75"/>
      <c r="BG94" s="75"/>
      <c r="BH94" s="75"/>
      <c r="BI94" s="75"/>
      <c r="BJ94" s="75"/>
      <c r="BK94" s="75"/>
      <c r="BL94" s="75"/>
      <c r="BM94" s="75"/>
      <c r="BN94" s="75"/>
      <c r="BO94" s="75"/>
    </row>
    <row r="95" spans="1:67" ht="18.75" x14ac:dyDescent="0.25">
      <c r="A95" s="270" t="s">
        <v>478</v>
      </c>
      <c r="B95" s="271" t="s">
        <v>151</v>
      </c>
      <c r="C95" s="271" t="s">
        <v>152</v>
      </c>
      <c r="D95" s="271"/>
      <c r="F95" s="13">
        <v>46006</v>
      </c>
      <c r="G95" s="13">
        <v>46013</v>
      </c>
      <c r="H95" s="13">
        <v>46020</v>
      </c>
      <c r="I95" s="13">
        <v>46027</v>
      </c>
      <c r="J95" s="13">
        <v>46034</v>
      </c>
      <c r="K95" s="13">
        <v>46041</v>
      </c>
      <c r="L95" s="13">
        <v>46048</v>
      </c>
      <c r="M95" s="13">
        <v>46055</v>
      </c>
      <c r="N95" s="13">
        <v>46062</v>
      </c>
      <c r="O95" s="13">
        <v>46069</v>
      </c>
      <c r="P95" s="13">
        <v>46076</v>
      </c>
      <c r="Q95" s="13">
        <v>46083</v>
      </c>
      <c r="R95" s="13">
        <v>46090</v>
      </c>
      <c r="S95" s="13">
        <v>46097</v>
      </c>
      <c r="T95" s="13">
        <v>46104</v>
      </c>
      <c r="U95" s="13">
        <v>46111</v>
      </c>
      <c r="V95" s="13">
        <v>46118</v>
      </c>
      <c r="W95" s="13">
        <v>46125</v>
      </c>
      <c r="X95" s="13">
        <v>46132</v>
      </c>
      <c r="Y95" s="13">
        <v>46139</v>
      </c>
      <c r="Z95" s="13">
        <v>46146</v>
      </c>
      <c r="AA95" s="13">
        <v>46154</v>
      </c>
      <c r="AB95" s="13">
        <v>46160</v>
      </c>
      <c r="AC95" s="13">
        <v>46161.480135034719</v>
      </c>
      <c r="AD95" s="13">
        <v>46161.480808761567</v>
      </c>
      <c r="AE95" s="13">
        <v>46161.482965682873</v>
      </c>
      <c r="AF95" s="13">
        <v>46161.483294400867</v>
      </c>
      <c r="AG95" s="35" t="s">
        <v>129</v>
      </c>
      <c r="AI95" s="75"/>
      <c r="AJ95" s="75"/>
      <c r="AK95" s="1"/>
      <c r="AL95" s="15"/>
      <c r="AM95" s="388"/>
      <c r="AN95" s="75"/>
      <c r="AO95" s="75"/>
      <c r="AP95" s="75"/>
      <c r="AQ95" s="75"/>
      <c r="AR95" s="75"/>
      <c r="AS95" s="75"/>
      <c r="AT95" s="75"/>
      <c r="AU95" s="75"/>
      <c r="AV95" s="75"/>
      <c r="AW95" s="75"/>
      <c r="AX95" s="75"/>
      <c r="AY95" s="75"/>
      <c r="AZ95" s="75"/>
      <c r="BA95" s="75"/>
      <c r="BB95" s="75"/>
      <c r="BC95" s="75"/>
      <c r="BD95" s="75"/>
      <c r="BE95" s="75"/>
      <c r="BF95" s="75"/>
      <c r="BG95" s="75"/>
      <c r="BH95" s="75"/>
      <c r="BI95" s="75"/>
      <c r="BJ95" s="75"/>
      <c r="BK95" s="75"/>
      <c r="BL95" s="75"/>
      <c r="BM95" s="75"/>
      <c r="BN95" s="75"/>
      <c r="BO95" s="75"/>
    </row>
    <row r="96" spans="1:67" ht="18.75" x14ac:dyDescent="0.25">
      <c r="A96" s="25" t="s">
        <v>138</v>
      </c>
      <c r="B96" s="6">
        <v>200</v>
      </c>
      <c r="C96" s="66">
        <v>336</v>
      </c>
      <c r="D96" s="234"/>
      <c r="F96" s="39">
        <v>89</v>
      </c>
      <c r="G96" s="39">
        <v>21</v>
      </c>
      <c r="H96" s="39">
        <v>4</v>
      </c>
      <c r="I96" s="39">
        <v>4</v>
      </c>
      <c r="J96" s="39">
        <v>4</v>
      </c>
      <c r="K96" s="39">
        <v>55</v>
      </c>
      <c r="L96" s="39">
        <v>55</v>
      </c>
      <c r="M96" s="39">
        <v>55</v>
      </c>
      <c r="N96" s="39">
        <v>55</v>
      </c>
      <c r="O96" s="39">
        <v>55</v>
      </c>
      <c r="P96" s="39">
        <v>54</v>
      </c>
      <c r="Q96" s="39">
        <v>40</v>
      </c>
      <c r="R96" s="39">
        <v>13</v>
      </c>
      <c r="S96" s="39">
        <v>12</v>
      </c>
      <c r="T96" s="39">
        <v>0</v>
      </c>
      <c r="U96" s="39">
        <v>0</v>
      </c>
      <c r="V96" s="39"/>
      <c r="W96" s="39"/>
      <c r="X96" s="39"/>
      <c r="Y96" s="39"/>
      <c r="Z96" s="39"/>
      <c r="AA96" s="39">
        <v>0</v>
      </c>
      <c r="AB96" s="39">
        <v>0</v>
      </c>
      <c r="AC96" s="6">
        <v>0</v>
      </c>
      <c r="AD96" s="6">
        <v>0</v>
      </c>
      <c r="AE96" s="6">
        <v>0</v>
      </c>
      <c r="AF96" s="6">
        <v>0</v>
      </c>
      <c r="AG96" s="372">
        <f ca="1">AE96+IF(NOT(ISBLANK(OFFSET(AG96,0,6))),N(OFFSET(AG96,0,6)),N(OFFSET(AG96,0,7)))-AF96</f>
        <v>0</v>
      </c>
      <c r="AI96" s="75"/>
      <c r="AJ96" s="75"/>
      <c r="AK96" s="1"/>
      <c r="AL96" s="15"/>
      <c r="AM96" s="388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5"/>
      <c r="BA96" s="75"/>
      <c r="BB96" s="75"/>
      <c r="BC96" s="75"/>
      <c r="BD96" s="75"/>
      <c r="BE96" s="75"/>
      <c r="BF96" s="75"/>
      <c r="BG96" s="75"/>
      <c r="BH96" s="75"/>
      <c r="BI96" s="75"/>
      <c r="BJ96" s="75"/>
      <c r="BK96" s="75"/>
      <c r="BL96" s="75"/>
      <c r="BM96" s="75"/>
      <c r="BN96" s="75"/>
      <c r="BO96" s="75"/>
    </row>
    <row r="97" spans="1:67" ht="18.75" x14ac:dyDescent="0.25">
      <c r="A97" s="25" t="s">
        <v>143</v>
      </c>
      <c r="B97" s="6">
        <v>200</v>
      </c>
      <c r="C97" s="66">
        <v>54</v>
      </c>
      <c r="D97" s="234"/>
      <c r="F97" s="39">
        <v>246</v>
      </c>
      <c r="G97" s="39">
        <v>217</v>
      </c>
      <c r="H97" s="39">
        <v>209</v>
      </c>
      <c r="I97" s="39">
        <v>209</v>
      </c>
      <c r="J97" s="39">
        <v>207</v>
      </c>
      <c r="K97" s="39">
        <v>196</v>
      </c>
      <c r="L97" s="39">
        <v>196</v>
      </c>
      <c r="M97" s="39">
        <v>196</v>
      </c>
      <c r="N97" s="39">
        <v>196</v>
      </c>
      <c r="O97" s="39">
        <v>196</v>
      </c>
      <c r="P97" s="39">
        <v>157</v>
      </c>
      <c r="Q97" s="39">
        <v>157</v>
      </c>
      <c r="R97" s="39">
        <v>157</v>
      </c>
      <c r="S97" s="39">
        <v>157</v>
      </c>
      <c r="T97" s="39">
        <v>157</v>
      </c>
      <c r="U97" s="39">
        <v>157</v>
      </c>
      <c r="V97" s="39"/>
      <c r="W97" s="39"/>
      <c r="X97" s="39"/>
      <c r="Y97" s="39"/>
      <c r="Z97" s="39"/>
      <c r="AA97" s="39">
        <v>146</v>
      </c>
      <c r="AB97" s="39">
        <v>136</v>
      </c>
      <c r="AC97" s="6">
        <v>136</v>
      </c>
      <c r="AD97" s="6">
        <v>136</v>
      </c>
      <c r="AE97" s="6">
        <v>136</v>
      </c>
      <c r="AF97" s="6">
        <v>136</v>
      </c>
      <c r="AG97" s="372">
        <f ca="1">AE97+IF(NOT(ISBLANK(OFFSET(AG97,0,6))),N(OFFSET(AG97,0,6)),N(OFFSET(AG97,0,7)))-AF97</f>
        <v>0</v>
      </c>
      <c r="AI97" s="75"/>
      <c r="AJ97" s="75"/>
      <c r="AK97" s="1"/>
      <c r="AL97" s="15"/>
      <c r="AM97" s="388"/>
      <c r="AN97" s="75"/>
      <c r="AO97" s="75"/>
      <c r="AP97" s="75"/>
      <c r="AQ97" s="75"/>
      <c r="AR97" s="75"/>
      <c r="AS97" s="75"/>
      <c r="AT97" s="75"/>
      <c r="AU97" s="75"/>
      <c r="AV97" s="75"/>
      <c r="AW97" s="75"/>
      <c r="AX97" s="75"/>
      <c r="AY97" s="75"/>
      <c r="AZ97" s="75"/>
      <c r="BA97" s="75"/>
      <c r="BB97" s="75"/>
      <c r="BC97" s="75"/>
      <c r="BD97" s="75"/>
      <c r="BE97" s="75"/>
      <c r="BF97" s="75"/>
      <c r="BG97" s="75"/>
      <c r="BH97" s="75"/>
      <c r="BI97" s="75"/>
      <c r="BJ97" s="75"/>
      <c r="BK97" s="75"/>
      <c r="BL97" s="75"/>
      <c r="BM97" s="75"/>
      <c r="BN97" s="75"/>
      <c r="BO97" s="75"/>
    </row>
    <row r="98" spans="1:67" ht="18.75" x14ac:dyDescent="0.25">
      <c r="A98" s="25" t="s">
        <v>479</v>
      </c>
      <c r="B98" s="6">
        <v>200</v>
      </c>
      <c r="C98" s="66">
        <v>40</v>
      </c>
      <c r="D98" s="234"/>
      <c r="F98" s="39">
        <v>0</v>
      </c>
      <c r="G98" s="39">
        <v>0</v>
      </c>
      <c r="H98" s="39">
        <v>0</v>
      </c>
      <c r="I98" s="39">
        <v>0</v>
      </c>
      <c r="J98" s="39">
        <v>0</v>
      </c>
      <c r="K98" s="39">
        <v>0</v>
      </c>
      <c r="L98" s="39">
        <v>0</v>
      </c>
      <c r="M98" s="39">
        <v>0</v>
      </c>
      <c r="N98" s="39">
        <v>0</v>
      </c>
      <c r="O98" s="39">
        <v>0</v>
      </c>
      <c r="P98" s="39">
        <v>5</v>
      </c>
      <c r="Q98" s="39">
        <v>5</v>
      </c>
      <c r="R98" s="39">
        <v>5</v>
      </c>
      <c r="S98" s="39">
        <v>5</v>
      </c>
      <c r="T98" s="39">
        <v>0</v>
      </c>
      <c r="U98" s="39">
        <v>0</v>
      </c>
      <c r="V98" s="39"/>
      <c r="W98" s="39"/>
      <c r="X98" s="39"/>
      <c r="Y98" s="39"/>
      <c r="Z98" s="39"/>
      <c r="AA98" s="39">
        <v>0</v>
      </c>
      <c r="AB98" s="39">
        <v>0</v>
      </c>
      <c r="AC98" s="6">
        <v>0</v>
      </c>
      <c r="AD98" s="6">
        <v>0</v>
      </c>
      <c r="AE98" s="6">
        <v>0</v>
      </c>
      <c r="AF98" s="6">
        <v>0</v>
      </c>
      <c r="AG98" s="372">
        <f ca="1">AE98+IF(NOT(ISBLANK(OFFSET(AG98,0,6))),N(OFFSET(AG98,0,6)),N(OFFSET(AG98,0,7)))-AF98</f>
        <v>0</v>
      </c>
      <c r="AI98" s="75"/>
      <c r="AJ98" s="75"/>
      <c r="AK98" s="1"/>
      <c r="AL98" s="15"/>
      <c r="AM98" s="388"/>
      <c r="AN98" s="75"/>
      <c r="AO98" s="75"/>
      <c r="AP98" s="75"/>
      <c r="AQ98" s="75"/>
      <c r="AR98" s="75"/>
      <c r="AS98" s="75"/>
      <c r="AT98" s="75"/>
      <c r="AU98" s="75"/>
      <c r="AV98" s="75"/>
      <c r="AW98" s="75"/>
      <c r="AX98" s="75"/>
      <c r="AY98" s="75"/>
      <c r="AZ98" s="75"/>
      <c r="BA98" s="75"/>
      <c r="BB98" s="75"/>
      <c r="BC98" s="75"/>
      <c r="BD98" s="75"/>
      <c r="BE98" s="75"/>
      <c r="BF98" s="75"/>
      <c r="BG98" s="75"/>
      <c r="BH98" s="75"/>
      <c r="BI98" s="75"/>
      <c r="BJ98" s="75"/>
      <c r="BK98" s="75"/>
      <c r="BL98" s="75"/>
      <c r="BM98" s="75"/>
      <c r="BN98" s="75"/>
      <c r="BO98" s="75"/>
    </row>
    <row r="99" spans="1:67" ht="18.75" x14ac:dyDescent="0.3">
      <c r="A99" s="153" t="s">
        <v>156</v>
      </c>
      <c r="B99" s="72">
        <v>100</v>
      </c>
      <c r="C99" s="77">
        <v>904</v>
      </c>
      <c r="D99" s="72"/>
      <c r="F99" s="39">
        <v>108</v>
      </c>
      <c r="G99" s="39">
        <v>108</v>
      </c>
      <c r="H99" s="39">
        <v>108</v>
      </c>
      <c r="I99" s="39">
        <v>108</v>
      </c>
      <c r="J99" s="39">
        <v>108</v>
      </c>
      <c r="K99" s="39">
        <v>116</v>
      </c>
      <c r="L99" s="39">
        <v>116</v>
      </c>
      <c r="M99" s="39">
        <v>116</v>
      </c>
      <c r="N99" s="39">
        <v>116</v>
      </c>
      <c r="O99" s="39">
        <v>116</v>
      </c>
      <c r="P99" s="39">
        <v>109</v>
      </c>
      <c r="Q99" s="39">
        <v>109</v>
      </c>
      <c r="R99" s="39">
        <v>109</v>
      </c>
      <c r="S99" s="39">
        <v>109</v>
      </c>
      <c r="T99" s="39">
        <v>108</v>
      </c>
      <c r="U99" s="39">
        <v>108</v>
      </c>
      <c r="V99" s="39"/>
      <c r="W99" s="39"/>
      <c r="X99" s="39"/>
      <c r="Y99" s="39"/>
      <c r="Z99" s="39"/>
      <c r="AA99" s="39">
        <v>105</v>
      </c>
      <c r="AB99" s="39">
        <v>105</v>
      </c>
      <c r="AC99" s="6">
        <v>105</v>
      </c>
      <c r="AD99" s="6">
        <v>105</v>
      </c>
      <c r="AE99" s="6">
        <v>105</v>
      </c>
      <c r="AF99" s="6">
        <v>105</v>
      </c>
      <c r="AG99" s="372">
        <f ca="1">AE99+IF(NOT(ISBLANK(OFFSET(AG99,0,6))),N(OFFSET(AG99,0,6)),N(OFFSET(AG99,0,7)))-AF99</f>
        <v>0</v>
      </c>
      <c r="AI99" s="75"/>
      <c r="AJ99" s="75"/>
      <c r="AK99" s="1"/>
      <c r="AL99" s="15"/>
      <c r="AM99" s="388"/>
      <c r="AN99" s="75"/>
      <c r="AO99" s="75"/>
      <c r="AP99" s="75"/>
      <c r="AQ99" s="75"/>
      <c r="AR99" s="75"/>
      <c r="AS99" s="75"/>
      <c r="AT99" s="75"/>
      <c r="AU99" s="75"/>
      <c r="AV99" s="75"/>
      <c r="AW99" s="75"/>
      <c r="AX99" s="75"/>
      <c r="AY99" s="75"/>
      <c r="AZ99" s="75"/>
      <c r="BA99" s="75"/>
      <c r="BB99" s="75"/>
      <c r="BC99" s="75"/>
      <c r="BD99" s="75"/>
      <c r="BE99" s="75"/>
      <c r="BF99" s="75"/>
      <c r="BG99" s="75"/>
      <c r="BH99" s="75"/>
      <c r="BI99" s="75"/>
      <c r="BJ99" s="75"/>
      <c r="BK99" s="75"/>
      <c r="BL99" s="75"/>
      <c r="BM99" s="75"/>
      <c r="BN99" s="75"/>
      <c r="BO99" s="75"/>
    </row>
    <row r="100" spans="1:67" ht="18.75" x14ac:dyDescent="0.3">
      <c r="A100" s="153" t="s">
        <v>158</v>
      </c>
      <c r="B100" s="72">
        <v>200</v>
      </c>
      <c r="C100" s="77">
        <v>464</v>
      </c>
      <c r="D100" s="72"/>
      <c r="F100" s="39">
        <v>201</v>
      </c>
      <c r="G100" s="39">
        <v>199</v>
      </c>
      <c r="H100" s="39">
        <v>198</v>
      </c>
      <c r="I100" s="39">
        <v>198</v>
      </c>
      <c r="J100" s="39">
        <v>198</v>
      </c>
      <c r="K100" s="39">
        <v>199</v>
      </c>
      <c r="L100" s="39">
        <v>199</v>
      </c>
      <c r="M100" s="39">
        <v>199</v>
      </c>
      <c r="N100" s="39">
        <v>199</v>
      </c>
      <c r="O100" s="39">
        <v>199</v>
      </c>
      <c r="P100" s="39">
        <v>198</v>
      </c>
      <c r="Q100" s="39">
        <v>197</v>
      </c>
      <c r="R100" s="39">
        <v>197</v>
      </c>
      <c r="S100" s="39">
        <v>195</v>
      </c>
      <c r="T100" s="39">
        <v>195</v>
      </c>
      <c r="U100" s="39">
        <v>195</v>
      </c>
      <c r="V100" s="39"/>
      <c r="W100" s="39"/>
      <c r="X100" s="39"/>
      <c r="Y100" s="39"/>
      <c r="Z100" s="39"/>
      <c r="AA100" s="39">
        <v>180</v>
      </c>
      <c r="AB100" s="39">
        <v>180</v>
      </c>
      <c r="AC100" s="6">
        <v>180</v>
      </c>
      <c r="AD100" s="6">
        <v>180</v>
      </c>
      <c r="AE100" s="6">
        <v>180</v>
      </c>
      <c r="AF100" s="6">
        <v>180</v>
      </c>
      <c r="AG100" s="372">
        <f ca="1">AE100+IF(NOT(ISBLANK(OFFSET(AG100,0,6))),N(OFFSET(AG100,0,6)),N(OFFSET(AG100,0,7)))-AF100</f>
        <v>0</v>
      </c>
      <c r="AI100" s="75"/>
      <c r="AJ100" s="75"/>
      <c r="AK100" s="1"/>
      <c r="AL100" s="15"/>
      <c r="AM100" s="388"/>
      <c r="AN100" s="75"/>
      <c r="AO100" s="75"/>
      <c r="AP100" s="75"/>
      <c r="AQ100" s="75"/>
      <c r="AR100" s="75"/>
      <c r="AS100" s="75"/>
      <c r="AT100" s="75"/>
      <c r="AU100" s="75"/>
      <c r="AV100" s="75"/>
      <c r="AW100" s="75"/>
      <c r="AX100" s="75"/>
      <c r="AY100" s="75"/>
      <c r="AZ100" s="75"/>
      <c r="BA100" s="75"/>
      <c r="BB100" s="75"/>
      <c r="BC100" s="75"/>
      <c r="BD100" s="75"/>
      <c r="BE100" s="75"/>
      <c r="BF100" s="75"/>
      <c r="BG100" s="75"/>
      <c r="BH100" s="75"/>
      <c r="BI100" s="75"/>
      <c r="BJ100" s="75"/>
      <c r="BK100" s="75"/>
      <c r="BL100" s="75"/>
      <c r="BM100" s="75"/>
      <c r="BN100" s="75"/>
      <c r="BO100" s="75"/>
    </row>
    <row r="101" spans="1:67" ht="18.75" x14ac:dyDescent="0.25"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1"/>
      <c r="AD101" s="1"/>
      <c r="AE101" s="1"/>
      <c r="AF101" s="1"/>
      <c r="AI101" s="75"/>
      <c r="AJ101" s="75"/>
      <c r="AK101" s="1"/>
      <c r="AL101" s="15"/>
      <c r="AM101" s="388"/>
      <c r="AN101" s="75"/>
      <c r="AO101" s="75"/>
      <c r="AP101" s="75"/>
      <c r="AQ101" s="75"/>
      <c r="AR101" s="75"/>
      <c r="AS101" s="75"/>
      <c r="AT101" s="75"/>
      <c r="AU101" s="75"/>
      <c r="AV101" s="75"/>
      <c r="AW101" s="75"/>
      <c r="AX101" s="75"/>
      <c r="AY101" s="75"/>
      <c r="AZ101" s="75"/>
      <c r="BA101" s="75"/>
      <c r="BB101" s="75"/>
      <c r="BC101" s="75"/>
      <c r="BD101" s="75"/>
      <c r="BE101" s="75"/>
      <c r="BF101" s="75"/>
      <c r="BG101" s="75"/>
      <c r="BH101" s="75"/>
      <c r="BI101" s="75"/>
      <c r="BJ101" s="75"/>
      <c r="BK101" s="75"/>
      <c r="BL101" s="75"/>
      <c r="BM101" s="75"/>
      <c r="BN101" s="75"/>
      <c r="BO101" s="75"/>
    </row>
    <row r="102" spans="1:67" ht="18.75" x14ac:dyDescent="0.25">
      <c r="A102" s="272" t="s">
        <v>480</v>
      </c>
      <c r="B102" s="248" t="s">
        <v>151</v>
      </c>
      <c r="C102" s="248" t="s">
        <v>152</v>
      </c>
      <c r="D102" s="248"/>
      <c r="F102" s="13">
        <v>46006</v>
      </c>
      <c r="G102" s="13">
        <v>46013</v>
      </c>
      <c r="H102" s="13">
        <v>46020</v>
      </c>
      <c r="I102" s="13">
        <v>46027</v>
      </c>
      <c r="J102" s="13">
        <v>46034</v>
      </c>
      <c r="K102" s="13">
        <v>46041</v>
      </c>
      <c r="L102" s="13">
        <v>46048</v>
      </c>
      <c r="M102" s="13">
        <v>46055</v>
      </c>
      <c r="N102" s="13">
        <v>46062</v>
      </c>
      <c r="O102" s="13">
        <v>46069</v>
      </c>
      <c r="P102" s="13">
        <v>46076</v>
      </c>
      <c r="Q102" s="13">
        <v>46083</v>
      </c>
      <c r="R102" s="13">
        <v>46090</v>
      </c>
      <c r="S102" s="13">
        <v>46097</v>
      </c>
      <c r="T102" s="13">
        <v>46104</v>
      </c>
      <c r="U102" s="13">
        <v>46111</v>
      </c>
      <c r="V102" s="13">
        <v>46118</v>
      </c>
      <c r="W102" s="13">
        <v>46125</v>
      </c>
      <c r="X102" s="13">
        <v>46132</v>
      </c>
      <c r="Y102" s="13">
        <v>46139</v>
      </c>
      <c r="Z102" s="13">
        <v>46146</v>
      </c>
      <c r="AA102" s="13">
        <v>46154</v>
      </c>
      <c r="AB102" s="13">
        <v>46160</v>
      </c>
      <c r="AC102" s="13">
        <v>46161.480135034719</v>
      </c>
      <c r="AD102" s="13">
        <v>46161.480808761567</v>
      </c>
      <c r="AE102" s="13">
        <v>46161.482965682873</v>
      </c>
      <c r="AF102" s="13">
        <v>46161.483294401063</v>
      </c>
      <c r="AG102" s="35" t="s">
        <v>129</v>
      </c>
      <c r="AI102" s="75"/>
      <c r="AJ102" s="75"/>
      <c r="AK102" s="1"/>
      <c r="AL102" s="15"/>
      <c r="AM102" s="388"/>
      <c r="AN102" s="75"/>
      <c r="AO102" s="75"/>
      <c r="AP102" s="75"/>
      <c r="AQ102" s="75"/>
      <c r="AR102" s="75"/>
      <c r="AS102" s="75"/>
      <c r="AT102" s="75"/>
      <c r="AU102" s="75"/>
      <c r="AV102" s="75"/>
      <c r="AW102" s="75"/>
      <c r="AX102" s="75"/>
      <c r="AY102" s="75"/>
      <c r="AZ102" s="75"/>
      <c r="BA102" s="75"/>
      <c r="BB102" s="75"/>
      <c r="BC102" s="75"/>
      <c r="BD102" s="75"/>
      <c r="BE102" s="75"/>
      <c r="BF102" s="75"/>
      <c r="BG102" s="75"/>
      <c r="BH102" s="75"/>
      <c r="BI102" s="75"/>
      <c r="BJ102" s="75"/>
      <c r="BK102" s="75"/>
      <c r="BL102" s="75"/>
      <c r="BM102" s="75"/>
      <c r="BN102" s="75"/>
      <c r="BO102" s="75"/>
    </row>
    <row r="103" spans="1:67" ht="18.75" hidden="1" x14ac:dyDescent="0.25">
      <c r="A103" s="25" t="s">
        <v>419</v>
      </c>
      <c r="B103" s="6">
        <v>200</v>
      </c>
      <c r="C103" s="66">
        <v>274.2</v>
      </c>
      <c r="D103" s="234"/>
      <c r="F103" s="39">
        <v>92</v>
      </c>
      <c r="G103" s="39">
        <v>53</v>
      </c>
      <c r="H103" s="39">
        <v>9</v>
      </c>
      <c r="I103" s="39">
        <v>9</v>
      </c>
      <c r="J103" s="39">
        <v>9</v>
      </c>
      <c r="K103" s="39">
        <v>0</v>
      </c>
      <c r="L103" s="39">
        <v>0</v>
      </c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6"/>
      <c r="AD103" s="6"/>
      <c r="AE103" s="6"/>
      <c r="AF103" s="6"/>
      <c r="AG103" s="26">
        <f t="shared" ref="AG103:AG110" ca="1" si="4">AE103+IF(NOT(ISBLANK(OFFSET(AG103,0,6))),N(OFFSET(AG103,0,6)),N(OFFSET(AG103,0,7)))-AF103</f>
        <v>0</v>
      </c>
      <c r="AI103" s="75"/>
      <c r="AJ103" s="75"/>
      <c r="AK103" s="1"/>
      <c r="AL103" s="15"/>
      <c r="AM103" s="388"/>
      <c r="AN103" s="75"/>
      <c r="AO103" s="75"/>
      <c r="AP103" s="75"/>
      <c r="AQ103" s="75"/>
      <c r="AR103" s="75"/>
      <c r="AS103" s="75"/>
      <c r="AT103" s="75"/>
      <c r="AU103" s="75"/>
      <c r="AV103" s="75"/>
      <c r="AW103" s="75"/>
      <c r="AX103" s="75"/>
      <c r="AY103" s="75"/>
      <c r="AZ103" s="75"/>
      <c r="BA103" s="75"/>
      <c r="BB103" s="75"/>
      <c r="BC103" s="75"/>
      <c r="BD103" s="75"/>
      <c r="BE103" s="75"/>
      <c r="BF103" s="75"/>
      <c r="BG103" s="75"/>
      <c r="BH103" s="75"/>
      <c r="BI103" s="75"/>
      <c r="BJ103" s="75"/>
      <c r="BK103" s="75"/>
      <c r="BL103" s="75"/>
      <c r="BM103" s="75"/>
      <c r="BN103" s="75"/>
      <c r="BO103" s="75"/>
    </row>
    <row r="104" spans="1:67" ht="18.75" hidden="1" x14ac:dyDescent="0.25">
      <c r="A104" s="25" t="s">
        <v>421</v>
      </c>
      <c r="B104" s="6">
        <v>200</v>
      </c>
      <c r="C104" s="66">
        <v>347.8</v>
      </c>
      <c r="D104" s="234"/>
      <c r="F104" s="39">
        <v>409</v>
      </c>
      <c r="G104" s="39">
        <v>341</v>
      </c>
      <c r="H104" s="39">
        <v>306</v>
      </c>
      <c r="I104" s="39">
        <v>306</v>
      </c>
      <c r="J104" s="39">
        <v>306</v>
      </c>
      <c r="K104" s="39">
        <v>0</v>
      </c>
      <c r="L104" s="39">
        <v>0</v>
      </c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6"/>
      <c r="AD104" s="6"/>
      <c r="AE104" s="6"/>
      <c r="AF104" s="6"/>
      <c r="AG104" s="26">
        <f t="shared" ca="1" si="4"/>
        <v>0</v>
      </c>
      <c r="AI104" s="75"/>
      <c r="AJ104" s="75"/>
      <c r="AK104" s="1"/>
      <c r="AL104" s="15"/>
      <c r="AM104" s="388"/>
      <c r="AN104" s="75"/>
      <c r="AO104" s="75"/>
      <c r="AP104" s="75"/>
      <c r="AQ104" s="75"/>
      <c r="AR104" s="75"/>
      <c r="AS104" s="75"/>
      <c r="AT104" s="75"/>
      <c r="AU104" s="75"/>
      <c r="AV104" s="75"/>
      <c r="AW104" s="75"/>
      <c r="AX104" s="75"/>
      <c r="AY104" s="75"/>
      <c r="AZ104" s="75"/>
      <c r="BA104" s="75"/>
      <c r="BB104" s="75"/>
      <c r="BC104" s="75"/>
      <c r="BD104" s="75"/>
      <c r="BE104" s="75"/>
      <c r="BF104" s="75"/>
      <c r="BG104" s="75"/>
      <c r="BH104" s="75"/>
      <c r="BI104" s="75"/>
      <c r="BJ104" s="75"/>
      <c r="BK104" s="75"/>
      <c r="BL104" s="75"/>
      <c r="BM104" s="75"/>
      <c r="BN104" s="75"/>
      <c r="BO104" s="75"/>
    </row>
    <row r="105" spans="1:67" ht="18.75" hidden="1" x14ac:dyDescent="0.25">
      <c r="A105" s="25" t="s">
        <v>422</v>
      </c>
      <c r="B105" s="6">
        <v>100</v>
      </c>
      <c r="C105" s="66">
        <v>267</v>
      </c>
      <c r="D105" s="234"/>
      <c r="F105" s="39">
        <v>50</v>
      </c>
      <c r="G105" s="39">
        <v>45</v>
      </c>
      <c r="H105" s="39">
        <v>39</v>
      </c>
      <c r="I105" s="39">
        <v>39</v>
      </c>
      <c r="J105" s="39">
        <v>39</v>
      </c>
      <c r="K105" s="39">
        <v>0</v>
      </c>
      <c r="L105" s="39">
        <v>0</v>
      </c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6"/>
      <c r="AD105" s="6"/>
      <c r="AE105" s="6"/>
      <c r="AF105" s="6"/>
      <c r="AG105" s="26">
        <f t="shared" ca="1" si="4"/>
        <v>0</v>
      </c>
      <c r="AI105" s="75"/>
      <c r="AJ105" s="75"/>
      <c r="AK105" s="1"/>
      <c r="AL105" s="15"/>
      <c r="AM105" s="388"/>
      <c r="AN105" s="75"/>
      <c r="AO105" s="75"/>
      <c r="AP105" s="75"/>
      <c r="AQ105" s="75"/>
      <c r="AR105" s="75"/>
      <c r="AS105" s="75"/>
      <c r="AT105" s="75"/>
      <c r="AU105" s="75"/>
      <c r="AV105" s="75"/>
      <c r="AW105" s="75"/>
      <c r="AX105" s="75"/>
      <c r="AY105" s="75"/>
      <c r="AZ105" s="75"/>
      <c r="BA105" s="75"/>
      <c r="BB105" s="75"/>
      <c r="BC105" s="75"/>
      <c r="BD105" s="75"/>
      <c r="BE105" s="75"/>
      <c r="BF105" s="75"/>
      <c r="BG105" s="75"/>
      <c r="BH105" s="75"/>
      <c r="BI105" s="75"/>
      <c r="BJ105" s="75"/>
      <c r="BK105" s="75"/>
      <c r="BL105" s="75"/>
      <c r="BM105" s="75"/>
      <c r="BN105" s="75"/>
      <c r="BO105" s="75"/>
    </row>
    <row r="106" spans="1:67" ht="18.75" hidden="1" x14ac:dyDescent="0.3">
      <c r="A106" s="153" t="s">
        <v>481</v>
      </c>
      <c r="B106" s="72">
        <v>200</v>
      </c>
      <c r="C106" s="77">
        <v>44.4</v>
      </c>
      <c r="D106" s="72"/>
      <c r="F106" s="39">
        <v>0</v>
      </c>
      <c r="G106" s="39">
        <v>0</v>
      </c>
      <c r="H106" s="39">
        <v>0</v>
      </c>
      <c r="I106" s="39">
        <v>0</v>
      </c>
      <c r="J106" s="39">
        <v>0</v>
      </c>
      <c r="K106" s="39">
        <v>0</v>
      </c>
      <c r="L106" s="39">
        <v>0</v>
      </c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6"/>
      <c r="AD106" s="6"/>
      <c r="AE106" s="6"/>
      <c r="AF106" s="6"/>
      <c r="AG106" s="26">
        <f t="shared" ca="1" si="4"/>
        <v>0</v>
      </c>
      <c r="AI106" s="75"/>
      <c r="AJ106" s="75"/>
      <c r="AK106" s="1"/>
      <c r="AL106" s="15"/>
      <c r="AM106" s="388"/>
      <c r="AN106" s="75"/>
      <c r="AO106" s="75"/>
      <c r="AP106" s="75"/>
      <c r="AQ106" s="75"/>
      <c r="AR106" s="75"/>
      <c r="AS106" s="75"/>
      <c r="AT106" s="75"/>
      <c r="AU106" s="75"/>
      <c r="AV106" s="75"/>
      <c r="AW106" s="75"/>
      <c r="AX106" s="75"/>
      <c r="AY106" s="75"/>
      <c r="AZ106" s="75"/>
      <c r="BA106" s="75"/>
      <c r="BB106" s="75"/>
      <c r="BC106" s="75"/>
      <c r="BD106" s="75"/>
      <c r="BE106" s="75"/>
      <c r="BF106" s="75"/>
      <c r="BG106" s="75"/>
      <c r="BH106" s="75"/>
      <c r="BI106" s="75"/>
      <c r="BJ106" s="75"/>
      <c r="BK106" s="75"/>
      <c r="BL106" s="75"/>
      <c r="BM106" s="75"/>
      <c r="BN106" s="75"/>
      <c r="BO106" s="75"/>
    </row>
    <row r="107" spans="1:67" ht="18.75" x14ac:dyDescent="0.3">
      <c r="A107" s="153" t="s">
        <v>154</v>
      </c>
      <c r="B107" s="72">
        <v>150</v>
      </c>
      <c r="C107" s="77">
        <v>805.35</v>
      </c>
      <c r="D107" s="72"/>
      <c r="F107" s="39">
        <v>76</v>
      </c>
      <c r="G107" s="39">
        <v>107</v>
      </c>
      <c r="H107" s="39">
        <v>103</v>
      </c>
      <c r="I107" s="39">
        <v>103</v>
      </c>
      <c r="J107" s="39">
        <v>103</v>
      </c>
      <c r="K107" s="39">
        <v>104</v>
      </c>
      <c r="L107" s="39">
        <v>104</v>
      </c>
      <c r="M107" s="39">
        <v>102</v>
      </c>
      <c r="N107" s="39">
        <v>101</v>
      </c>
      <c r="O107" s="39">
        <v>101</v>
      </c>
      <c r="P107" s="39">
        <v>104</v>
      </c>
      <c r="Q107" s="39">
        <v>103</v>
      </c>
      <c r="R107" s="39">
        <v>103</v>
      </c>
      <c r="S107" s="39">
        <v>103</v>
      </c>
      <c r="T107" s="39">
        <v>100</v>
      </c>
      <c r="U107" s="39">
        <v>100</v>
      </c>
      <c r="V107" s="39"/>
      <c r="W107" s="39"/>
      <c r="X107" s="39"/>
      <c r="Y107" s="39"/>
      <c r="Z107" s="39"/>
      <c r="AA107" s="39">
        <v>99</v>
      </c>
      <c r="AB107" s="39">
        <v>99</v>
      </c>
      <c r="AC107" s="6">
        <v>99</v>
      </c>
      <c r="AD107" s="6">
        <v>99</v>
      </c>
      <c r="AE107" s="6">
        <v>99</v>
      </c>
      <c r="AF107" s="6">
        <v>99</v>
      </c>
      <c r="AG107" s="372">
        <f t="shared" ca="1" si="4"/>
        <v>0</v>
      </c>
      <c r="AI107" s="75"/>
      <c r="AJ107" s="75"/>
      <c r="AK107" s="1"/>
      <c r="AL107" s="15"/>
      <c r="AM107" s="388"/>
      <c r="AN107" s="75"/>
      <c r="AO107" s="75"/>
      <c r="AP107" s="75"/>
      <c r="AQ107" s="75"/>
      <c r="AR107" s="75"/>
      <c r="AS107" s="75"/>
      <c r="AT107" s="75"/>
      <c r="AU107" s="75"/>
      <c r="AV107" s="75"/>
      <c r="AW107" s="75"/>
      <c r="AX107" s="75"/>
      <c r="AY107" s="75"/>
      <c r="AZ107" s="75"/>
      <c r="BA107" s="75"/>
      <c r="BB107" s="75"/>
      <c r="BC107" s="75"/>
      <c r="BD107" s="75"/>
      <c r="BE107" s="75"/>
      <c r="BF107" s="75"/>
      <c r="BG107" s="75"/>
      <c r="BH107" s="75"/>
      <c r="BI107" s="75"/>
      <c r="BJ107" s="75"/>
      <c r="BK107" s="75"/>
      <c r="BL107" s="75"/>
      <c r="BM107" s="75"/>
      <c r="BN107" s="75"/>
      <c r="BO107" s="75"/>
    </row>
    <row r="108" spans="1:67" ht="18.75" x14ac:dyDescent="0.3">
      <c r="A108" s="153" t="s">
        <v>156</v>
      </c>
      <c r="B108" s="72">
        <v>100</v>
      </c>
      <c r="C108" s="77">
        <v>792.2</v>
      </c>
      <c r="D108" s="72"/>
      <c r="F108" s="39">
        <v>78</v>
      </c>
      <c r="G108" s="39">
        <v>69</v>
      </c>
      <c r="H108" s="39">
        <v>54</v>
      </c>
      <c r="I108" s="39">
        <v>54</v>
      </c>
      <c r="J108" s="39">
        <v>54</v>
      </c>
      <c r="K108" s="39">
        <v>43</v>
      </c>
      <c r="L108" s="39">
        <v>43</v>
      </c>
      <c r="M108" s="39">
        <v>42</v>
      </c>
      <c r="N108" s="39">
        <v>42</v>
      </c>
      <c r="O108" s="39">
        <v>42</v>
      </c>
      <c r="P108" s="39">
        <v>42</v>
      </c>
      <c r="Q108" s="39">
        <v>41</v>
      </c>
      <c r="R108" s="39">
        <v>40</v>
      </c>
      <c r="S108" s="39">
        <v>40</v>
      </c>
      <c r="T108" s="39">
        <v>40</v>
      </c>
      <c r="U108" s="39">
        <v>40</v>
      </c>
      <c r="V108" s="39"/>
      <c r="W108" s="39"/>
      <c r="X108" s="39"/>
      <c r="Y108" s="39"/>
      <c r="Z108" s="39"/>
      <c r="AA108" s="39">
        <v>40</v>
      </c>
      <c r="AB108" s="39">
        <v>40</v>
      </c>
      <c r="AC108" s="6">
        <v>40</v>
      </c>
      <c r="AD108" s="6">
        <v>40</v>
      </c>
      <c r="AE108" s="6">
        <v>40</v>
      </c>
      <c r="AF108" s="6">
        <v>40</v>
      </c>
      <c r="AG108" s="372">
        <f t="shared" ca="1" si="4"/>
        <v>0</v>
      </c>
      <c r="AI108" s="75"/>
      <c r="AJ108" s="75"/>
      <c r="AK108" s="1"/>
      <c r="AL108" s="15"/>
      <c r="AM108" s="388"/>
      <c r="AN108" s="75"/>
      <c r="AO108" s="75"/>
      <c r="AP108" s="75"/>
      <c r="AQ108" s="75"/>
      <c r="AR108" s="75"/>
      <c r="AS108" s="75"/>
      <c r="AT108" s="75"/>
      <c r="AU108" s="75"/>
      <c r="AV108" s="75"/>
      <c r="AW108" s="75"/>
      <c r="AX108" s="75"/>
      <c r="AY108" s="75"/>
      <c r="AZ108" s="75"/>
      <c r="BA108" s="75"/>
      <c r="BB108" s="75"/>
      <c r="BC108" s="75"/>
      <c r="BD108" s="75"/>
      <c r="BE108" s="75"/>
      <c r="BF108" s="75"/>
      <c r="BG108" s="75"/>
      <c r="BH108" s="75"/>
      <c r="BI108" s="75"/>
      <c r="BJ108" s="75"/>
      <c r="BK108" s="75"/>
      <c r="BL108" s="75"/>
      <c r="BM108" s="75"/>
      <c r="BN108" s="75"/>
      <c r="BO108" s="75"/>
    </row>
    <row r="109" spans="1:67" ht="18.75" x14ac:dyDescent="0.3">
      <c r="A109" s="153" t="s">
        <v>158</v>
      </c>
      <c r="B109" s="72">
        <v>200</v>
      </c>
      <c r="C109" s="77">
        <v>487.2</v>
      </c>
      <c r="D109" s="72"/>
      <c r="F109" s="39">
        <v>53</v>
      </c>
      <c r="G109" s="39">
        <v>21</v>
      </c>
      <c r="H109" s="39">
        <v>13</v>
      </c>
      <c r="I109" s="39">
        <v>13</v>
      </c>
      <c r="J109" s="39">
        <v>13</v>
      </c>
      <c r="K109" s="39">
        <v>13</v>
      </c>
      <c r="L109" s="39">
        <v>13</v>
      </c>
      <c r="M109" s="39">
        <v>13</v>
      </c>
      <c r="N109" s="39">
        <v>13</v>
      </c>
      <c r="O109" s="39">
        <v>13</v>
      </c>
      <c r="P109" s="39">
        <v>13</v>
      </c>
      <c r="Q109" s="39">
        <v>13</v>
      </c>
      <c r="R109" s="39">
        <v>13</v>
      </c>
      <c r="S109" s="39">
        <v>13</v>
      </c>
      <c r="T109" s="39">
        <v>13</v>
      </c>
      <c r="U109" s="39">
        <v>13</v>
      </c>
      <c r="V109" s="39"/>
      <c r="W109" s="39"/>
      <c r="X109" s="39"/>
      <c r="Y109" s="39"/>
      <c r="Z109" s="39"/>
      <c r="AA109" s="39">
        <v>13</v>
      </c>
      <c r="AB109" s="39">
        <v>13</v>
      </c>
      <c r="AC109" s="6">
        <v>13</v>
      </c>
      <c r="AD109" s="6">
        <v>13</v>
      </c>
      <c r="AE109" s="6">
        <v>13</v>
      </c>
      <c r="AF109" s="6">
        <v>13</v>
      </c>
      <c r="AG109" s="372">
        <f t="shared" ca="1" si="4"/>
        <v>0</v>
      </c>
      <c r="AI109" s="75"/>
      <c r="AJ109" s="75"/>
      <c r="AK109" s="1"/>
      <c r="AL109" s="15"/>
      <c r="AM109" s="388"/>
      <c r="AN109" s="75"/>
      <c r="AO109" s="75"/>
      <c r="AP109" s="75"/>
      <c r="AQ109" s="75"/>
      <c r="AR109" s="75"/>
      <c r="AS109" s="75"/>
      <c r="AT109" s="75"/>
      <c r="AU109" s="75"/>
      <c r="AV109" s="75"/>
      <c r="AW109" s="75"/>
      <c r="AX109" s="75"/>
      <c r="AY109" s="75"/>
      <c r="AZ109" s="75"/>
      <c r="BA109" s="75"/>
      <c r="BB109" s="75"/>
      <c r="BC109" s="75"/>
      <c r="BD109" s="75"/>
      <c r="BE109" s="75"/>
      <c r="BF109" s="75"/>
      <c r="BG109" s="75"/>
      <c r="BH109" s="75"/>
      <c r="BI109" s="75"/>
      <c r="BJ109" s="75"/>
      <c r="BK109" s="75"/>
      <c r="BL109" s="75"/>
      <c r="BM109" s="75"/>
      <c r="BN109" s="75"/>
      <c r="BO109" s="75"/>
    </row>
    <row r="110" spans="1:67" ht="18.75" x14ac:dyDescent="0.3">
      <c r="A110" s="153" t="s">
        <v>160</v>
      </c>
      <c r="B110" s="72">
        <v>150</v>
      </c>
      <c r="C110" s="77">
        <v>460.35</v>
      </c>
      <c r="D110" s="72"/>
      <c r="F110" s="39">
        <v>119</v>
      </c>
      <c r="G110" s="39">
        <v>98</v>
      </c>
      <c r="H110" s="39">
        <v>80</v>
      </c>
      <c r="I110" s="39">
        <v>80</v>
      </c>
      <c r="J110" s="39">
        <v>80</v>
      </c>
      <c r="K110" s="39">
        <v>53</v>
      </c>
      <c r="L110" s="39">
        <v>51</v>
      </c>
      <c r="M110" s="39">
        <v>51</v>
      </c>
      <c r="N110" s="39">
        <v>51</v>
      </c>
      <c r="O110" s="39">
        <v>51</v>
      </c>
      <c r="P110" s="39">
        <v>51</v>
      </c>
      <c r="Q110" s="39">
        <v>51</v>
      </c>
      <c r="R110" s="39">
        <v>51</v>
      </c>
      <c r="S110" s="39">
        <v>51</v>
      </c>
      <c r="T110" s="39">
        <v>51</v>
      </c>
      <c r="U110" s="39">
        <v>51</v>
      </c>
      <c r="V110" s="39"/>
      <c r="W110" s="39"/>
      <c r="X110" s="39"/>
      <c r="Y110" s="39"/>
      <c r="Z110" s="39"/>
      <c r="AA110" s="39">
        <v>51</v>
      </c>
      <c r="AB110" s="39">
        <v>51</v>
      </c>
      <c r="AC110" s="6">
        <v>51</v>
      </c>
      <c r="AD110" s="6">
        <v>51</v>
      </c>
      <c r="AE110" s="6">
        <v>51</v>
      </c>
      <c r="AF110" s="6">
        <v>51</v>
      </c>
      <c r="AG110" s="372">
        <f t="shared" ca="1" si="4"/>
        <v>0</v>
      </c>
      <c r="AI110" s="10"/>
      <c r="AJ110" s="75"/>
      <c r="AK110" s="1"/>
      <c r="AL110" s="15"/>
      <c r="AM110" s="388"/>
      <c r="AN110" s="75"/>
      <c r="AO110" s="75"/>
      <c r="AP110" s="75"/>
      <c r="AQ110" s="75"/>
      <c r="AR110" s="75"/>
      <c r="AS110" s="75"/>
      <c r="AT110" s="75"/>
      <c r="AU110" s="75"/>
      <c r="AV110" s="75"/>
      <c r="AW110" s="75"/>
      <c r="AX110" s="75"/>
      <c r="AY110" s="75"/>
      <c r="AZ110" s="75"/>
      <c r="BA110" s="75"/>
      <c r="BB110" s="75"/>
      <c r="BC110" s="75"/>
      <c r="BD110" s="75"/>
      <c r="BE110" s="75"/>
      <c r="BF110" s="75"/>
      <c r="BG110" s="75"/>
      <c r="BH110" s="75"/>
      <c r="BI110" s="75"/>
      <c r="BJ110" s="75"/>
      <c r="BK110" s="75"/>
      <c r="BL110" s="75"/>
      <c r="BM110" s="75"/>
      <c r="BN110" s="75"/>
      <c r="BO110" s="75"/>
    </row>
    <row r="111" spans="1:67" ht="19.5" customHeight="1" thickBot="1" x14ac:dyDescent="0.35">
      <c r="B111" s="41"/>
      <c r="C111" s="120"/>
      <c r="D111" s="120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1"/>
      <c r="AD111" s="1"/>
      <c r="AE111" s="1"/>
      <c r="AF111" s="1"/>
      <c r="AG111" s="2"/>
      <c r="AI111" s="75"/>
      <c r="AJ111" s="75"/>
      <c r="AK111" s="1"/>
      <c r="AL111" s="15"/>
      <c r="AM111" s="388"/>
      <c r="AN111" s="75"/>
      <c r="AO111" s="75"/>
      <c r="AP111" s="75"/>
      <c r="AQ111" s="75"/>
      <c r="AR111" s="75"/>
      <c r="AS111" s="75"/>
      <c r="AT111" s="75"/>
      <c r="AU111" s="75"/>
      <c r="AV111" s="75"/>
      <c r="AW111" s="75"/>
      <c r="AX111" s="75"/>
      <c r="AY111" s="75"/>
      <c r="AZ111" s="75"/>
      <c r="BA111" s="75"/>
      <c r="BB111" s="75"/>
      <c r="BC111" s="75"/>
      <c r="BD111" s="75"/>
      <c r="BE111" s="75"/>
      <c r="BF111" s="75"/>
      <c r="BG111" s="75"/>
      <c r="BH111" s="75"/>
      <c r="BI111" s="75"/>
      <c r="BJ111" s="75"/>
      <c r="BK111" s="75"/>
      <c r="BL111" s="75"/>
      <c r="BM111" s="75"/>
      <c r="BN111" s="75"/>
      <c r="BO111" s="75"/>
    </row>
    <row r="112" spans="1:67" ht="24" customHeight="1" thickBot="1" x14ac:dyDescent="0.4">
      <c r="A112" s="496">
        <v>2026</v>
      </c>
      <c r="B112" s="497"/>
      <c r="C112" s="497"/>
      <c r="D112" s="497"/>
      <c r="E112" s="497"/>
      <c r="F112" s="497"/>
      <c r="G112" s="497"/>
      <c r="H112" s="497"/>
      <c r="I112" s="497"/>
      <c r="J112" s="497"/>
      <c r="K112" s="497"/>
      <c r="L112" s="497"/>
      <c r="M112" s="497"/>
      <c r="N112" s="497"/>
      <c r="O112" s="497"/>
      <c r="P112" s="497"/>
      <c r="Q112" s="497"/>
      <c r="R112" s="497"/>
      <c r="S112" s="497"/>
      <c r="T112" s="497"/>
      <c r="U112" s="497"/>
      <c r="V112" s="497"/>
      <c r="W112" s="497"/>
      <c r="X112" s="497"/>
      <c r="Y112" s="497"/>
      <c r="Z112" s="497"/>
      <c r="AA112" s="497"/>
      <c r="AB112" s="497"/>
      <c r="AC112" s="459"/>
      <c r="AD112" s="459"/>
      <c r="AE112" s="459"/>
      <c r="AF112" s="459"/>
      <c r="AG112" s="415"/>
      <c r="AI112" s="75"/>
      <c r="AJ112" s="75"/>
      <c r="AK112" s="1"/>
      <c r="AL112" s="15"/>
      <c r="AM112" s="388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75"/>
      <c r="BA112" s="75"/>
      <c r="BB112" s="75"/>
      <c r="BC112" s="75"/>
      <c r="BD112" s="75"/>
      <c r="BE112" s="75"/>
      <c r="BF112" s="75"/>
      <c r="BG112" s="75"/>
      <c r="BH112" s="75"/>
      <c r="BI112" s="75"/>
      <c r="BJ112" s="75"/>
      <c r="BK112" s="75"/>
      <c r="BL112" s="75"/>
      <c r="BM112" s="75"/>
      <c r="BN112" s="75"/>
      <c r="BO112" s="75"/>
    </row>
    <row r="113" spans="1:67" ht="18.75" x14ac:dyDescent="0.3">
      <c r="B113" s="41"/>
      <c r="C113" s="120"/>
      <c r="D113" s="120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1"/>
      <c r="AD113" s="1"/>
      <c r="AE113" s="1"/>
      <c r="AF113" s="1"/>
      <c r="AG113" s="2"/>
      <c r="AI113" s="75"/>
      <c r="AJ113" s="75"/>
      <c r="AK113" s="1"/>
      <c r="AL113" s="15"/>
      <c r="AM113" s="388"/>
      <c r="AN113" s="75"/>
      <c r="AO113" s="75"/>
      <c r="AP113" s="75"/>
      <c r="AQ113" s="75"/>
      <c r="AR113" s="75"/>
      <c r="AS113" s="75"/>
      <c r="AT113" s="75"/>
      <c r="AU113" s="75"/>
      <c r="AV113" s="75"/>
      <c r="AW113" s="75"/>
      <c r="AX113" s="75"/>
      <c r="AY113" s="75"/>
      <c r="AZ113" s="75"/>
      <c r="BA113" s="75"/>
      <c r="BB113" s="75"/>
      <c r="BC113" s="75"/>
      <c r="BD113" s="75"/>
      <c r="BE113" s="75"/>
      <c r="BF113" s="75"/>
      <c r="BG113" s="75"/>
      <c r="BH113" s="75"/>
      <c r="BI113" s="75"/>
      <c r="BJ113" s="75"/>
      <c r="BK113" s="75"/>
      <c r="BL113" s="75"/>
      <c r="BM113" s="75"/>
      <c r="BN113" s="75"/>
      <c r="BO113" s="75"/>
    </row>
    <row r="114" spans="1:67" ht="18.75" x14ac:dyDescent="0.25">
      <c r="A114" s="270" t="s">
        <v>485</v>
      </c>
      <c r="B114" s="271" t="s">
        <v>151</v>
      </c>
      <c r="C114" s="271" t="s">
        <v>152</v>
      </c>
      <c r="D114" s="271"/>
      <c r="F114" s="2"/>
      <c r="G114" s="2"/>
      <c r="H114" s="2"/>
      <c r="I114" s="2"/>
      <c r="J114" s="2"/>
      <c r="K114" s="2"/>
      <c r="L114" s="2"/>
      <c r="M114" s="2"/>
      <c r="N114" s="13">
        <v>46062</v>
      </c>
      <c r="O114" s="13">
        <v>46069</v>
      </c>
      <c r="P114" s="13">
        <v>46076</v>
      </c>
      <c r="Q114" s="13">
        <v>46083</v>
      </c>
      <c r="R114" s="13">
        <v>46090</v>
      </c>
      <c r="S114" s="13">
        <v>46097</v>
      </c>
      <c r="T114" s="13">
        <v>46104</v>
      </c>
      <c r="U114" s="13">
        <v>46111</v>
      </c>
      <c r="V114" s="13">
        <v>46118</v>
      </c>
      <c r="W114" s="13">
        <v>46125</v>
      </c>
      <c r="X114" s="13">
        <v>46132</v>
      </c>
      <c r="Y114" s="13">
        <v>46139</v>
      </c>
      <c r="Z114" s="13">
        <v>46146</v>
      </c>
      <c r="AA114" s="13">
        <v>46154</v>
      </c>
      <c r="AB114" s="13">
        <v>46160</v>
      </c>
      <c r="AC114" s="13">
        <v>46161.480135034719</v>
      </c>
      <c r="AD114" s="13">
        <v>46161.480808761567</v>
      </c>
      <c r="AE114" s="13">
        <v>46161.482965682873</v>
      </c>
      <c r="AF114" s="13">
        <v>46161.483294401318</v>
      </c>
      <c r="AG114" s="35" t="s">
        <v>129</v>
      </c>
      <c r="AI114" s="75"/>
      <c r="AJ114" s="75"/>
      <c r="AK114" s="1"/>
      <c r="AL114" s="15"/>
      <c r="AM114" s="388"/>
      <c r="AN114" s="75"/>
      <c r="AO114" s="75"/>
      <c r="AP114" s="75"/>
      <c r="AQ114" s="75"/>
      <c r="AR114" s="75"/>
      <c r="AS114" s="75"/>
      <c r="AT114" s="75"/>
      <c r="AU114" s="75"/>
      <c r="AV114" s="75"/>
      <c r="AW114" s="75"/>
      <c r="AX114" s="75"/>
      <c r="AY114" s="75"/>
      <c r="AZ114" s="75"/>
      <c r="BA114" s="75"/>
      <c r="BB114" s="75"/>
      <c r="BC114" s="75"/>
      <c r="BD114" s="75"/>
      <c r="BE114" s="75"/>
      <c r="BF114" s="75"/>
      <c r="BG114" s="75"/>
      <c r="BH114" s="75"/>
      <c r="BI114" s="75"/>
      <c r="BJ114" s="75"/>
      <c r="BK114" s="75"/>
      <c r="BL114" s="75"/>
      <c r="BM114" s="75"/>
      <c r="BN114" s="75"/>
      <c r="BO114" s="75"/>
    </row>
    <row r="115" spans="1:67" ht="18.75" x14ac:dyDescent="0.25">
      <c r="A115" s="25" t="s">
        <v>138</v>
      </c>
      <c r="B115" s="6">
        <v>150</v>
      </c>
      <c r="C115" s="66"/>
      <c r="D115" s="234"/>
      <c r="F115" s="2"/>
      <c r="G115" s="2"/>
      <c r="H115" s="2"/>
      <c r="I115" s="2"/>
      <c r="J115" s="2"/>
      <c r="K115" s="2"/>
      <c r="L115" s="2"/>
      <c r="M115" s="2"/>
      <c r="N115" s="39">
        <v>0</v>
      </c>
      <c r="O115" s="39">
        <v>0</v>
      </c>
      <c r="P115" s="39">
        <v>0</v>
      </c>
      <c r="Q115" s="39">
        <f>AT10</f>
        <v>1400</v>
      </c>
      <c r="R115" s="39">
        <v>1200</v>
      </c>
      <c r="S115" s="39">
        <v>1050</v>
      </c>
      <c r="T115" s="39">
        <v>900</v>
      </c>
      <c r="U115" s="39">
        <v>750</v>
      </c>
      <c r="V115" s="39">
        <v>750</v>
      </c>
      <c r="W115" s="39">
        <v>750</v>
      </c>
      <c r="X115" s="39">
        <v>750</v>
      </c>
      <c r="Y115" s="39">
        <v>600</v>
      </c>
      <c r="Z115" s="39">
        <v>600</v>
      </c>
      <c r="AA115" s="39">
        <v>600</v>
      </c>
      <c r="AB115" s="39"/>
      <c r="AC115" s="6"/>
      <c r="AD115" s="6"/>
      <c r="AE115" s="6"/>
      <c r="AF115" s="6"/>
      <c r="AG115" s="372">
        <f t="shared" ref="AG115:AG121" ca="1" si="5">AE115+IF(NOT(ISBLANK(OFFSET(AG115,0,6))),N(OFFSET(AG115,0,6)),N(OFFSET(AG115,0,7)))-AF115</f>
        <v>0</v>
      </c>
      <c r="AI115" s="75"/>
      <c r="AJ115" s="75"/>
      <c r="AK115" s="1"/>
      <c r="AL115" s="15"/>
      <c r="AM115" s="388"/>
      <c r="AN115" s="75"/>
      <c r="AO115" s="75"/>
      <c r="AP115" s="75"/>
      <c r="AQ115" s="75"/>
      <c r="AR115" s="75"/>
      <c r="AS115" s="75"/>
      <c r="AT115" s="75"/>
      <c r="AU115" s="75"/>
      <c r="AV115" s="75"/>
      <c r="AW115" s="75"/>
      <c r="AX115" s="75"/>
      <c r="AY115" s="75"/>
      <c r="AZ115" s="75"/>
      <c r="BA115" s="75"/>
      <c r="BB115" s="75"/>
      <c r="BC115" s="75"/>
      <c r="BD115" s="75"/>
      <c r="BE115" s="75"/>
      <c r="BF115" s="75"/>
      <c r="BG115" s="75"/>
      <c r="BH115" s="75"/>
      <c r="BI115" s="75"/>
      <c r="BJ115" s="75"/>
      <c r="BK115" s="75"/>
      <c r="BL115" s="75"/>
      <c r="BM115" s="75"/>
      <c r="BN115" s="75"/>
      <c r="BO115" s="75"/>
    </row>
    <row r="116" spans="1:67" ht="18.75" x14ac:dyDescent="0.25">
      <c r="A116" s="25" t="s">
        <v>486</v>
      </c>
      <c r="B116" s="6">
        <v>1000</v>
      </c>
      <c r="C116" s="66"/>
      <c r="D116" s="234"/>
      <c r="F116" s="2"/>
      <c r="G116" s="2"/>
      <c r="H116" s="2"/>
      <c r="I116" s="2"/>
      <c r="J116" s="2"/>
      <c r="K116" s="2"/>
      <c r="L116" s="2"/>
      <c r="M116" s="2"/>
      <c r="N116" s="39">
        <v>0</v>
      </c>
      <c r="O116" s="39">
        <v>0</v>
      </c>
      <c r="P116" s="39">
        <v>0</v>
      </c>
      <c r="Q116" s="39">
        <f>AT17</f>
        <v>0</v>
      </c>
      <c r="R116" s="39">
        <v>2</v>
      </c>
      <c r="S116" s="39">
        <v>1</v>
      </c>
      <c r="T116" s="39">
        <v>0</v>
      </c>
      <c r="U116" s="39">
        <v>0</v>
      </c>
      <c r="V116" s="39">
        <v>0</v>
      </c>
      <c r="W116" s="39">
        <v>0</v>
      </c>
      <c r="X116" s="39">
        <v>0</v>
      </c>
      <c r="Y116" s="39">
        <v>0</v>
      </c>
      <c r="Z116" s="39">
        <v>0</v>
      </c>
      <c r="AA116" s="39">
        <v>0</v>
      </c>
      <c r="AB116" s="39"/>
      <c r="AC116" s="6"/>
      <c r="AD116" s="6"/>
      <c r="AE116" s="6"/>
      <c r="AF116" s="6"/>
      <c r="AG116" s="372">
        <f t="shared" ca="1" si="5"/>
        <v>0</v>
      </c>
      <c r="AI116" s="75"/>
      <c r="AJ116" s="75"/>
      <c r="AK116" s="1"/>
      <c r="AL116" s="15"/>
      <c r="AM116" s="388"/>
      <c r="AN116" s="75"/>
      <c r="AO116" s="75"/>
      <c r="AP116" s="75"/>
      <c r="AQ116" s="75"/>
      <c r="AR116" s="75"/>
      <c r="AS116" s="75"/>
      <c r="AT116" s="75"/>
      <c r="AU116" s="75"/>
      <c r="AV116" s="75"/>
      <c r="AW116" s="75"/>
      <c r="AX116" s="75"/>
      <c r="AY116" s="75"/>
      <c r="AZ116" s="75"/>
      <c r="BA116" s="75"/>
      <c r="BB116" s="75"/>
      <c r="BC116" s="75"/>
      <c r="BD116" s="75"/>
      <c r="BE116" s="75"/>
      <c r="BF116" s="75"/>
      <c r="BG116" s="75"/>
      <c r="BH116" s="75"/>
      <c r="BI116" s="75"/>
      <c r="BJ116" s="75"/>
      <c r="BK116" s="75"/>
      <c r="BL116" s="75"/>
      <c r="BM116" s="75"/>
      <c r="BN116" s="75"/>
      <c r="BO116" s="75"/>
    </row>
    <row r="117" spans="1:67" ht="18.75" x14ac:dyDescent="0.25">
      <c r="A117" s="25" t="s">
        <v>143</v>
      </c>
      <c r="B117" s="6">
        <v>200</v>
      </c>
      <c r="C117" s="66"/>
      <c r="D117" s="234"/>
      <c r="F117" s="2"/>
      <c r="G117" s="2"/>
      <c r="H117" s="2"/>
      <c r="I117" s="2"/>
      <c r="J117" s="2"/>
      <c r="K117" s="2"/>
      <c r="L117" s="2"/>
      <c r="M117" s="2"/>
      <c r="N117" s="39">
        <v>0</v>
      </c>
      <c r="O117" s="39">
        <v>0</v>
      </c>
      <c r="P117" s="39">
        <v>0</v>
      </c>
      <c r="Q117" s="39">
        <f>AT16</f>
        <v>0</v>
      </c>
      <c r="R117" s="39">
        <v>200</v>
      </c>
      <c r="S117" s="39">
        <v>100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/>
      <c r="AC117" s="6"/>
      <c r="AD117" s="6"/>
      <c r="AE117" s="6"/>
      <c r="AF117" s="6"/>
      <c r="AG117" s="372">
        <f t="shared" ca="1" si="5"/>
        <v>0</v>
      </c>
      <c r="AI117" s="75"/>
      <c r="AJ117" s="75"/>
      <c r="AK117" s="1"/>
      <c r="AL117" s="15"/>
      <c r="AM117" s="388"/>
      <c r="AN117" s="75"/>
      <c r="AO117" s="75"/>
      <c r="AP117" s="75"/>
      <c r="AQ117" s="75"/>
      <c r="AR117" s="75"/>
      <c r="AS117" s="75"/>
      <c r="AT117" s="75"/>
      <c r="AU117" s="75"/>
      <c r="AV117" s="75"/>
      <c r="AW117" s="75"/>
      <c r="AX117" s="75"/>
      <c r="AY117" s="75"/>
      <c r="AZ117" s="75"/>
      <c r="BA117" s="75"/>
      <c r="BB117" s="75"/>
      <c r="BC117" s="75"/>
      <c r="BD117" s="75"/>
      <c r="BE117" s="75"/>
      <c r="BF117" s="75"/>
      <c r="BG117" s="75"/>
      <c r="BH117" s="75"/>
      <c r="BI117" s="75"/>
      <c r="BJ117" s="75"/>
      <c r="BK117" s="75"/>
      <c r="BL117" s="75"/>
      <c r="BM117" s="75"/>
      <c r="BN117" s="75"/>
      <c r="BO117" s="75"/>
    </row>
    <row r="118" spans="1:67" ht="18.75" x14ac:dyDescent="0.25">
      <c r="A118" s="25" t="s">
        <v>487</v>
      </c>
      <c r="B118" s="6">
        <v>150</v>
      </c>
      <c r="C118" s="66"/>
      <c r="D118" s="234"/>
      <c r="F118" s="2"/>
      <c r="G118" s="2"/>
      <c r="H118" s="2"/>
      <c r="I118" s="2"/>
      <c r="J118" s="2"/>
      <c r="K118" s="2"/>
      <c r="L118" s="2"/>
      <c r="M118" s="2"/>
      <c r="N118" s="39">
        <v>0</v>
      </c>
      <c r="O118" s="39">
        <v>0</v>
      </c>
      <c r="P118" s="39">
        <v>0</v>
      </c>
      <c r="Q118" s="39">
        <f>AT29</f>
        <v>0</v>
      </c>
      <c r="R118" s="39">
        <v>441</v>
      </c>
      <c r="S118" s="39">
        <v>351</v>
      </c>
      <c r="T118" s="39">
        <v>246</v>
      </c>
      <c r="U118" s="39">
        <v>159</v>
      </c>
      <c r="V118" s="39"/>
      <c r="W118" s="39"/>
      <c r="X118" s="39"/>
      <c r="Y118" s="39"/>
      <c r="Z118" s="39"/>
      <c r="AA118" s="39">
        <v>0</v>
      </c>
      <c r="AB118" s="39">
        <v>0</v>
      </c>
      <c r="AC118" s="6">
        <v>0</v>
      </c>
      <c r="AD118" s="6">
        <v>0</v>
      </c>
      <c r="AE118" s="6">
        <v>0</v>
      </c>
      <c r="AF118" s="6">
        <v>0</v>
      </c>
      <c r="AG118" s="372">
        <f t="shared" ca="1" si="5"/>
        <v>0</v>
      </c>
      <c r="AI118" s="75"/>
      <c r="AJ118" s="75"/>
      <c r="AK118" s="1"/>
      <c r="AL118" s="15"/>
      <c r="AM118" s="388"/>
      <c r="AN118" s="75"/>
      <c r="AO118" s="75"/>
      <c r="AP118" s="75"/>
      <c r="AQ118" s="75"/>
      <c r="AR118" s="75"/>
      <c r="AS118" s="75"/>
      <c r="AT118" s="75"/>
      <c r="AU118" s="75"/>
      <c r="AV118" s="75"/>
      <c r="AW118" s="75"/>
      <c r="AX118" s="75"/>
      <c r="AY118" s="75"/>
      <c r="AZ118" s="75"/>
      <c r="BA118" s="75"/>
      <c r="BB118" s="75"/>
      <c r="BC118" s="75"/>
      <c r="BD118" s="75"/>
      <c r="BE118" s="75"/>
      <c r="BF118" s="75"/>
      <c r="BG118" s="75"/>
      <c r="BH118" s="75"/>
      <c r="BI118" s="75"/>
      <c r="BJ118" s="75"/>
      <c r="BK118" s="75"/>
      <c r="BL118" s="75"/>
      <c r="BM118" s="75"/>
      <c r="BN118" s="75"/>
      <c r="BO118" s="75"/>
    </row>
    <row r="119" spans="1:67" ht="18.75" x14ac:dyDescent="0.25">
      <c r="A119" s="25" t="s">
        <v>479</v>
      </c>
      <c r="B119" s="6">
        <v>200</v>
      </c>
      <c r="C119" s="66"/>
      <c r="D119" s="234"/>
      <c r="F119" s="2"/>
      <c r="G119" s="2"/>
      <c r="H119" s="2"/>
      <c r="I119" s="2"/>
      <c r="J119" s="2"/>
      <c r="K119" s="2"/>
      <c r="L119" s="2"/>
      <c r="M119" s="2"/>
      <c r="N119" s="39">
        <v>0</v>
      </c>
      <c r="O119" s="39">
        <v>0</v>
      </c>
      <c r="P119" s="39">
        <v>0</v>
      </c>
      <c r="Q119" s="39">
        <v>0</v>
      </c>
      <c r="R119" s="206">
        <v>3</v>
      </c>
      <c r="S119" s="39">
        <v>3</v>
      </c>
      <c r="T119" s="39">
        <v>3</v>
      </c>
      <c r="U119" s="39">
        <v>8</v>
      </c>
      <c r="V119" s="39"/>
      <c r="W119" s="39"/>
      <c r="X119" s="39"/>
      <c r="Y119" s="39"/>
      <c r="Z119" s="39"/>
      <c r="AA119" s="39">
        <v>8</v>
      </c>
      <c r="AB119" s="39">
        <v>8</v>
      </c>
      <c r="AC119" s="6">
        <v>8</v>
      </c>
      <c r="AD119" s="6">
        <v>8</v>
      </c>
      <c r="AE119" s="6">
        <v>8</v>
      </c>
      <c r="AF119" s="6">
        <v>8</v>
      </c>
      <c r="AG119" s="372">
        <f t="shared" ca="1" si="5"/>
        <v>0</v>
      </c>
      <c r="AI119" s="75"/>
      <c r="AJ119" s="75"/>
      <c r="AK119" s="1"/>
      <c r="AL119" s="15"/>
      <c r="AM119" s="388"/>
      <c r="AN119" s="75"/>
      <c r="AO119" s="75"/>
      <c r="AP119" s="75"/>
      <c r="AQ119" s="75"/>
      <c r="AR119" s="75"/>
      <c r="AS119" s="75"/>
      <c r="AT119" s="75"/>
      <c r="AU119" s="75"/>
      <c r="AV119" s="75"/>
      <c r="AW119" s="75"/>
      <c r="AX119" s="75"/>
      <c r="AY119" s="75"/>
      <c r="AZ119" s="75"/>
      <c r="BA119" s="75"/>
      <c r="BB119" s="75"/>
      <c r="BC119" s="75"/>
      <c r="BD119" s="75"/>
      <c r="BE119" s="75"/>
      <c r="BF119" s="75"/>
      <c r="BG119" s="75"/>
      <c r="BH119" s="75"/>
      <c r="BI119" s="75"/>
      <c r="BJ119" s="75"/>
      <c r="BK119" s="75"/>
      <c r="BL119" s="75"/>
      <c r="BM119" s="75"/>
      <c r="BN119" s="75"/>
      <c r="BO119" s="75"/>
    </row>
    <row r="120" spans="1:67" ht="18.75" x14ac:dyDescent="0.3">
      <c r="A120" s="153" t="s">
        <v>156</v>
      </c>
      <c r="B120" s="72">
        <v>100</v>
      </c>
      <c r="C120" s="77"/>
      <c r="D120" s="72"/>
      <c r="F120" s="2"/>
      <c r="G120" s="2"/>
      <c r="H120" s="2"/>
      <c r="I120" s="2"/>
      <c r="J120" s="2"/>
      <c r="K120" s="2"/>
      <c r="L120" s="2"/>
      <c r="M120" s="2"/>
      <c r="N120" s="39">
        <v>0</v>
      </c>
      <c r="O120" s="39">
        <v>0</v>
      </c>
      <c r="P120" s="39">
        <v>0</v>
      </c>
      <c r="Q120" s="39">
        <f>AT38</f>
        <v>0</v>
      </c>
      <c r="R120" s="206">
        <v>50</v>
      </c>
      <c r="S120" s="39">
        <v>50</v>
      </c>
      <c r="T120" s="39">
        <v>48</v>
      </c>
      <c r="U120" s="39">
        <v>48</v>
      </c>
      <c r="V120" s="39"/>
      <c r="W120" s="39"/>
      <c r="X120" s="39"/>
      <c r="Y120" s="39"/>
      <c r="Z120" s="39"/>
      <c r="AA120" s="39">
        <v>40</v>
      </c>
      <c r="AB120" s="39">
        <v>40</v>
      </c>
      <c r="AC120" s="6">
        <v>40</v>
      </c>
      <c r="AD120" s="6">
        <v>40</v>
      </c>
      <c r="AE120" s="6">
        <v>40</v>
      </c>
      <c r="AF120" s="6">
        <v>40</v>
      </c>
      <c r="AG120" s="372">
        <f t="shared" ca="1" si="5"/>
        <v>0</v>
      </c>
      <c r="AI120" s="75"/>
      <c r="AJ120" s="75"/>
      <c r="AK120" s="1"/>
      <c r="AL120" s="15"/>
      <c r="AM120" s="388"/>
      <c r="AN120" s="75"/>
      <c r="AO120" s="75"/>
      <c r="AP120" s="75"/>
      <c r="AQ120" s="75"/>
      <c r="AR120" s="75"/>
      <c r="AS120" s="75"/>
      <c r="AT120" s="75"/>
      <c r="AU120" s="75"/>
      <c r="AV120" s="75"/>
      <c r="AW120" s="75"/>
      <c r="AX120" s="75"/>
      <c r="AY120" s="75"/>
      <c r="AZ120" s="75"/>
      <c r="BA120" s="75"/>
      <c r="BB120" s="75"/>
      <c r="BC120" s="75"/>
      <c r="BD120" s="75"/>
      <c r="BE120" s="75"/>
      <c r="BF120" s="75"/>
      <c r="BG120" s="75"/>
      <c r="BH120" s="75"/>
      <c r="BI120" s="75"/>
      <c r="BJ120" s="75"/>
      <c r="BK120" s="75"/>
      <c r="BL120" s="75"/>
      <c r="BM120" s="75"/>
      <c r="BN120" s="75"/>
      <c r="BO120" s="75"/>
    </row>
    <row r="121" spans="1:67" ht="18.75" x14ac:dyDescent="0.3">
      <c r="A121" s="153" t="s">
        <v>158</v>
      </c>
      <c r="B121" s="72">
        <v>200</v>
      </c>
      <c r="C121" s="77"/>
      <c r="D121" s="72"/>
      <c r="F121" s="2"/>
      <c r="G121" s="2"/>
      <c r="H121" s="2"/>
      <c r="I121" s="2"/>
      <c r="J121" s="2"/>
      <c r="K121" s="2"/>
      <c r="L121" s="2"/>
      <c r="M121" s="2"/>
      <c r="N121" s="39">
        <v>0</v>
      </c>
      <c r="O121" s="39">
        <v>0</v>
      </c>
      <c r="P121" s="39">
        <v>0</v>
      </c>
      <c r="Q121" s="39">
        <f>AT42</f>
        <v>0</v>
      </c>
      <c r="R121" s="206">
        <v>100</v>
      </c>
      <c r="S121" s="39">
        <v>95</v>
      </c>
      <c r="T121" s="39">
        <v>86</v>
      </c>
      <c r="U121" s="39">
        <v>86</v>
      </c>
      <c r="V121" s="39"/>
      <c r="W121" s="39"/>
      <c r="X121" s="39"/>
      <c r="Y121" s="39"/>
      <c r="Z121" s="39"/>
      <c r="AA121" s="39">
        <v>66</v>
      </c>
      <c r="AB121" s="39">
        <v>65</v>
      </c>
      <c r="AC121" s="6">
        <v>65</v>
      </c>
      <c r="AD121" s="6">
        <v>65</v>
      </c>
      <c r="AE121" s="6">
        <v>65</v>
      </c>
      <c r="AF121" s="6">
        <v>65</v>
      </c>
      <c r="AG121" s="372">
        <f t="shared" ca="1" si="5"/>
        <v>0</v>
      </c>
      <c r="AI121" s="75"/>
      <c r="AJ121" s="75"/>
      <c r="AK121" s="1"/>
      <c r="AL121" s="15"/>
      <c r="AM121" s="388"/>
      <c r="AN121" s="75"/>
      <c r="AO121" s="75"/>
      <c r="AP121" s="75"/>
      <c r="AQ121" s="75"/>
      <c r="AR121" s="75"/>
      <c r="AS121" s="75"/>
      <c r="AT121" s="75"/>
      <c r="AU121" s="75"/>
      <c r="AV121" s="75"/>
      <c r="AW121" s="75"/>
      <c r="AX121" s="75"/>
      <c r="AY121" s="75"/>
      <c r="AZ121" s="75"/>
      <c r="BA121" s="75"/>
      <c r="BB121" s="75"/>
      <c r="BC121" s="75"/>
      <c r="BD121" s="75"/>
      <c r="BE121" s="75"/>
      <c r="BF121" s="75"/>
      <c r="BG121" s="75"/>
      <c r="BH121" s="75"/>
      <c r="BI121" s="75"/>
      <c r="BJ121" s="75"/>
      <c r="BK121" s="75"/>
      <c r="BL121" s="75"/>
      <c r="BM121" s="75"/>
      <c r="BN121" s="75"/>
      <c r="BO121" s="75"/>
    </row>
    <row r="122" spans="1:67" ht="18.75" x14ac:dyDescent="0.25">
      <c r="F122" s="2"/>
      <c r="G122" s="2"/>
      <c r="H122" s="2"/>
      <c r="I122" s="2"/>
      <c r="J122" s="2"/>
      <c r="K122" s="2"/>
      <c r="L122" s="2"/>
      <c r="M122" s="2"/>
      <c r="AI122" s="75"/>
      <c r="AJ122" s="75"/>
      <c r="AK122" s="1"/>
      <c r="AL122" s="15"/>
      <c r="AM122" s="388"/>
      <c r="AN122" s="75"/>
      <c r="AO122" s="75"/>
      <c r="AP122" s="75"/>
      <c r="AQ122" s="75"/>
      <c r="AR122" s="75"/>
      <c r="AS122" s="75"/>
      <c r="AT122" s="75"/>
      <c r="AU122" s="75"/>
      <c r="AV122" s="75"/>
      <c r="AW122" s="75"/>
      <c r="AX122" s="75"/>
      <c r="AY122" s="75"/>
      <c r="AZ122" s="75"/>
      <c r="BA122" s="75"/>
      <c r="BB122" s="75"/>
      <c r="BC122" s="75"/>
      <c r="BD122" s="75"/>
      <c r="BE122" s="75"/>
      <c r="BF122" s="75"/>
      <c r="BG122" s="75"/>
      <c r="BH122" s="75"/>
      <c r="BI122" s="75"/>
      <c r="BJ122" s="75"/>
      <c r="BK122" s="75"/>
      <c r="BL122" s="75"/>
      <c r="BM122" s="75"/>
      <c r="BN122" s="75"/>
      <c r="BO122" s="75"/>
    </row>
    <row r="123" spans="1:67" ht="18.75" x14ac:dyDescent="0.25">
      <c r="A123" s="272" t="s">
        <v>488</v>
      </c>
      <c r="B123" s="248" t="s">
        <v>151</v>
      </c>
      <c r="C123" s="248" t="s">
        <v>152</v>
      </c>
      <c r="D123" s="248"/>
      <c r="F123" s="2"/>
      <c r="G123" s="2"/>
      <c r="H123" s="2"/>
      <c r="I123" s="2"/>
      <c r="J123" s="2"/>
      <c r="K123" s="2"/>
      <c r="L123" s="2"/>
      <c r="M123" s="2"/>
      <c r="N123" s="13">
        <v>46062</v>
      </c>
      <c r="O123" s="13">
        <v>46069</v>
      </c>
      <c r="P123" s="13">
        <v>46076</v>
      </c>
      <c r="Q123" s="13">
        <v>46083</v>
      </c>
      <c r="R123" s="13">
        <v>46090</v>
      </c>
      <c r="S123" s="13">
        <v>46097</v>
      </c>
      <c r="T123" s="13">
        <v>46104</v>
      </c>
      <c r="U123" s="13">
        <v>46111</v>
      </c>
      <c r="V123" s="13">
        <v>46118</v>
      </c>
      <c r="W123" s="13">
        <v>46125</v>
      </c>
      <c r="X123" s="13">
        <v>46132</v>
      </c>
      <c r="Y123" s="13">
        <v>46139</v>
      </c>
      <c r="Z123" s="13">
        <v>46146</v>
      </c>
      <c r="AA123" s="13">
        <v>46154</v>
      </c>
      <c r="AB123" s="13">
        <v>46160</v>
      </c>
      <c r="AC123" s="13">
        <v>46161.480135034719</v>
      </c>
      <c r="AD123" s="13">
        <v>46161.480808761567</v>
      </c>
      <c r="AE123" s="13">
        <v>46161.482965682873</v>
      </c>
      <c r="AF123" s="13">
        <v>46161.483294401529</v>
      </c>
      <c r="AG123" s="35" t="s">
        <v>129</v>
      </c>
      <c r="AI123" s="75"/>
      <c r="AJ123" s="75"/>
      <c r="AK123" s="1"/>
      <c r="AL123" s="15"/>
      <c r="AM123" s="388"/>
      <c r="AN123" s="75"/>
      <c r="AO123" s="75"/>
      <c r="AP123" s="75"/>
      <c r="AQ123" s="75"/>
      <c r="AR123" s="75"/>
      <c r="AS123" s="75"/>
      <c r="AT123" s="75"/>
      <c r="AU123" s="75"/>
      <c r="AV123" s="75"/>
      <c r="AW123" s="75"/>
      <c r="AX123" s="75"/>
      <c r="AY123" s="75"/>
      <c r="AZ123" s="75"/>
      <c r="BA123" s="75"/>
      <c r="BB123" s="75"/>
      <c r="BC123" s="75"/>
      <c r="BD123" s="75"/>
      <c r="BE123" s="75"/>
      <c r="BF123" s="75"/>
      <c r="BG123" s="75"/>
      <c r="BH123" s="75"/>
      <c r="BI123" s="75"/>
      <c r="BJ123" s="75"/>
      <c r="BK123" s="75"/>
      <c r="BL123" s="75"/>
      <c r="BM123" s="75"/>
      <c r="BN123" s="75"/>
      <c r="BO123" s="75"/>
    </row>
    <row r="124" spans="1:67" ht="18.75" x14ac:dyDescent="0.25">
      <c r="A124" s="25" t="s">
        <v>419</v>
      </c>
      <c r="B124" s="6">
        <v>200</v>
      </c>
      <c r="C124" s="66"/>
      <c r="D124" s="234"/>
      <c r="F124" s="2"/>
      <c r="G124" s="2"/>
      <c r="H124" s="2"/>
      <c r="I124" s="2"/>
      <c r="J124" s="2"/>
      <c r="K124" s="2"/>
      <c r="L124" s="2"/>
      <c r="M124" s="2"/>
      <c r="N124" s="39">
        <v>0</v>
      </c>
      <c r="O124" s="39">
        <v>0</v>
      </c>
      <c r="P124" s="39">
        <v>0</v>
      </c>
      <c r="Q124" s="39">
        <v>0</v>
      </c>
      <c r="R124" s="39">
        <v>0</v>
      </c>
      <c r="S124" s="39">
        <v>0</v>
      </c>
      <c r="T124" s="39">
        <f>AP9</f>
        <v>0</v>
      </c>
      <c r="U124" s="39">
        <v>3000</v>
      </c>
      <c r="V124" s="39">
        <v>3000</v>
      </c>
      <c r="W124" s="39">
        <v>2400</v>
      </c>
      <c r="X124" s="39">
        <v>2400</v>
      </c>
      <c r="Y124" s="39">
        <v>1000</v>
      </c>
      <c r="Z124" s="39">
        <v>400</v>
      </c>
      <c r="AA124" s="206">
        <v>0</v>
      </c>
      <c r="AB124" s="206"/>
      <c r="AC124" s="373"/>
      <c r="AD124" s="373"/>
      <c r="AE124" s="373"/>
      <c r="AF124" s="373"/>
      <c r="AG124" s="372">
        <f t="shared" ref="AG124:AG132" ca="1" si="6">AE124+IF(NOT(ISBLANK(OFFSET(AG124,0,6))),N(OFFSET(AG124,0,6)),N(OFFSET(AG124,0,7)))-AF124</f>
        <v>0</v>
      </c>
      <c r="AI124" s="75"/>
      <c r="AJ124" s="75"/>
      <c r="AK124" s="1"/>
      <c r="AL124" s="15"/>
      <c r="AM124" s="388"/>
      <c r="AN124" s="75"/>
      <c r="AO124" s="75"/>
      <c r="AP124" s="75"/>
      <c r="AQ124" s="75"/>
      <c r="AR124" s="75"/>
      <c r="AS124" s="75"/>
      <c r="AT124" s="75"/>
      <c r="AU124" s="75"/>
      <c r="AV124" s="75"/>
      <c r="AW124" s="75"/>
      <c r="AX124" s="75"/>
      <c r="AY124" s="75"/>
      <c r="AZ124" s="75"/>
      <c r="BA124" s="75"/>
      <c r="BB124" s="75"/>
      <c r="BC124" s="75"/>
      <c r="BD124" s="75"/>
      <c r="BE124" s="75"/>
      <c r="BF124" s="75"/>
      <c r="BG124" s="75"/>
      <c r="BH124" s="75"/>
      <c r="BI124" s="75"/>
      <c r="BJ124" s="75"/>
      <c r="BK124" s="75"/>
      <c r="BL124" s="75"/>
      <c r="BM124" s="75"/>
      <c r="BN124" s="75"/>
      <c r="BO124" s="75"/>
    </row>
    <row r="125" spans="1:67" ht="18.75" x14ac:dyDescent="0.25">
      <c r="A125" s="25" t="s">
        <v>421</v>
      </c>
      <c r="B125" s="6">
        <v>200</v>
      </c>
      <c r="C125" s="66"/>
      <c r="D125" s="234"/>
      <c r="F125" s="2"/>
      <c r="G125" s="2"/>
      <c r="H125" s="2"/>
      <c r="I125" s="2"/>
      <c r="J125" s="2"/>
      <c r="K125" s="2"/>
      <c r="L125" s="2"/>
      <c r="M125" s="2"/>
      <c r="N125" s="39">
        <v>0</v>
      </c>
      <c r="O125" s="39">
        <v>0</v>
      </c>
      <c r="P125" s="39">
        <v>0</v>
      </c>
      <c r="Q125" s="39">
        <v>0</v>
      </c>
      <c r="R125" s="39">
        <v>0</v>
      </c>
      <c r="S125" s="39">
        <v>0</v>
      </c>
      <c r="T125" s="39">
        <f>AP10</f>
        <v>0</v>
      </c>
      <c r="U125" s="39">
        <v>1400</v>
      </c>
      <c r="V125" s="39">
        <v>1400</v>
      </c>
      <c r="W125" s="39">
        <v>1200</v>
      </c>
      <c r="X125" s="39">
        <v>1200</v>
      </c>
      <c r="Y125" s="39">
        <v>600</v>
      </c>
      <c r="Z125" s="39">
        <v>400</v>
      </c>
      <c r="AA125" s="206">
        <v>1200</v>
      </c>
      <c r="AB125" s="206"/>
      <c r="AC125" s="373"/>
      <c r="AD125" s="373"/>
      <c r="AE125" s="373"/>
      <c r="AF125" s="373"/>
      <c r="AG125" s="372">
        <f t="shared" ca="1" si="6"/>
        <v>0</v>
      </c>
      <c r="AI125" s="75"/>
      <c r="AJ125" s="75"/>
      <c r="AK125" s="1"/>
      <c r="AL125" s="15"/>
      <c r="AM125" s="388"/>
      <c r="AN125" s="75"/>
      <c r="AO125" s="75"/>
      <c r="AP125" s="75"/>
      <c r="AQ125" s="75"/>
      <c r="AR125" s="75"/>
      <c r="AS125" s="75"/>
      <c r="AT125" s="75"/>
      <c r="AU125" s="75"/>
      <c r="AV125" s="75"/>
      <c r="AW125" s="75"/>
      <c r="AX125" s="75"/>
      <c r="AY125" s="75"/>
      <c r="AZ125" s="75"/>
      <c r="BA125" s="75"/>
      <c r="BB125" s="75"/>
      <c r="BC125" s="75"/>
      <c r="BD125" s="75"/>
      <c r="BE125" s="75"/>
      <c r="BF125" s="75"/>
      <c r="BG125" s="75"/>
      <c r="BH125" s="75"/>
      <c r="BI125" s="75"/>
      <c r="BJ125" s="75"/>
      <c r="BK125" s="75"/>
      <c r="BL125" s="75"/>
      <c r="BM125" s="75"/>
      <c r="BN125" s="75"/>
      <c r="BO125" s="75"/>
    </row>
    <row r="126" spans="1:67" ht="18.75" x14ac:dyDescent="0.25">
      <c r="A126" s="25" t="s">
        <v>422</v>
      </c>
      <c r="B126" s="6">
        <v>100</v>
      </c>
      <c r="C126" s="66"/>
      <c r="D126" s="234"/>
      <c r="N126" s="39">
        <v>0</v>
      </c>
      <c r="O126" s="39">
        <v>0</v>
      </c>
      <c r="P126" s="39">
        <v>0</v>
      </c>
      <c r="Q126" s="39">
        <v>0</v>
      </c>
      <c r="R126" s="39">
        <v>0</v>
      </c>
      <c r="S126" s="39">
        <v>0</v>
      </c>
      <c r="T126" s="39">
        <f>AP11</f>
        <v>0</v>
      </c>
      <c r="U126" s="39">
        <v>500</v>
      </c>
      <c r="V126" s="39">
        <v>500</v>
      </c>
      <c r="W126" s="39">
        <v>500</v>
      </c>
      <c r="X126" s="39">
        <v>500</v>
      </c>
      <c r="Y126" s="39">
        <v>400</v>
      </c>
      <c r="Z126" s="39">
        <v>200</v>
      </c>
      <c r="AA126" s="206">
        <v>100</v>
      </c>
      <c r="AB126" s="206"/>
      <c r="AC126" s="373"/>
      <c r="AD126" s="373"/>
      <c r="AE126" s="373"/>
      <c r="AF126" s="373"/>
      <c r="AG126" s="372">
        <f t="shared" ca="1" si="6"/>
        <v>0</v>
      </c>
    </row>
    <row r="127" spans="1:67" ht="18.75" x14ac:dyDescent="0.25">
      <c r="A127" s="25" t="s">
        <v>489</v>
      </c>
      <c r="B127" s="6">
        <v>200</v>
      </c>
      <c r="C127" s="66"/>
      <c r="D127" s="234"/>
      <c r="N127" s="39">
        <v>0</v>
      </c>
      <c r="O127" s="39">
        <v>0</v>
      </c>
      <c r="P127" s="39">
        <v>0</v>
      </c>
      <c r="Q127" s="39">
        <f>AS28</f>
        <v>0</v>
      </c>
      <c r="R127" s="39">
        <v>400</v>
      </c>
      <c r="S127" s="39">
        <v>400</v>
      </c>
      <c r="T127" s="39">
        <v>387</v>
      </c>
      <c r="U127" s="39">
        <v>252</v>
      </c>
      <c r="V127" s="39"/>
      <c r="W127" s="39"/>
      <c r="X127" s="39"/>
      <c r="Y127" s="39"/>
      <c r="Z127" s="39"/>
      <c r="AA127" s="39">
        <v>134</v>
      </c>
      <c r="AB127" s="39">
        <v>119</v>
      </c>
      <c r="AC127" s="6">
        <v>119</v>
      </c>
      <c r="AD127" s="6">
        <v>119</v>
      </c>
      <c r="AE127" s="6">
        <v>119</v>
      </c>
      <c r="AF127" s="6">
        <v>119</v>
      </c>
      <c r="AG127" s="372">
        <f t="shared" ca="1" si="6"/>
        <v>0</v>
      </c>
    </row>
    <row r="128" spans="1:67" ht="18.75" x14ac:dyDescent="0.3">
      <c r="A128" s="25" t="s">
        <v>487</v>
      </c>
      <c r="B128" s="6">
        <v>200</v>
      </c>
      <c r="C128" s="66"/>
      <c r="D128" s="234"/>
      <c r="F128" s="2"/>
      <c r="G128" s="2"/>
      <c r="H128" s="2"/>
      <c r="I128" s="2"/>
      <c r="J128" s="2"/>
      <c r="K128" s="2"/>
      <c r="L128" s="2"/>
      <c r="M128" s="2"/>
      <c r="N128" s="39">
        <v>0</v>
      </c>
      <c r="O128" s="39">
        <v>0</v>
      </c>
      <c r="P128" s="39">
        <v>0</v>
      </c>
      <c r="Q128" s="39">
        <f>AS29</f>
        <v>0</v>
      </c>
      <c r="R128" s="39">
        <v>200</v>
      </c>
      <c r="S128" s="39">
        <v>200</v>
      </c>
      <c r="T128" s="39">
        <v>180</v>
      </c>
      <c r="U128" s="39">
        <v>51</v>
      </c>
      <c r="V128" s="39"/>
      <c r="W128" s="39"/>
      <c r="X128" s="39"/>
      <c r="Y128" s="39"/>
      <c r="Z128" s="39"/>
      <c r="AA128" s="39">
        <v>0</v>
      </c>
      <c r="AB128" s="39">
        <v>0</v>
      </c>
      <c r="AC128" s="6">
        <v>0</v>
      </c>
      <c r="AD128" s="6">
        <v>0</v>
      </c>
      <c r="AE128" s="6">
        <v>0</v>
      </c>
      <c r="AF128" s="6">
        <v>0</v>
      </c>
      <c r="AG128" s="372">
        <f t="shared" ca="1" si="6"/>
        <v>0</v>
      </c>
      <c r="AH128" s="11"/>
      <c r="AI128" s="75"/>
      <c r="AJ128" s="75"/>
      <c r="AK128" s="1"/>
      <c r="AL128" s="15"/>
      <c r="AM128" s="388"/>
      <c r="AN128" s="75"/>
      <c r="AO128" s="75"/>
      <c r="AP128" s="75"/>
      <c r="AQ128" s="75"/>
      <c r="AR128" s="75"/>
      <c r="AS128" s="75"/>
      <c r="AT128" s="75"/>
      <c r="AU128" s="75"/>
      <c r="AV128" s="75"/>
      <c r="AW128" s="75"/>
      <c r="AX128" s="75"/>
      <c r="AY128" s="75"/>
      <c r="AZ128" s="75"/>
      <c r="BA128" s="75"/>
      <c r="BB128" s="75"/>
      <c r="BC128" s="75"/>
      <c r="BD128" s="75"/>
      <c r="BE128" s="75"/>
      <c r="BF128" s="75"/>
      <c r="BG128" s="75"/>
      <c r="BH128" s="75"/>
      <c r="BI128" s="75"/>
      <c r="BJ128" s="75"/>
      <c r="BK128" s="75"/>
      <c r="BL128" s="75"/>
      <c r="BM128" s="75"/>
      <c r="BN128" s="75"/>
      <c r="BO128" s="75"/>
    </row>
    <row r="129" spans="1:33" ht="18.75" x14ac:dyDescent="0.3">
      <c r="A129" s="153" t="s">
        <v>481</v>
      </c>
      <c r="B129" s="72">
        <v>200</v>
      </c>
      <c r="C129" s="77"/>
      <c r="D129" s="72"/>
      <c r="N129" s="39">
        <v>0</v>
      </c>
      <c r="O129" s="39">
        <v>0</v>
      </c>
      <c r="P129" s="39">
        <v>0</v>
      </c>
      <c r="Q129" s="39">
        <v>0</v>
      </c>
      <c r="R129" s="39">
        <v>0</v>
      </c>
      <c r="S129" s="39">
        <v>0</v>
      </c>
      <c r="T129" s="39">
        <v>0</v>
      </c>
      <c r="U129" s="206">
        <v>3</v>
      </c>
      <c r="V129" s="39"/>
      <c r="W129" s="39"/>
      <c r="X129" s="39"/>
      <c r="Y129" s="39"/>
      <c r="Z129" s="39"/>
      <c r="AA129" s="39">
        <v>0</v>
      </c>
      <c r="AB129" s="39">
        <v>0</v>
      </c>
      <c r="AC129" s="6">
        <v>0</v>
      </c>
      <c r="AD129" s="6">
        <v>0</v>
      </c>
      <c r="AE129" s="6">
        <v>0</v>
      </c>
      <c r="AF129" s="6">
        <v>0</v>
      </c>
      <c r="AG129" s="372">
        <f t="shared" ca="1" si="6"/>
        <v>0</v>
      </c>
    </row>
    <row r="130" spans="1:33" ht="18.75" x14ac:dyDescent="0.3">
      <c r="A130" s="153" t="s">
        <v>154</v>
      </c>
      <c r="B130" s="72">
        <v>150</v>
      </c>
      <c r="C130" s="77"/>
      <c r="D130" s="72"/>
      <c r="N130" s="39">
        <v>0</v>
      </c>
      <c r="O130" s="39">
        <v>0</v>
      </c>
      <c r="P130" s="39">
        <v>0</v>
      </c>
      <c r="Q130" s="39">
        <v>0</v>
      </c>
      <c r="R130" s="39">
        <v>0</v>
      </c>
      <c r="S130" s="39">
        <v>0</v>
      </c>
      <c r="T130" s="39">
        <v>0</v>
      </c>
      <c r="U130" s="39">
        <v>48</v>
      </c>
      <c r="V130" s="39"/>
      <c r="W130" s="39"/>
      <c r="X130" s="39"/>
      <c r="Y130" s="39"/>
      <c r="Z130" s="39"/>
      <c r="AA130" s="39">
        <v>77</v>
      </c>
      <c r="AB130" s="39">
        <v>77</v>
      </c>
      <c r="AC130" s="6">
        <v>77</v>
      </c>
      <c r="AD130" s="6">
        <v>77</v>
      </c>
      <c r="AE130" s="6">
        <v>77</v>
      </c>
      <c r="AF130" s="6">
        <v>77</v>
      </c>
      <c r="AG130" s="372">
        <f t="shared" ca="1" si="6"/>
        <v>0</v>
      </c>
    </row>
    <row r="131" spans="1:33" ht="18.75" x14ac:dyDescent="0.3">
      <c r="A131" s="153" t="s">
        <v>156</v>
      </c>
      <c r="B131" s="72">
        <v>100</v>
      </c>
      <c r="C131" s="77"/>
      <c r="D131" s="72"/>
      <c r="N131" s="39">
        <v>0</v>
      </c>
      <c r="O131" s="39">
        <v>0</v>
      </c>
      <c r="P131" s="39">
        <v>0</v>
      </c>
      <c r="Q131" s="39">
        <v>0</v>
      </c>
      <c r="R131" s="39">
        <v>0</v>
      </c>
      <c r="S131" s="39">
        <v>0</v>
      </c>
      <c r="T131" s="39">
        <v>0</v>
      </c>
      <c r="U131" s="39">
        <v>78</v>
      </c>
      <c r="V131" s="39"/>
      <c r="W131" s="39"/>
      <c r="X131" s="39"/>
      <c r="Y131" s="39"/>
      <c r="Z131" s="39"/>
      <c r="AA131" s="39">
        <v>82</v>
      </c>
      <c r="AB131" s="39">
        <v>82</v>
      </c>
      <c r="AC131" s="6">
        <v>82</v>
      </c>
      <c r="AD131" s="6">
        <v>82</v>
      </c>
      <c r="AE131" s="6">
        <v>82</v>
      </c>
      <c r="AF131" s="6">
        <v>82</v>
      </c>
      <c r="AG131" s="372">
        <f t="shared" ca="1" si="6"/>
        <v>0</v>
      </c>
    </row>
    <row r="132" spans="1:33" ht="18.75" x14ac:dyDescent="0.3">
      <c r="A132" s="153" t="s">
        <v>160</v>
      </c>
      <c r="B132" s="72">
        <v>150</v>
      </c>
      <c r="C132" s="77"/>
      <c r="D132" s="72"/>
      <c r="N132" s="39">
        <v>0</v>
      </c>
      <c r="O132" s="39">
        <v>0</v>
      </c>
      <c r="P132" s="39">
        <v>0</v>
      </c>
      <c r="Q132" s="39">
        <f>AS43</f>
        <v>0</v>
      </c>
      <c r="R132" s="39">
        <v>150</v>
      </c>
      <c r="S132" s="39">
        <v>150</v>
      </c>
      <c r="T132" s="39">
        <v>146</v>
      </c>
      <c r="U132" s="39">
        <v>87</v>
      </c>
      <c r="V132" s="39"/>
      <c r="W132" s="39"/>
      <c r="X132" s="39"/>
      <c r="Y132" s="39"/>
      <c r="Z132" s="39"/>
      <c r="AA132" s="39">
        <v>43</v>
      </c>
      <c r="AB132" s="39">
        <v>34</v>
      </c>
      <c r="AC132" s="6">
        <v>34</v>
      </c>
      <c r="AD132" s="6">
        <v>34</v>
      </c>
      <c r="AE132" s="6">
        <v>34</v>
      </c>
      <c r="AF132" s="6">
        <v>34</v>
      </c>
      <c r="AG132" s="372">
        <f t="shared" ca="1" si="6"/>
        <v>0</v>
      </c>
    </row>
    <row r="133" spans="1:33" ht="18.75" x14ac:dyDescent="0.3">
      <c r="B133" s="41"/>
      <c r="C133" s="120"/>
      <c r="D133" s="120"/>
    </row>
  </sheetData>
  <mergeCells count="9">
    <mergeCell ref="A5:A6"/>
    <mergeCell ref="B3:D3"/>
    <mergeCell ref="A1:AC1"/>
    <mergeCell ref="A112:AB112"/>
    <mergeCell ref="C5:C6"/>
    <mergeCell ref="F5:AB5"/>
    <mergeCell ref="B5:B6"/>
    <mergeCell ref="B2:D2"/>
    <mergeCell ref="D5:D6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48" orientation="landscape" horizontalDpi="4294967295" verticalDpi="4294967295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ilha65">
    <tabColor theme="8"/>
    <pageSetUpPr fitToPage="1"/>
  </sheetPr>
  <dimension ref="A1:BJ133"/>
  <sheetViews>
    <sheetView showGridLines="0" topLeftCell="A58" zoomScale="80" zoomScaleNormal="80" zoomScaleSheetLayoutView="50" workbookViewId="0">
      <selection activeCell="AB72" sqref="AB72:AB77"/>
    </sheetView>
  </sheetViews>
  <sheetFormatPr defaultColWidth="9.140625" defaultRowHeight="18.75" x14ac:dyDescent="0.3"/>
  <cols>
    <col min="1" max="1" width="38.42578125" style="62" customWidth="1"/>
    <col min="2" max="2" width="8.140625" style="11" customWidth="1"/>
    <col min="3" max="3" width="15.85546875" style="11" customWidth="1"/>
    <col min="4" max="4" width="16.85546875" style="11" customWidth="1"/>
    <col min="5" max="5" width="2" style="11" customWidth="1"/>
    <col min="6" max="25" width="8.28515625" style="11" hidden="1" customWidth="1"/>
    <col min="26" max="27" width="8.28515625" style="11" customWidth="1"/>
    <col min="28" max="28" width="9.5703125" style="11" bestFit="1" customWidth="1"/>
    <col min="29" max="29" width="1.42578125" style="11" customWidth="1"/>
    <col min="30" max="30" width="16" style="71" bestFit="1" customWidth="1"/>
    <col min="31" max="31" width="14.28515625" style="71" bestFit="1" customWidth="1"/>
    <col min="32" max="32" width="1.7109375" style="11" customWidth="1"/>
    <col min="33" max="33" width="15.85546875" style="34" bestFit="1" customWidth="1"/>
    <col min="34" max="34" width="1.28515625" style="11" customWidth="1"/>
    <col min="35" max="35" width="9.140625" style="34" customWidth="1"/>
    <col min="36" max="36" width="12.140625" style="34" bestFit="1" customWidth="1"/>
    <col min="37" max="46" width="9.140625" style="34" customWidth="1"/>
    <col min="47" max="62" width="9.140625" style="34" hidden="1" customWidth="1"/>
    <col min="63" max="63" width="9.140625" style="11" customWidth="1"/>
    <col min="64" max="16384" width="9.140625" style="11"/>
  </cols>
  <sheetData>
    <row r="1" spans="1:62" ht="23.25" customHeight="1" x14ac:dyDescent="0.3">
      <c r="A1" s="477" t="s">
        <v>117</v>
      </c>
      <c r="B1" s="479"/>
      <c r="C1" s="479"/>
      <c r="D1" s="479"/>
      <c r="E1" s="479"/>
      <c r="F1" s="479"/>
      <c r="G1" s="479"/>
      <c r="H1" s="479"/>
      <c r="I1" s="479"/>
      <c r="J1" s="479"/>
      <c r="K1" s="479"/>
      <c r="L1" s="479"/>
      <c r="M1" s="479"/>
      <c r="N1" s="479"/>
      <c r="O1" s="479"/>
      <c r="P1" s="479"/>
      <c r="Q1" s="479"/>
      <c r="R1" s="479"/>
      <c r="S1" s="479"/>
      <c r="T1" s="479"/>
      <c r="U1" s="479"/>
      <c r="V1" s="479"/>
      <c r="W1" s="479"/>
      <c r="X1" s="479"/>
      <c r="Y1" s="479"/>
      <c r="Z1" s="479"/>
      <c r="AA1" s="479"/>
      <c r="AB1" s="479"/>
      <c r="AC1" s="479"/>
      <c r="AF1" s="34"/>
      <c r="AG1" s="11"/>
      <c r="AH1" s="34"/>
    </row>
    <row r="2" spans="1:62" x14ac:dyDescent="0.3">
      <c r="A2" s="63" t="s">
        <v>118</v>
      </c>
      <c r="B2" s="473" t="s">
        <v>424</v>
      </c>
      <c r="C2" s="463"/>
      <c r="D2" s="464"/>
      <c r="AF2" s="34"/>
      <c r="AG2" s="11"/>
      <c r="AH2" s="34"/>
    </row>
    <row r="3" spans="1:62" x14ac:dyDescent="0.3">
      <c r="A3" s="63" t="s">
        <v>120</v>
      </c>
      <c r="B3" s="465" t="s">
        <v>527</v>
      </c>
      <c r="C3" s="463"/>
      <c r="D3" s="464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F3" s="34"/>
    </row>
    <row r="4" spans="1:62" x14ac:dyDescent="0.3">
      <c r="AD4" s="41"/>
      <c r="AE4" s="41"/>
      <c r="AG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</row>
    <row r="5" spans="1:62" ht="24.75" customHeight="1" x14ac:dyDescent="0.3">
      <c r="A5" s="460" t="s">
        <v>122</v>
      </c>
      <c r="B5" s="471" t="s">
        <v>123</v>
      </c>
      <c r="C5" s="471" t="s">
        <v>124</v>
      </c>
      <c r="D5" s="474" t="s">
        <v>125</v>
      </c>
      <c r="F5" s="476"/>
      <c r="G5" s="467"/>
      <c r="H5" s="467"/>
      <c r="I5" s="467"/>
      <c r="J5" s="467"/>
      <c r="K5" s="467"/>
      <c r="L5" s="467"/>
      <c r="M5" s="467"/>
      <c r="N5" s="467"/>
      <c r="O5" s="467"/>
      <c r="P5" s="467"/>
      <c r="Q5" s="467"/>
      <c r="R5" s="467"/>
      <c r="S5" s="467"/>
      <c r="T5" s="467"/>
      <c r="U5" s="467"/>
      <c r="V5" s="467"/>
      <c r="W5" s="467"/>
      <c r="X5" s="467"/>
      <c r="Y5" s="467"/>
      <c r="Z5" s="467"/>
      <c r="AA5" s="467"/>
      <c r="AB5" s="469"/>
      <c r="AD5" s="29" t="s">
        <v>126</v>
      </c>
      <c r="AE5" s="29" t="s">
        <v>126</v>
      </c>
      <c r="AG5" s="9" t="s">
        <v>127</v>
      </c>
      <c r="AI5" s="17">
        <v>46149</v>
      </c>
      <c r="AJ5" s="339" t="s">
        <v>128</v>
      </c>
      <c r="AK5" s="17">
        <v>46142</v>
      </c>
      <c r="AL5" s="17">
        <v>46114</v>
      </c>
      <c r="AM5" s="17">
        <v>46107</v>
      </c>
      <c r="AN5" s="17">
        <v>46099</v>
      </c>
      <c r="AO5" s="294">
        <v>46065</v>
      </c>
      <c r="AP5" s="17">
        <v>46092</v>
      </c>
      <c r="AQ5" s="17">
        <v>46084</v>
      </c>
      <c r="AR5" s="294">
        <v>46065</v>
      </c>
      <c r="AS5" s="292">
        <v>46045</v>
      </c>
      <c r="AT5" s="17">
        <v>46077</v>
      </c>
      <c r="AU5" s="17">
        <v>46071</v>
      </c>
      <c r="AV5" s="17">
        <v>46056</v>
      </c>
      <c r="AW5" s="17">
        <v>46048</v>
      </c>
      <c r="AX5" s="17">
        <v>46043</v>
      </c>
      <c r="AY5" s="17">
        <v>46035</v>
      </c>
      <c r="AZ5" s="17">
        <v>46029</v>
      </c>
      <c r="BA5" s="17">
        <v>46035</v>
      </c>
      <c r="BB5" s="17">
        <v>46029</v>
      </c>
      <c r="BC5" s="17">
        <v>46024</v>
      </c>
      <c r="BD5" s="17">
        <v>46007</v>
      </c>
      <c r="BE5" s="17">
        <v>46001</v>
      </c>
      <c r="BF5" s="17">
        <v>46001</v>
      </c>
      <c r="BG5" s="17">
        <v>45994</v>
      </c>
      <c r="BH5" s="17">
        <v>45986</v>
      </c>
      <c r="BI5" s="17">
        <v>45986</v>
      </c>
      <c r="BJ5" s="17">
        <v>45980</v>
      </c>
    </row>
    <row r="6" spans="1:62" s="3" customFormat="1" x14ac:dyDescent="0.3">
      <c r="A6" s="461"/>
      <c r="B6" s="461"/>
      <c r="C6" s="461"/>
      <c r="D6" s="461"/>
      <c r="E6" s="30"/>
      <c r="F6" s="13">
        <v>46006</v>
      </c>
      <c r="G6" s="13">
        <v>46013</v>
      </c>
      <c r="H6" s="13">
        <v>46020</v>
      </c>
      <c r="I6" s="13">
        <v>46027</v>
      </c>
      <c r="J6" s="13">
        <v>46034</v>
      </c>
      <c r="K6" s="13">
        <v>46041</v>
      </c>
      <c r="L6" s="13">
        <v>46048</v>
      </c>
      <c r="M6" s="13">
        <v>46055</v>
      </c>
      <c r="N6" s="13">
        <v>46062</v>
      </c>
      <c r="O6" s="13">
        <v>46069</v>
      </c>
      <c r="P6" s="13">
        <v>46076</v>
      </c>
      <c r="Q6" s="13">
        <v>46083</v>
      </c>
      <c r="R6" s="13">
        <v>46090</v>
      </c>
      <c r="S6" s="13">
        <v>46097</v>
      </c>
      <c r="T6" s="13">
        <v>46104</v>
      </c>
      <c r="U6" s="13">
        <v>46111</v>
      </c>
      <c r="V6" s="13">
        <v>46118</v>
      </c>
      <c r="W6" s="13">
        <v>46125</v>
      </c>
      <c r="X6" s="13">
        <v>46132</v>
      </c>
      <c r="Y6" s="13">
        <v>46139</v>
      </c>
      <c r="Z6" s="13">
        <v>46146</v>
      </c>
      <c r="AA6" s="13">
        <v>46154</v>
      </c>
      <c r="AB6" s="149" t="s">
        <v>129</v>
      </c>
      <c r="AC6" s="30"/>
      <c r="AD6" s="232" t="s">
        <v>128</v>
      </c>
      <c r="AE6" s="18">
        <v>46149</v>
      </c>
      <c r="AF6" s="31"/>
      <c r="AG6" s="179">
        <v>46155</v>
      </c>
      <c r="AH6" s="31"/>
      <c r="AI6" s="17">
        <v>46155</v>
      </c>
      <c r="AJ6" s="339">
        <v>46150</v>
      </c>
      <c r="AK6" s="17">
        <v>46149</v>
      </c>
      <c r="AL6" s="17">
        <v>46125</v>
      </c>
      <c r="AM6" s="17">
        <v>46112</v>
      </c>
      <c r="AN6" s="17">
        <v>46106</v>
      </c>
      <c r="AO6" s="294">
        <v>46104</v>
      </c>
      <c r="AP6" s="17">
        <v>46099</v>
      </c>
      <c r="AQ6" s="17">
        <v>46090</v>
      </c>
      <c r="AR6" s="294">
        <v>46087</v>
      </c>
      <c r="AS6" s="292">
        <v>46087</v>
      </c>
      <c r="AT6" s="17">
        <v>46084</v>
      </c>
      <c r="AU6" s="17">
        <v>46078</v>
      </c>
      <c r="AV6" s="17">
        <v>46063</v>
      </c>
      <c r="AW6" s="17">
        <v>46056</v>
      </c>
      <c r="AX6" s="17">
        <v>46049</v>
      </c>
      <c r="AY6" s="17">
        <v>46049</v>
      </c>
      <c r="AZ6" s="17">
        <v>46044</v>
      </c>
      <c r="BA6" s="17">
        <v>46041</v>
      </c>
      <c r="BB6" s="17">
        <v>46041</v>
      </c>
      <c r="BC6" s="17">
        <v>46041</v>
      </c>
      <c r="BD6" s="17">
        <v>46014</v>
      </c>
      <c r="BE6" s="17">
        <v>46010</v>
      </c>
      <c r="BF6" s="17">
        <v>46009</v>
      </c>
      <c r="BG6" s="17">
        <v>46001</v>
      </c>
      <c r="BH6" s="17">
        <v>46000</v>
      </c>
      <c r="BI6" s="17">
        <v>45993</v>
      </c>
      <c r="BJ6" s="17">
        <v>45992</v>
      </c>
    </row>
    <row r="7" spans="1:62" s="3" customFormat="1" ht="21.75" customHeight="1" x14ac:dyDescent="0.3">
      <c r="A7" s="20" t="s">
        <v>426</v>
      </c>
      <c r="B7" s="4"/>
      <c r="C7" s="5"/>
      <c r="D7" s="233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1"/>
      <c r="AD7" s="84"/>
      <c r="AE7" s="84"/>
      <c r="AF7" s="11"/>
      <c r="AG7" s="111"/>
      <c r="AH7" s="11"/>
      <c r="AI7" s="114"/>
      <c r="AJ7" s="114"/>
      <c r="AK7" s="114"/>
      <c r="AL7" s="114"/>
      <c r="AM7" s="114"/>
      <c r="AN7" s="114"/>
      <c r="AO7" s="114" t="s">
        <v>131</v>
      </c>
      <c r="AP7" s="114"/>
      <c r="AQ7" s="114"/>
      <c r="AR7" s="114" t="s">
        <v>131</v>
      </c>
      <c r="AS7" s="114" t="s">
        <v>131</v>
      </c>
      <c r="AT7" s="114"/>
      <c r="AU7" s="114"/>
      <c r="AV7" s="114"/>
      <c r="AW7" s="114"/>
      <c r="AX7" s="114"/>
      <c r="AY7" s="114"/>
      <c r="AZ7" s="114"/>
      <c r="BA7" s="114"/>
      <c r="BB7" s="114"/>
      <c r="BC7" s="114"/>
      <c r="BD7" s="114"/>
      <c r="BE7" s="114"/>
      <c r="BF7" s="114"/>
      <c r="BG7" s="114"/>
      <c r="BH7" s="114"/>
      <c r="BI7" s="114"/>
      <c r="BJ7" s="114"/>
    </row>
    <row r="8" spans="1:62" s="3" customFormat="1" x14ac:dyDescent="0.3">
      <c r="A8" s="21" t="s">
        <v>132</v>
      </c>
      <c r="B8" s="6">
        <v>300</v>
      </c>
      <c r="C8" s="82">
        <v>178.21</v>
      </c>
      <c r="D8" s="234">
        <v>1800</v>
      </c>
      <c r="E8" s="11"/>
      <c r="F8" s="39">
        <f>1200+BD8</f>
        <v>2100</v>
      </c>
      <c r="G8" s="39">
        <f>900+BD8</f>
        <v>1800</v>
      </c>
      <c r="H8" s="39">
        <v>900</v>
      </c>
      <c r="I8" s="39">
        <v>600</v>
      </c>
      <c r="J8" s="39">
        <v>300</v>
      </c>
      <c r="K8" s="39">
        <f>0+BC8</f>
        <v>1200</v>
      </c>
      <c r="L8" s="39">
        <f>600+AX8</f>
        <v>1200</v>
      </c>
      <c r="M8" s="39">
        <f>600+AW8</f>
        <v>1200</v>
      </c>
      <c r="N8" s="39">
        <f>600+AV8</f>
        <v>1500</v>
      </c>
      <c r="O8" s="39">
        <v>1200</v>
      </c>
      <c r="P8" s="39">
        <v>1200</v>
      </c>
      <c r="Q8" s="39">
        <v>600</v>
      </c>
      <c r="R8" s="39">
        <f>0+AQ8</f>
        <v>1200</v>
      </c>
      <c r="S8" s="39">
        <v>900</v>
      </c>
      <c r="T8" s="39">
        <f>600+AN8</f>
        <v>900</v>
      </c>
      <c r="U8" s="39">
        <f>600+AM8</f>
        <v>1200</v>
      </c>
      <c r="V8" s="39">
        <v>600</v>
      </c>
      <c r="W8" s="39">
        <v>900</v>
      </c>
      <c r="X8" s="39">
        <v>900</v>
      </c>
      <c r="Y8" s="39">
        <v>0</v>
      </c>
      <c r="Z8" s="39">
        <f>0+AK8</f>
        <v>1200</v>
      </c>
      <c r="AA8" s="39">
        <v>600</v>
      </c>
      <c r="AB8" s="372">
        <f t="shared" ref="AB8:AB13" ca="1" si="0">Z8+IF(NOT(ISBLANK(OFFSET(AB8,0,6))),N(OFFSET(AB8,0,6)),N(OFFSET(AB8,0,7)))-AA8</f>
        <v>600</v>
      </c>
      <c r="AC8" s="11"/>
      <c r="AD8" s="78"/>
      <c r="AE8" s="78"/>
      <c r="AF8" s="11"/>
      <c r="AG8" s="32">
        <v>600</v>
      </c>
      <c r="AH8" s="11"/>
      <c r="AI8" s="19">
        <v>0</v>
      </c>
      <c r="AJ8" s="19"/>
      <c r="AK8" s="19">
        <v>1200</v>
      </c>
      <c r="AL8" s="19">
        <v>600</v>
      </c>
      <c r="AM8" s="19">
        <v>600</v>
      </c>
      <c r="AN8" s="19">
        <v>300</v>
      </c>
      <c r="AO8" s="19"/>
      <c r="AP8" s="19"/>
      <c r="AQ8" s="19">
        <v>1200</v>
      </c>
      <c r="AR8" s="19"/>
      <c r="AS8" s="19"/>
      <c r="AT8" s="19"/>
      <c r="AU8" s="19"/>
      <c r="AV8" s="19">
        <v>900</v>
      </c>
      <c r="AW8" s="19">
        <v>600</v>
      </c>
      <c r="AX8" s="19">
        <v>600</v>
      </c>
      <c r="AY8" s="19"/>
      <c r="AZ8" s="19"/>
      <c r="BA8" s="19"/>
      <c r="BB8" s="19"/>
      <c r="BC8" s="19">
        <v>1200</v>
      </c>
      <c r="BD8" s="19">
        <v>900</v>
      </c>
      <c r="BE8" s="19"/>
      <c r="BF8" s="19">
        <v>600</v>
      </c>
      <c r="BG8" s="19"/>
      <c r="BH8" s="19"/>
      <c r="BI8" s="19">
        <v>1500</v>
      </c>
      <c r="BJ8" s="19">
        <v>1200</v>
      </c>
    </row>
    <row r="9" spans="1:62" s="3" customFormat="1" x14ac:dyDescent="0.3">
      <c r="A9" s="21" t="s">
        <v>134</v>
      </c>
      <c r="B9" s="6">
        <v>200</v>
      </c>
      <c r="C9" s="82">
        <v>183.89</v>
      </c>
      <c r="D9" s="234">
        <v>2600</v>
      </c>
      <c r="E9" s="11"/>
      <c r="F9" s="122">
        <f>3200+BD9</f>
        <v>4200</v>
      </c>
      <c r="G9" s="122">
        <f>2200+BD9</f>
        <v>3200</v>
      </c>
      <c r="H9" s="122">
        <v>2600</v>
      </c>
      <c r="I9" s="122">
        <v>2400</v>
      </c>
      <c r="J9" s="122">
        <v>1000</v>
      </c>
      <c r="K9" s="122">
        <f>0+BA9+BC9</f>
        <v>3600</v>
      </c>
      <c r="L9" s="122">
        <f>2600+AX9</f>
        <v>4200</v>
      </c>
      <c r="M9" s="122">
        <f>3200+AW9</f>
        <v>4200</v>
      </c>
      <c r="N9" s="122">
        <v>3000</v>
      </c>
      <c r="O9" s="122">
        <v>2000</v>
      </c>
      <c r="P9" s="122">
        <v>1600</v>
      </c>
      <c r="Q9" s="122">
        <f>1400+AT9</f>
        <v>3000</v>
      </c>
      <c r="R9" s="122">
        <f>2000+AQ9</f>
        <v>3000</v>
      </c>
      <c r="S9" s="122">
        <f>2000+AP9</f>
        <v>3000</v>
      </c>
      <c r="T9" s="122">
        <v>2200</v>
      </c>
      <c r="U9" s="122">
        <f>1200+AM9</f>
        <v>3800</v>
      </c>
      <c r="V9" s="122">
        <v>3200</v>
      </c>
      <c r="W9" s="122">
        <v>3200</v>
      </c>
      <c r="X9" s="122">
        <v>3000</v>
      </c>
      <c r="Y9" s="122">
        <v>2800</v>
      </c>
      <c r="Z9" s="122">
        <v>2400</v>
      </c>
      <c r="AA9" s="122">
        <v>1000</v>
      </c>
      <c r="AB9" s="372">
        <f t="shared" ca="1" si="0"/>
        <v>1400</v>
      </c>
      <c r="AC9" s="11"/>
      <c r="AD9" s="78"/>
      <c r="AE9" s="78"/>
      <c r="AF9" s="11"/>
      <c r="AG9" s="32">
        <v>1000</v>
      </c>
      <c r="AH9" s="11"/>
      <c r="AI9" s="19">
        <v>0</v>
      </c>
      <c r="AJ9" s="19"/>
      <c r="AK9" s="19">
        <v>0</v>
      </c>
      <c r="AL9" s="19">
        <v>1200</v>
      </c>
      <c r="AM9" s="19">
        <v>2600</v>
      </c>
      <c r="AN9" s="19"/>
      <c r="AO9" s="244">
        <v>3000</v>
      </c>
      <c r="AP9" s="19">
        <v>1000</v>
      </c>
      <c r="AQ9" s="19">
        <v>1000</v>
      </c>
      <c r="AR9" s="19"/>
      <c r="AS9" s="19"/>
      <c r="AT9" s="19">
        <v>1600</v>
      </c>
      <c r="AU9" s="19">
        <v>1000</v>
      </c>
      <c r="AV9" s="19"/>
      <c r="AW9" s="19">
        <v>1000</v>
      </c>
      <c r="AX9" s="19">
        <v>1600</v>
      </c>
      <c r="AY9" s="19"/>
      <c r="AZ9" s="19"/>
      <c r="BA9" s="19">
        <v>2600</v>
      </c>
      <c r="BB9" s="19"/>
      <c r="BC9" s="19">
        <v>1000</v>
      </c>
      <c r="BD9" s="19">
        <v>1000</v>
      </c>
      <c r="BE9" s="19"/>
      <c r="BF9" s="19">
        <v>600</v>
      </c>
      <c r="BG9" s="19">
        <v>1000</v>
      </c>
      <c r="BH9" s="19"/>
      <c r="BI9" s="19">
        <v>1000</v>
      </c>
      <c r="BJ9" s="19">
        <v>2000</v>
      </c>
    </row>
    <row r="10" spans="1:62" s="3" customFormat="1" x14ac:dyDescent="0.3">
      <c r="A10" s="21" t="s">
        <v>137</v>
      </c>
      <c r="B10" s="6">
        <v>200</v>
      </c>
      <c r="C10" s="82">
        <v>241.74</v>
      </c>
      <c r="D10" s="234">
        <v>800</v>
      </c>
      <c r="E10" s="11"/>
      <c r="F10" s="122">
        <f>1400+BD10</f>
        <v>1800</v>
      </c>
      <c r="G10" s="122">
        <f>1000+BD10</f>
        <v>1400</v>
      </c>
      <c r="H10" s="122">
        <v>1400</v>
      </c>
      <c r="I10" s="122">
        <v>1200</v>
      </c>
      <c r="J10" s="122">
        <v>800</v>
      </c>
      <c r="K10" s="122">
        <f>800+BA10</f>
        <v>1200</v>
      </c>
      <c r="L10" s="122">
        <v>1200</v>
      </c>
      <c r="M10" s="122">
        <v>800</v>
      </c>
      <c r="N10" s="122">
        <f>400+AV10</f>
        <v>800</v>
      </c>
      <c r="O10" s="122">
        <v>600</v>
      </c>
      <c r="P10" s="122">
        <v>400</v>
      </c>
      <c r="Q10" s="122">
        <f>400+AT10</f>
        <v>600</v>
      </c>
      <c r="R10" s="122">
        <f>200+AQ10</f>
        <v>400</v>
      </c>
      <c r="S10" s="122">
        <f>200+AP10</f>
        <v>600</v>
      </c>
      <c r="T10" s="122">
        <f>200+AN10</f>
        <v>600</v>
      </c>
      <c r="U10" s="122">
        <f>400+AM10</f>
        <v>800</v>
      </c>
      <c r="V10" s="122">
        <v>800</v>
      </c>
      <c r="W10" s="122">
        <v>600</v>
      </c>
      <c r="X10" s="122">
        <v>600</v>
      </c>
      <c r="Y10" s="122">
        <v>600</v>
      </c>
      <c r="Z10" s="122">
        <v>600</v>
      </c>
      <c r="AA10" s="122">
        <v>200</v>
      </c>
      <c r="AB10" s="372">
        <f t="shared" ca="1" si="0"/>
        <v>400</v>
      </c>
      <c r="AC10" s="11"/>
      <c r="AD10" s="78"/>
      <c r="AE10" s="78"/>
      <c r="AF10" s="11"/>
      <c r="AG10" s="32"/>
      <c r="AH10" s="11"/>
      <c r="AI10" s="19">
        <v>0</v>
      </c>
      <c r="AJ10" s="19"/>
      <c r="AK10" s="19">
        <v>0</v>
      </c>
      <c r="AL10" s="19">
        <v>200</v>
      </c>
      <c r="AM10" s="19">
        <v>400</v>
      </c>
      <c r="AN10" s="19">
        <v>400</v>
      </c>
      <c r="AO10" s="244">
        <v>1400</v>
      </c>
      <c r="AP10" s="19">
        <v>400</v>
      </c>
      <c r="AQ10" s="19">
        <v>200</v>
      </c>
      <c r="AR10" s="19"/>
      <c r="AS10" s="293">
        <v>1200</v>
      </c>
      <c r="AT10" s="19">
        <v>200</v>
      </c>
      <c r="AU10" s="19">
        <v>200</v>
      </c>
      <c r="AV10" s="19">
        <v>400</v>
      </c>
      <c r="AW10" s="19"/>
      <c r="AX10" s="19"/>
      <c r="AY10" s="19"/>
      <c r="AZ10" s="19"/>
      <c r="BA10" s="19">
        <v>400</v>
      </c>
      <c r="BB10" s="19"/>
      <c r="BC10" s="19"/>
      <c r="BD10" s="19">
        <v>400</v>
      </c>
      <c r="BE10" s="19"/>
      <c r="BF10" s="19">
        <v>400</v>
      </c>
      <c r="BG10" s="19">
        <v>800</v>
      </c>
      <c r="BH10" s="19"/>
      <c r="BI10" s="19"/>
      <c r="BJ10" s="19">
        <v>800</v>
      </c>
    </row>
    <row r="11" spans="1:62" s="3" customFormat="1" ht="19.5" customHeight="1" x14ac:dyDescent="0.3">
      <c r="A11" s="22" t="s">
        <v>139</v>
      </c>
      <c r="B11" s="6">
        <v>100</v>
      </c>
      <c r="C11" s="82">
        <v>175.78</v>
      </c>
      <c r="D11" s="234">
        <v>1000</v>
      </c>
      <c r="E11" s="11"/>
      <c r="F11" s="39">
        <v>800</v>
      </c>
      <c r="G11" s="39">
        <f>100+BD11</f>
        <v>700</v>
      </c>
      <c r="H11" s="39">
        <v>700</v>
      </c>
      <c r="I11" s="39">
        <v>500</v>
      </c>
      <c r="J11" s="39">
        <v>500</v>
      </c>
      <c r="K11" s="39">
        <f>400+BB11</f>
        <v>900</v>
      </c>
      <c r="L11" s="39">
        <v>800</v>
      </c>
      <c r="M11" s="39">
        <v>700</v>
      </c>
      <c r="N11" s="39">
        <f>700+AV11</f>
        <v>1000</v>
      </c>
      <c r="O11" s="39">
        <v>900</v>
      </c>
      <c r="P11" s="39">
        <v>700</v>
      </c>
      <c r="Q11" s="39">
        <f>600+AT11</f>
        <v>1100</v>
      </c>
      <c r="R11" s="39">
        <v>1000</v>
      </c>
      <c r="S11" s="39">
        <v>700</v>
      </c>
      <c r="T11" s="39">
        <v>600</v>
      </c>
      <c r="U11" s="39">
        <v>500</v>
      </c>
      <c r="V11" s="39">
        <v>400</v>
      </c>
      <c r="W11" s="39">
        <v>300</v>
      </c>
      <c r="X11" s="39">
        <v>200</v>
      </c>
      <c r="Y11" s="39">
        <v>100</v>
      </c>
      <c r="Z11" s="39">
        <v>100</v>
      </c>
      <c r="AA11" s="39">
        <v>0</v>
      </c>
      <c r="AB11" s="372">
        <f t="shared" ca="1" si="0"/>
        <v>100</v>
      </c>
      <c r="AC11" s="11"/>
      <c r="AD11" s="78"/>
      <c r="AE11" s="78"/>
      <c r="AF11" s="11"/>
      <c r="AG11" s="32">
        <v>300</v>
      </c>
      <c r="AH11" s="11"/>
      <c r="AI11" s="19">
        <v>0</v>
      </c>
      <c r="AJ11" s="19"/>
      <c r="AK11" s="19">
        <v>0</v>
      </c>
      <c r="AL11" s="19">
        <v>200</v>
      </c>
      <c r="AM11" s="19"/>
      <c r="AN11" s="19"/>
      <c r="AO11" s="244">
        <v>500</v>
      </c>
      <c r="AP11" s="19"/>
      <c r="AQ11" s="19"/>
      <c r="AR11" s="19"/>
      <c r="AS11" s="19"/>
      <c r="AT11" s="19">
        <v>500</v>
      </c>
      <c r="AU11" s="19"/>
      <c r="AV11" s="19">
        <v>300</v>
      </c>
      <c r="AW11" s="19"/>
      <c r="AX11" s="19"/>
      <c r="AY11" s="19"/>
      <c r="AZ11" s="19"/>
      <c r="BA11" s="19"/>
      <c r="BB11" s="19">
        <v>500</v>
      </c>
      <c r="BC11" s="19"/>
      <c r="BD11" s="19">
        <v>600</v>
      </c>
      <c r="BE11" s="19"/>
      <c r="BF11" s="19"/>
      <c r="BG11" s="19">
        <v>1000</v>
      </c>
      <c r="BH11" s="19"/>
      <c r="BI11" s="19">
        <v>300</v>
      </c>
      <c r="BJ11" s="19"/>
    </row>
    <row r="12" spans="1:62" s="3" customFormat="1" ht="19.5" customHeight="1" x14ac:dyDescent="0.3">
      <c r="A12" s="140" t="s">
        <v>499</v>
      </c>
      <c r="B12" s="141">
        <v>200</v>
      </c>
      <c r="C12" s="142">
        <v>144.12</v>
      </c>
      <c r="D12" s="234">
        <v>0</v>
      </c>
      <c r="E12" s="11"/>
      <c r="F12" s="39">
        <v>200</v>
      </c>
      <c r="G12" s="39">
        <v>200</v>
      </c>
      <c r="H12" s="39">
        <v>0</v>
      </c>
      <c r="I12" s="39">
        <v>0</v>
      </c>
      <c r="J12" s="39">
        <v>0</v>
      </c>
      <c r="K12" s="39">
        <f>0+BC12+BB12</f>
        <v>600</v>
      </c>
      <c r="L12" s="39">
        <v>400</v>
      </c>
      <c r="M12" s="39">
        <f>200+AW12</f>
        <v>600</v>
      </c>
      <c r="N12" s="39">
        <f>600+AV12</f>
        <v>800</v>
      </c>
      <c r="O12" s="39">
        <v>600</v>
      </c>
      <c r="P12" s="39">
        <v>600</v>
      </c>
      <c r="Q12" s="39">
        <v>800</v>
      </c>
      <c r="R12" s="39">
        <v>600</v>
      </c>
      <c r="S12" s="39">
        <v>400</v>
      </c>
      <c r="T12" s="39">
        <f>400+AN12</f>
        <v>600</v>
      </c>
      <c r="U12" s="39">
        <v>600</v>
      </c>
      <c r="V12" s="39">
        <v>400</v>
      </c>
      <c r="W12" s="39">
        <v>400</v>
      </c>
      <c r="X12" s="39">
        <v>400</v>
      </c>
      <c r="Y12" s="39">
        <v>200</v>
      </c>
      <c r="Z12" s="39">
        <f>0+AK12</f>
        <v>200</v>
      </c>
      <c r="AA12" s="39">
        <v>200</v>
      </c>
      <c r="AB12" s="372">
        <f t="shared" ca="1" si="0"/>
        <v>0</v>
      </c>
      <c r="AC12" s="11"/>
      <c r="AD12" s="78"/>
      <c r="AE12" s="359">
        <v>200</v>
      </c>
      <c r="AF12" s="11"/>
      <c r="AG12" s="32"/>
      <c r="AH12" s="11"/>
      <c r="AI12" s="19">
        <v>0</v>
      </c>
      <c r="AJ12" s="19"/>
      <c r="AK12" s="19">
        <v>200</v>
      </c>
      <c r="AL12" s="19">
        <v>0</v>
      </c>
      <c r="AM12" s="19"/>
      <c r="AN12" s="19">
        <v>200</v>
      </c>
      <c r="AO12" s="19"/>
      <c r="AP12" s="19"/>
      <c r="AQ12" s="19"/>
      <c r="AR12" s="19"/>
      <c r="AS12" s="19"/>
      <c r="AT12" s="19"/>
      <c r="AU12" s="19">
        <v>200</v>
      </c>
      <c r="AV12" s="19">
        <v>200</v>
      </c>
      <c r="AW12" s="19">
        <v>400</v>
      </c>
      <c r="AX12" s="19"/>
      <c r="AY12" s="19"/>
      <c r="AZ12" s="19"/>
      <c r="BA12" s="19"/>
      <c r="BB12" s="19">
        <v>200</v>
      </c>
      <c r="BC12" s="19">
        <v>400</v>
      </c>
      <c r="BD12" s="19"/>
      <c r="BE12" s="19"/>
      <c r="BF12" s="19"/>
      <c r="BG12" s="19"/>
      <c r="BH12" s="19"/>
      <c r="BI12" s="19"/>
      <c r="BJ12" s="19">
        <v>200</v>
      </c>
    </row>
    <row r="13" spans="1:62" s="3" customFormat="1" ht="19.5" customHeight="1" x14ac:dyDescent="0.3">
      <c r="A13" s="140" t="s">
        <v>500</v>
      </c>
      <c r="B13" s="141">
        <v>100</v>
      </c>
      <c r="C13" s="142">
        <v>115.12</v>
      </c>
      <c r="D13" s="234">
        <v>0</v>
      </c>
      <c r="E13" s="11"/>
      <c r="F13" s="39">
        <f>300+BD13</f>
        <v>300</v>
      </c>
      <c r="G13" s="39">
        <v>400</v>
      </c>
      <c r="H13" s="39">
        <v>100</v>
      </c>
      <c r="I13" s="39">
        <v>100</v>
      </c>
      <c r="J13" s="39">
        <v>100</v>
      </c>
      <c r="K13" s="39">
        <f>100+BC13</f>
        <v>500</v>
      </c>
      <c r="L13" s="39">
        <v>500</v>
      </c>
      <c r="M13" s="39">
        <v>400</v>
      </c>
      <c r="N13" s="39">
        <v>400</v>
      </c>
      <c r="O13" s="39">
        <v>400</v>
      </c>
      <c r="P13" s="39">
        <v>300</v>
      </c>
      <c r="Q13" s="39">
        <f>300+AT13</f>
        <v>500</v>
      </c>
      <c r="R13" s="39">
        <v>500</v>
      </c>
      <c r="S13" s="39">
        <v>400</v>
      </c>
      <c r="T13" s="39">
        <v>400</v>
      </c>
      <c r="U13" s="39">
        <v>400</v>
      </c>
      <c r="V13" s="39">
        <v>400</v>
      </c>
      <c r="W13" s="39">
        <v>300</v>
      </c>
      <c r="X13" s="39">
        <v>300</v>
      </c>
      <c r="Y13" s="39">
        <v>300</v>
      </c>
      <c r="Z13" s="39">
        <v>200</v>
      </c>
      <c r="AA13" s="39">
        <v>200</v>
      </c>
      <c r="AB13" s="372">
        <f t="shared" ca="1" si="0"/>
        <v>0</v>
      </c>
      <c r="AC13" s="11"/>
      <c r="AD13" s="359"/>
      <c r="AE13" s="359"/>
      <c r="AF13" s="11"/>
      <c r="AG13" s="32"/>
      <c r="AH13" s="11"/>
      <c r="AI13" s="19">
        <v>0</v>
      </c>
      <c r="AJ13" s="19"/>
      <c r="AK13" s="19">
        <v>0</v>
      </c>
      <c r="AL13" s="19">
        <v>0</v>
      </c>
      <c r="AM13" s="19"/>
      <c r="AN13" s="19"/>
      <c r="AO13" s="19"/>
      <c r="AP13" s="19"/>
      <c r="AQ13" s="19"/>
      <c r="AR13" s="19"/>
      <c r="AS13" s="19"/>
      <c r="AT13" s="19">
        <v>200</v>
      </c>
      <c r="AU13" s="19"/>
      <c r="AV13" s="19"/>
      <c r="AW13" s="19"/>
      <c r="AX13" s="19"/>
      <c r="AY13" s="19"/>
      <c r="AZ13" s="19"/>
      <c r="BA13" s="19"/>
      <c r="BB13" s="19"/>
      <c r="BC13" s="19">
        <v>400</v>
      </c>
      <c r="BD13" s="19"/>
      <c r="BE13" s="19"/>
      <c r="BF13" s="19">
        <v>200</v>
      </c>
      <c r="BG13" s="19"/>
      <c r="BH13" s="19"/>
      <c r="BI13" s="19"/>
      <c r="BJ13" s="19">
        <v>100</v>
      </c>
    </row>
    <row r="14" spans="1:62" ht="15" customHeight="1" x14ac:dyDescent="0.3"/>
    <row r="15" spans="1:62" x14ac:dyDescent="0.3">
      <c r="A15" s="24" t="s">
        <v>141</v>
      </c>
      <c r="B15" s="12"/>
      <c r="C15" s="65"/>
      <c r="D15" s="65"/>
      <c r="F15" s="13">
        <v>46006</v>
      </c>
      <c r="G15" s="13">
        <v>46013</v>
      </c>
      <c r="H15" s="13">
        <v>46020</v>
      </c>
      <c r="I15" s="13">
        <v>46027</v>
      </c>
      <c r="J15" s="13">
        <v>46034</v>
      </c>
      <c r="K15" s="13">
        <v>46041</v>
      </c>
      <c r="L15" s="13">
        <v>46048</v>
      </c>
      <c r="M15" s="13">
        <v>46055</v>
      </c>
      <c r="N15" s="13">
        <v>46062</v>
      </c>
      <c r="O15" s="13">
        <v>46069</v>
      </c>
      <c r="P15" s="13">
        <v>46076</v>
      </c>
      <c r="Q15" s="13">
        <v>46083</v>
      </c>
      <c r="R15" s="13">
        <v>46090</v>
      </c>
      <c r="S15" s="13">
        <v>46097</v>
      </c>
      <c r="T15" s="13">
        <v>46104</v>
      </c>
      <c r="U15" s="13">
        <v>46111</v>
      </c>
      <c r="V15" s="13">
        <v>46118</v>
      </c>
      <c r="W15" s="13">
        <v>46125</v>
      </c>
      <c r="X15" s="13">
        <v>46132</v>
      </c>
      <c r="Y15" s="13">
        <v>46139</v>
      </c>
      <c r="Z15" s="13">
        <v>46146</v>
      </c>
      <c r="AA15" s="13">
        <v>46154</v>
      </c>
      <c r="AB15" s="149" t="s">
        <v>129</v>
      </c>
      <c r="AD15" s="29" t="s">
        <v>126</v>
      </c>
      <c r="AE15" s="29" t="s">
        <v>126</v>
      </c>
      <c r="AG15" s="9" t="s">
        <v>127</v>
      </c>
      <c r="AI15" s="17">
        <v>46149</v>
      </c>
      <c r="AJ15" s="339">
        <v>46150</v>
      </c>
      <c r="AK15" s="17">
        <v>46142</v>
      </c>
      <c r="AL15" s="17">
        <v>46114</v>
      </c>
      <c r="AM15" s="17">
        <v>46107</v>
      </c>
      <c r="AN15" s="17">
        <v>46099</v>
      </c>
      <c r="AO15" s="294">
        <v>46065</v>
      </c>
      <c r="AP15" s="17">
        <v>46092</v>
      </c>
      <c r="AQ15" s="17">
        <v>46084</v>
      </c>
      <c r="AR15" s="294">
        <v>46065</v>
      </c>
      <c r="AS15" s="292">
        <v>46045</v>
      </c>
      <c r="AT15" s="17">
        <v>46077</v>
      </c>
      <c r="AU15" s="17">
        <v>46071</v>
      </c>
      <c r="AV15" s="17">
        <v>46056</v>
      </c>
      <c r="AW15" s="17">
        <v>46048</v>
      </c>
      <c r="AX15" s="17">
        <v>46043</v>
      </c>
      <c r="AY15" s="17">
        <v>46035</v>
      </c>
      <c r="AZ15" s="17">
        <v>46029</v>
      </c>
      <c r="BA15" s="17">
        <v>46035</v>
      </c>
      <c r="BB15" s="17">
        <v>46029</v>
      </c>
      <c r="BC15" s="17">
        <v>46024</v>
      </c>
      <c r="BD15" s="17">
        <v>46007</v>
      </c>
      <c r="BE15" s="17">
        <v>46001</v>
      </c>
      <c r="BF15" s="17">
        <v>46001</v>
      </c>
      <c r="BG15" s="17">
        <v>45994</v>
      </c>
      <c r="BH15" s="17">
        <v>45986</v>
      </c>
      <c r="BI15" s="17">
        <v>45986</v>
      </c>
      <c r="BJ15" s="17">
        <v>45980</v>
      </c>
    </row>
    <row r="16" spans="1:62" x14ac:dyDescent="0.3">
      <c r="A16" s="25" t="s">
        <v>528</v>
      </c>
      <c r="B16" s="6">
        <v>500</v>
      </c>
      <c r="C16" s="66">
        <v>95.9</v>
      </c>
      <c r="D16" s="234">
        <v>1</v>
      </c>
      <c r="F16" s="6">
        <v>3</v>
      </c>
      <c r="G16" s="6">
        <v>3</v>
      </c>
      <c r="H16" s="6">
        <v>2</v>
      </c>
      <c r="I16" s="6">
        <v>2</v>
      </c>
      <c r="J16" s="6">
        <v>2</v>
      </c>
      <c r="K16" s="6">
        <f>2+BC16</f>
        <v>4</v>
      </c>
      <c r="L16" s="6">
        <v>4</v>
      </c>
      <c r="M16" s="6">
        <v>4</v>
      </c>
      <c r="N16" s="6">
        <v>4</v>
      </c>
      <c r="O16" s="6">
        <v>4</v>
      </c>
      <c r="P16" s="6">
        <v>4</v>
      </c>
      <c r="Q16" s="6">
        <v>4</v>
      </c>
      <c r="R16" s="6">
        <v>4</v>
      </c>
      <c r="S16" s="6">
        <v>4</v>
      </c>
      <c r="T16" s="6">
        <v>4</v>
      </c>
      <c r="U16" s="6">
        <v>3</v>
      </c>
      <c r="V16" s="6">
        <v>3</v>
      </c>
      <c r="W16" s="6">
        <v>3</v>
      </c>
      <c r="X16" s="6">
        <v>3</v>
      </c>
      <c r="Y16" s="6">
        <v>3</v>
      </c>
      <c r="Z16" s="6">
        <f>0+3</f>
        <v>3</v>
      </c>
      <c r="AA16" s="6">
        <f>1+AI16</f>
        <v>6</v>
      </c>
      <c r="AB16" s="372">
        <f ca="1">Z16+IF(NOT(ISBLANK(OFFSET(AB16,0,6))),N(OFFSET(AB16,0,6)),N(OFFSET(AB16,0,7)))-AA16</f>
        <v>2</v>
      </c>
      <c r="AD16" s="134"/>
      <c r="AE16" s="134"/>
      <c r="AG16" s="32"/>
      <c r="AI16" s="19">
        <v>5</v>
      </c>
      <c r="AJ16" s="253" t="s">
        <v>529</v>
      </c>
      <c r="AK16" s="19">
        <v>0</v>
      </c>
      <c r="AL16" s="19">
        <v>0</v>
      </c>
      <c r="AM16" s="19"/>
      <c r="AN16" s="19"/>
      <c r="AO16" s="19"/>
      <c r="AP16" s="19"/>
      <c r="AQ16" s="19"/>
      <c r="AR16" s="19"/>
      <c r="AS16" s="293">
        <v>200</v>
      </c>
      <c r="AT16" s="19"/>
      <c r="AU16" s="19"/>
      <c r="AV16" s="19"/>
      <c r="AW16" s="19"/>
      <c r="AX16" s="19"/>
      <c r="AY16" s="19"/>
      <c r="AZ16" s="19"/>
      <c r="BA16" s="19"/>
      <c r="BB16" s="19"/>
      <c r="BC16" s="19">
        <v>2</v>
      </c>
      <c r="BD16" s="19"/>
      <c r="BE16" s="19"/>
      <c r="BF16" s="19"/>
      <c r="BG16" s="19">
        <v>1</v>
      </c>
      <c r="BH16" s="19"/>
      <c r="BI16" s="19"/>
      <c r="BJ16" s="19"/>
    </row>
    <row r="17" spans="1:62" x14ac:dyDescent="0.3">
      <c r="A17" s="25" t="s">
        <v>225</v>
      </c>
      <c r="B17" s="6">
        <v>2000</v>
      </c>
      <c r="C17" s="66">
        <v>53.49</v>
      </c>
      <c r="D17" s="234">
        <v>1</v>
      </c>
      <c r="F17" s="6">
        <v>1</v>
      </c>
      <c r="G17" s="6">
        <v>1</v>
      </c>
      <c r="H17" s="6">
        <v>3</v>
      </c>
      <c r="I17" s="6">
        <v>3</v>
      </c>
      <c r="J17" s="6">
        <v>3</v>
      </c>
      <c r="K17" s="6">
        <v>3</v>
      </c>
      <c r="L17" s="6">
        <v>3</v>
      </c>
      <c r="M17" s="6">
        <v>3</v>
      </c>
      <c r="N17" s="6">
        <v>3</v>
      </c>
      <c r="O17" s="6">
        <v>2</v>
      </c>
      <c r="P17" s="6">
        <v>2</v>
      </c>
      <c r="Q17" s="6">
        <v>1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f>0+AK17+3</f>
        <v>5</v>
      </c>
      <c r="AA17" s="6">
        <v>0</v>
      </c>
      <c r="AB17" s="372">
        <f ca="1">Z17+IF(NOT(ISBLANK(OFFSET(AB17,0,6))),N(OFFSET(AB17,0,6)),N(OFFSET(AB17,0,7)))-AA17</f>
        <v>5</v>
      </c>
      <c r="AD17" s="134" t="s">
        <v>530</v>
      </c>
      <c r="AE17" s="134"/>
      <c r="AG17" s="32"/>
      <c r="AI17" s="19">
        <v>0</v>
      </c>
      <c r="AJ17" s="253" t="s">
        <v>529</v>
      </c>
      <c r="AK17" s="19">
        <v>2</v>
      </c>
      <c r="AL17" s="19">
        <v>0</v>
      </c>
      <c r="AM17" s="19"/>
      <c r="AN17" s="19"/>
      <c r="AO17" s="19"/>
      <c r="AP17" s="19"/>
      <c r="AQ17" s="19"/>
      <c r="AR17" s="19"/>
      <c r="AS17" s="293">
        <v>2</v>
      </c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</row>
    <row r="18" spans="1:62" x14ac:dyDescent="0.3">
      <c r="A18" s="25" t="s">
        <v>147</v>
      </c>
      <c r="B18" s="6">
        <v>200</v>
      </c>
      <c r="C18" s="66">
        <v>9.93</v>
      </c>
      <c r="D18" s="234">
        <v>2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>
        <v>1</v>
      </c>
      <c r="R18" s="6">
        <v>1</v>
      </c>
      <c r="S18" s="6">
        <v>0</v>
      </c>
      <c r="T18" s="6">
        <v>0</v>
      </c>
      <c r="U18" s="6">
        <v>0</v>
      </c>
      <c r="V18" s="6">
        <v>0</v>
      </c>
      <c r="W18" s="6">
        <v>0</v>
      </c>
      <c r="X18" s="6">
        <v>0</v>
      </c>
      <c r="Y18" s="6">
        <v>0</v>
      </c>
      <c r="Z18" s="6">
        <f>0+AK18</f>
        <v>2</v>
      </c>
      <c r="AA18" s="6">
        <v>1</v>
      </c>
      <c r="AB18" s="372">
        <f ca="1">Z18+IF(NOT(ISBLANK(OFFSET(AB18,0,6))),N(OFFSET(AB18,0,6)),N(OFFSET(AB18,0,7)))-AA18</f>
        <v>1</v>
      </c>
      <c r="AD18" s="134" t="s">
        <v>188</v>
      </c>
      <c r="AE18" s="134"/>
      <c r="AG18" s="32"/>
      <c r="AI18" s="19">
        <v>0</v>
      </c>
      <c r="AJ18" s="19"/>
      <c r="AK18" s="19">
        <v>2</v>
      </c>
      <c r="AL18" s="19">
        <v>0</v>
      </c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</row>
    <row r="19" spans="1:62" x14ac:dyDescent="0.3">
      <c r="A19" s="25" t="s">
        <v>148</v>
      </c>
      <c r="B19" s="6">
        <v>3000</v>
      </c>
      <c r="C19" s="66">
        <v>69.37</v>
      </c>
      <c r="D19" s="234">
        <v>1</v>
      </c>
      <c r="F19" s="83">
        <v>5</v>
      </c>
      <c r="G19" s="83">
        <v>5</v>
      </c>
      <c r="H19" s="83">
        <v>5</v>
      </c>
      <c r="I19" s="83">
        <v>5</v>
      </c>
      <c r="J19" s="83">
        <v>5</v>
      </c>
      <c r="K19" s="83">
        <v>4</v>
      </c>
      <c r="L19" s="83">
        <v>4</v>
      </c>
      <c r="M19" s="83">
        <v>4</v>
      </c>
      <c r="N19" s="83">
        <v>4</v>
      </c>
      <c r="O19" s="83">
        <v>4</v>
      </c>
      <c r="P19" s="83">
        <v>4</v>
      </c>
      <c r="Q19" s="83">
        <v>4</v>
      </c>
      <c r="R19" s="83">
        <v>4</v>
      </c>
      <c r="S19" s="83">
        <v>4</v>
      </c>
      <c r="T19" s="83">
        <v>4</v>
      </c>
      <c r="U19" s="83">
        <v>4</v>
      </c>
      <c r="V19" s="83">
        <v>4</v>
      </c>
      <c r="W19" s="83">
        <v>4</v>
      </c>
      <c r="X19" s="83">
        <v>4</v>
      </c>
      <c r="Y19" s="83">
        <v>4</v>
      </c>
      <c r="Z19" s="83">
        <v>4</v>
      </c>
      <c r="AA19" s="83">
        <v>4</v>
      </c>
      <c r="AB19" s="372">
        <f ca="1">Z19+IF(NOT(ISBLANK(OFFSET(AB19,0,6))),N(OFFSET(AB19,0,6)),N(OFFSET(AB19,0,7)))-AA19</f>
        <v>0</v>
      </c>
      <c r="AD19" s="134"/>
      <c r="AE19" s="134"/>
      <c r="AG19" s="32"/>
      <c r="AI19" s="19">
        <v>0</v>
      </c>
      <c r="AJ19" s="19"/>
      <c r="AK19" s="19">
        <v>0</v>
      </c>
      <c r="AL19" s="19">
        <v>0</v>
      </c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>
        <v>3</v>
      </c>
      <c r="BH19" s="19"/>
      <c r="BI19" s="19"/>
      <c r="BJ19" s="19"/>
    </row>
    <row r="20" spans="1:62" s="3" customFormat="1" ht="19.5" customHeight="1" x14ac:dyDescent="0.3">
      <c r="A20" s="129"/>
      <c r="B20" s="130"/>
      <c r="C20" s="67"/>
      <c r="D20" s="67"/>
      <c r="E20" s="11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11"/>
      <c r="AD20" s="10"/>
      <c r="AE20" s="10"/>
      <c r="AF20" s="11"/>
      <c r="AG20" s="33"/>
      <c r="AH20" s="11"/>
      <c r="AI20" s="75"/>
      <c r="AJ20" s="75"/>
      <c r="AK20" s="75"/>
      <c r="AL20" s="75"/>
      <c r="AM20" s="75"/>
      <c r="AN20" s="75"/>
      <c r="AO20" s="75"/>
      <c r="AP20" s="75"/>
      <c r="AQ20" s="75"/>
      <c r="AR20" s="75"/>
      <c r="AS20" s="75"/>
      <c r="AT20" s="75"/>
      <c r="AU20" s="75"/>
      <c r="AV20" s="75"/>
      <c r="AW20" s="75"/>
      <c r="AX20" s="75"/>
      <c r="AY20" s="75"/>
      <c r="AZ20" s="75"/>
      <c r="BA20" s="75"/>
      <c r="BB20" s="75"/>
      <c r="BC20" s="75"/>
      <c r="BD20" s="75"/>
      <c r="BE20" s="75"/>
      <c r="BF20" s="75"/>
      <c r="BG20" s="75"/>
      <c r="BH20" s="75"/>
      <c r="BI20" s="75"/>
      <c r="BJ20" s="75"/>
    </row>
    <row r="21" spans="1:62" s="3" customFormat="1" x14ac:dyDescent="0.3">
      <c r="A21" s="24" t="s">
        <v>531</v>
      </c>
      <c r="B21" s="12" t="s">
        <v>532</v>
      </c>
      <c r="C21" s="12" t="s">
        <v>152</v>
      </c>
      <c r="D21" s="12"/>
      <c r="E21" s="7"/>
      <c r="F21" s="13">
        <v>46006</v>
      </c>
      <c r="G21" s="13">
        <v>46013</v>
      </c>
      <c r="H21" s="13">
        <v>46020</v>
      </c>
      <c r="I21" s="13">
        <v>46027</v>
      </c>
      <c r="J21" s="13">
        <v>46034</v>
      </c>
      <c r="K21" s="13">
        <v>46041</v>
      </c>
      <c r="L21" s="13">
        <v>46048</v>
      </c>
      <c r="M21" s="13">
        <v>46055</v>
      </c>
      <c r="N21" s="13">
        <v>46062</v>
      </c>
      <c r="O21" s="13">
        <v>46069</v>
      </c>
      <c r="P21" s="13">
        <v>46076</v>
      </c>
      <c r="Q21" s="13">
        <v>46083</v>
      </c>
      <c r="R21" s="13">
        <v>46090</v>
      </c>
      <c r="S21" s="13">
        <v>46097</v>
      </c>
      <c r="T21" s="13">
        <v>46104</v>
      </c>
      <c r="U21" s="13">
        <v>46111</v>
      </c>
      <c r="V21" s="13">
        <v>46118</v>
      </c>
      <c r="W21" s="13">
        <v>46125</v>
      </c>
      <c r="X21" s="13">
        <v>46132</v>
      </c>
      <c r="Y21" s="13">
        <v>46139</v>
      </c>
      <c r="Z21" s="13">
        <v>46146</v>
      </c>
      <c r="AA21" s="13">
        <v>46154</v>
      </c>
      <c r="AB21" s="149" t="s">
        <v>129</v>
      </c>
      <c r="AC21" s="11"/>
      <c r="AD21" s="29" t="s">
        <v>126</v>
      </c>
      <c r="AE21" s="29" t="s">
        <v>126</v>
      </c>
      <c r="AG21" s="9" t="s">
        <v>127</v>
      </c>
      <c r="AI21" s="17">
        <v>46149</v>
      </c>
      <c r="AJ21" s="339">
        <v>46150</v>
      </c>
      <c r="AK21" s="17">
        <v>46142</v>
      </c>
      <c r="AL21" s="17">
        <v>46114</v>
      </c>
      <c r="AM21" s="17">
        <v>46107</v>
      </c>
      <c r="AN21" s="17">
        <v>46099</v>
      </c>
      <c r="AO21" s="294">
        <v>46065</v>
      </c>
      <c r="AP21" s="17">
        <v>46092</v>
      </c>
      <c r="AQ21" s="17">
        <v>46084</v>
      </c>
      <c r="AR21" s="294">
        <v>46065</v>
      </c>
      <c r="AS21" s="292">
        <v>46045</v>
      </c>
      <c r="AT21" s="17">
        <v>46077</v>
      </c>
      <c r="AU21" s="17">
        <v>46071</v>
      </c>
      <c r="AV21" s="17">
        <v>46056</v>
      </c>
      <c r="AW21" s="17">
        <v>46048</v>
      </c>
      <c r="AX21" s="17">
        <v>46043</v>
      </c>
      <c r="AY21" s="17">
        <v>46035</v>
      </c>
      <c r="AZ21" s="17">
        <v>46029</v>
      </c>
      <c r="BA21" s="17">
        <v>46035</v>
      </c>
      <c r="BB21" s="17">
        <v>46029</v>
      </c>
      <c r="BC21" s="17">
        <v>46024</v>
      </c>
      <c r="BD21" s="17">
        <v>46007</v>
      </c>
      <c r="BE21" s="17">
        <v>46001</v>
      </c>
      <c r="BF21" s="17">
        <v>46001</v>
      </c>
      <c r="BG21" s="17">
        <v>45994</v>
      </c>
      <c r="BH21" s="17">
        <v>45986</v>
      </c>
      <c r="BI21" s="17">
        <v>45986</v>
      </c>
      <c r="BJ21" s="17">
        <v>45980</v>
      </c>
    </row>
    <row r="22" spans="1:62" s="3" customFormat="1" ht="20.25" customHeight="1" x14ac:dyDescent="0.3">
      <c r="A22" s="25" t="s">
        <v>533</v>
      </c>
      <c r="B22" s="6">
        <v>280</v>
      </c>
      <c r="C22" s="66">
        <v>158.6</v>
      </c>
      <c r="D22" s="234">
        <v>15</v>
      </c>
      <c r="E22" s="127"/>
      <c r="F22" s="128">
        <v>0</v>
      </c>
      <c r="G22" s="128">
        <v>0</v>
      </c>
      <c r="H22" s="128">
        <v>0</v>
      </c>
      <c r="I22" s="128">
        <v>0</v>
      </c>
      <c r="J22" s="128">
        <v>0</v>
      </c>
      <c r="K22" s="128">
        <v>0</v>
      </c>
      <c r="L22" s="128">
        <v>0</v>
      </c>
      <c r="M22" s="128">
        <v>0</v>
      </c>
      <c r="N22" s="128">
        <v>0</v>
      </c>
      <c r="O22" s="128">
        <v>0</v>
      </c>
      <c r="P22" s="128">
        <v>0</v>
      </c>
      <c r="Q22" s="128">
        <v>0</v>
      </c>
      <c r="R22" s="128">
        <v>0</v>
      </c>
      <c r="S22" s="128">
        <v>0</v>
      </c>
      <c r="T22" s="128">
        <v>0</v>
      </c>
      <c r="U22" s="128">
        <v>0</v>
      </c>
      <c r="V22" s="128"/>
      <c r="W22" s="128"/>
      <c r="X22" s="128"/>
      <c r="Y22" s="128"/>
      <c r="Z22" s="128"/>
      <c r="AA22" s="128">
        <v>0</v>
      </c>
      <c r="AB22" s="372">
        <f ca="1">Z22+IF(NOT(ISBLANK(OFFSET(AB22,0,6))),N(OFFSET(AB22,0,6)),N(OFFSET(AB22,0,7)))-AA22</f>
        <v>0</v>
      </c>
      <c r="AC22" s="125"/>
      <c r="AD22" s="78"/>
      <c r="AE22" s="78"/>
      <c r="AF22" s="126"/>
      <c r="AG22" s="32"/>
      <c r="AH22" s="126"/>
      <c r="AI22" s="19">
        <v>0</v>
      </c>
      <c r="AJ22" s="19"/>
      <c r="AK22" s="19">
        <v>0</v>
      </c>
      <c r="AL22" s="19">
        <v>0</v>
      </c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</row>
    <row r="23" spans="1:62" s="3" customFormat="1" ht="20.25" customHeight="1" x14ac:dyDescent="0.3">
      <c r="A23" s="25" t="s">
        <v>534</v>
      </c>
      <c r="B23" s="6">
        <v>200</v>
      </c>
      <c r="C23" s="66">
        <v>175.35</v>
      </c>
      <c r="D23" s="234">
        <v>15</v>
      </c>
      <c r="E23" s="1"/>
      <c r="F23" s="39">
        <v>0</v>
      </c>
      <c r="G23" s="39">
        <v>0</v>
      </c>
      <c r="H23" s="39">
        <v>0</v>
      </c>
      <c r="I23" s="39">
        <v>0</v>
      </c>
      <c r="J23" s="39">
        <v>0</v>
      </c>
      <c r="K23" s="39">
        <v>0</v>
      </c>
      <c r="L23" s="39">
        <v>0</v>
      </c>
      <c r="M23" s="39">
        <v>0</v>
      </c>
      <c r="N23" s="39">
        <v>0</v>
      </c>
      <c r="O23" s="39">
        <v>0</v>
      </c>
      <c r="P23" s="39">
        <v>0</v>
      </c>
      <c r="Q23" s="39">
        <v>0</v>
      </c>
      <c r="R23" s="39">
        <v>0</v>
      </c>
      <c r="S23" s="39">
        <v>0</v>
      </c>
      <c r="T23" s="39">
        <v>0</v>
      </c>
      <c r="U23" s="39">
        <v>0</v>
      </c>
      <c r="V23" s="39"/>
      <c r="W23" s="39"/>
      <c r="X23" s="39"/>
      <c r="Y23" s="39"/>
      <c r="Z23" s="39"/>
      <c r="AA23" s="39">
        <v>0</v>
      </c>
      <c r="AB23" s="372">
        <f ca="1">Z23+IF(NOT(ISBLANK(OFFSET(AB23,0,6))),N(OFFSET(AB23,0,6)),N(OFFSET(AB23,0,7)))-AA23</f>
        <v>0</v>
      </c>
      <c r="AC23" s="125"/>
      <c r="AD23" s="78"/>
      <c r="AE23" s="78"/>
      <c r="AF23" s="126"/>
      <c r="AG23" s="32"/>
      <c r="AH23" s="126"/>
      <c r="AI23" s="19">
        <v>0</v>
      </c>
      <c r="AJ23" s="19"/>
      <c r="AK23" s="19">
        <v>0</v>
      </c>
      <c r="AL23" s="19">
        <v>0</v>
      </c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</row>
    <row r="24" spans="1:62" s="3" customFormat="1" ht="21.75" customHeight="1" x14ac:dyDescent="0.3">
      <c r="A24" s="25" t="s">
        <v>535</v>
      </c>
      <c r="B24" s="6">
        <v>150</v>
      </c>
      <c r="C24" s="66">
        <v>172.75</v>
      </c>
      <c r="D24" s="234">
        <v>10</v>
      </c>
      <c r="E24" s="1"/>
      <c r="F24" s="39">
        <v>29</v>
      </c>
      <c r="G24" s="39">
        <v>25</v>
      </c>
      <c r="H24" s="39">
        <v>25</v>
      </c>
      <c r="I24" s="39">
        <v>25</v>
      </c>
      <c r="J24" s="39">
        <v>25</v>
      </c>
      <c r="K24" s="39">
        <v>25</v>
      </c>
      <c r="L24" s="39">
        <v>25</v>
      </c>
      <c r="M24" s="39">
        <v>25</v>
      </c>
      <c r="N24" s="39">
        <v>25</v>
      </c>
      <c r="O24" s="39">
        <v>25</v>
      </c>
      <c r="P24" s="39">
        <v>25</v>
      </c>
      <c r="Q24" s="39">
        <v>25</v>
      </c>
      <c r="R24" s="39">
        <v>25</v>
      </c>
      <c r="S24" s="39">
        <v>24</v>
      </c>
      <c r="T24" s="39">
        <v>24</v>
      </c>
      <c r="U24" s="39">
        <v>22</v>
      </c>
      <c r="V24" s="39"/>
      <c r="W24" s="39"/>
      <c r="X24" s="39"/>
      <c r="Y24" s="39"/>
      <c r="Z24" s="39"/>
      <c r="AA24" s="39">
        <v>17</v>
      </c>
      <c r="AB24" s="372">
        <f ca="1">Z24+IF(NOT(ISBLANK(OFFSET(AB24,0,6))),N(OFFSET(AB24,0,6)),N(OFFSET(AB24,0,7)))-AA24</f>
        <v>-17</v>
      </c>
      <c r="AC24" s="125"/>
      <c r="AD24" s="78" t="s">
        <v>536</v>
      </c>
      <c r="AE24" s="78"/>
      <c r="AF24" s="126"/>
      <c r="AG24" s="32"/>
      <c r="AH24" s="126"/>
      <c r="AI24" s="19">
        <v>0</v>
      </c>
      <c r="AJ24" s="19"/>
      <c r="AK24" s="19">
        <v>0</v>
      </c>
      <c r="AL24" s="19">
        <v>0</v>
      </c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</row>
    <row r="25" spans="1:62" s="3" customFormat="1" ht="21.75" customHeight="1" x14ac:dyDescent="0.3">
      <c r="A25" s="23"/>
      <c r="B25" s="1"/>
      <c r="C25" s="64"/>
      <c r="D25" s="235"/>
      <c r="E25" s="1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C25" s="125"/>
      <c r="AD25" s="10"/>
      <c r="AE25" s="10"/>
      <c r="AF25" s="126"/>
      <c r="AG25" s="33"/>
      <c r="AH25" s="126"/>
      <c r="AI25" s="75"/>
      <c r="AJ25" s="75"/>
      <c r="AK25" s="75"/>
      <c r="AL25" s="75"/>
      <c r="AM25" s="75"/>
      <c r="AN25" s="75"/>
      <c r="AO25" s="75"/>
      <c r="AP25" s="75"/>
      <c r="AQ25" s="75"/>
      <c r="AR25" s="75"/>
      <c r="AS25" s="75"/>
      <c r="AT25" s="75"/>
      <c r="AU25" s="75"/>
      <c r="AV25" s="75"/>
      <c r="AW25" s="75"/>
      <c r="AX25" s="75"/>
      <c r="AY25" s="75"/>
      <c r="AZ25" s="75"/>
      <c r="BA25" s="75"/>
      <c r="BB25" s="75"/>
      <c r="BC25" s="75"/>
      <c r="BD25" s="75"/>
      <c r="BE25" s="75"/>
      <c r="BF25" s="75"/>
      <c r="BG25" s="75"/>
      <c r="BH25" s="75"/>
      <c r="BI25" s="75"/>
      <c r="BJ25" s="75"/>
    </row>
    <row r="26" spans="1:62" s="3" customFormat="1" ht="21.75" customHeight="1" x14ac:dyDescent="0.3">
      <c r="A26" s="24" t="s">
        <v>428</v>
      </c>
      <c r="B26" s="12" t="s">
        <v>151</v>
      </c>
      <c r="C26" s="65" t="s">
        <v>152</v>
      </c>
      <c r="D26" s="12" t="s">
        <v>125</v>
      </c>
      <c r="E26" s="1"/>
      <c r="F26" s="13">
        <v>46006</v>
      </c>
      <c r="G26" s="13">
        <v>46013</v>
      </c>
      <c r="H26" s="13">
        <v>46020</v>
      </c>
      <c r="I26" s="13">
        <v>46027</v>
      </c>
      <c r="J26" s="13">
        <v>46034</v>
      </c>
      <c r="K26" s="13">
        <v>46041</v>
      </c>
      <c r="L26" s="13">
        <v>46048</v>
      </c>
      <c r="M26" s="13">
        <v>46055</v>
      </c>
      <c r="N26" s="13">
        <v>46062</v>
      </c>
      <c r="O26" s="13">
        <v>46069</v>
      </c>
      <c r="P26" s="13">
        <v>46076</v>
      </c>
      <c r="Q26" s="13">
        <v>46083</v>
      </c>
      <c r="R26" s="13">
        <v>46090</v>
      </c>
      <c r="S26" s="13">
        <v>46097</v>
      </c>
      <c r="T26" s="13">
        <v>46104</v>
      </c>
      <c r="U26" s="13">
        <v>46111</v>
      </c>
      <c r="V26" s="13">
        <v>46118</v>
      </c>
      <c r="W26" s="13">
        <v>46125</v>
      </c>
      <c r="X26" s="13">
        <v>46132</v>
      </c>
      <c r="Y26" s="13">
        <v>46139</v>
      </c>
      <c r="Z26" s="13">
        <v>46146</v>
      </c>
      <c r="AA26" s="13">
        <v>46154</v>
      </c>
      <c r="AB26" s="149" t="s">
        <v>129</v>
      </c>
      <c r="AC26" s="125"/>
      <c r="AD26" s="29" t="s">
        <v>126</v>
      </c>
      <c r="AE26" s="29" t="s">
        <v>126</v>
      </c>
      <c r="AF26" s="126"/>
      <c r="AG26" s="9" t="s">
        <v>127</v>
      </c>
      <c r="AH26" s="126"/>
      <c r="AI26" s="17">
        <v>46149</v>
      </c>
      <c r="AJ26" s="339">
        <v>46150</v>
      </c>
      <c r="AK26" s="17">
        <v>46142</v>
      </c>
      <c r="AL26" s="17">
        <v>46114</v>
      </c>
      <c r="AM26" s="17">
        <v>46107</v>
      </c>
      <c r="AN26" s="17">
        <v>46099</v>
      </c>
      <c r="AO26" s="294">
        <v>46065</v>
      </c>
      <c r="AP26" s="17">
        <v>46092</v>
      </c>
      <c r="AQ26" s="17">
        <v>46084</v>
      </c>
      <c r="AR26" s="294">
        <v>46065</v>
      </c>
      <c r="AS26" s="292">
        <v>46045</v>
      </c>
      <c r="AT26" s="17">
        <v>46077</v>
      </c>
      <c r="AU26" s="17">
        <v>46071</v>
      </c>
      <c r="AV26" s="17">
        <v>46056</v>
      </c>
      <c r="AW26" s="17">
        <v>46048</v>
      </c>
      <c r="AX26" s="17">
        <v>46043</v>
      </c>
      <c r="AY26" s="17">
        <v>46035</v>
      </c>
      <c r="AZ26" s="17">
        <v>46029</v>
      </c>
      <c r="BA26" s="17">
        <v>46035</v>
      </c>
      <c r="BB26" s="17">
        <v>46029</v>
      </c>
      <c r="BC26" s="17">
        <v>46024</v>
      </c>
      <c r="BD26" s="17">
        <v>46007</v>
      </c>
      <c r="BE26" s="17">
        <v>46001</v>
      </c>
      <c r="BF26" s="17">
        <v>46001</v>
      </c>
      <c r="BG26" s="17">
        <v>45994</v>
      </c>
      <c r="BH26" s="17">
        <v>45986</v>
      </c>
      <c r="BI26" s="17">
        <v>45986</v>
      </c>
      <c r="BJ26" s="17">
        <v>45980</v>
      </c>
    </row>
    <row r="27" spans="1:62" s="3" customFormat="1" ht="21.75" customHeight="1" x14ac:dyDescent="0.3">
      <c r="A27" s="25" t="s">
        <v>429</v>
      </c>
      <c r="B27" s="6">
        <v>300</v>
      </c>
      <c r="C27" s="66">
        <v>216</v>
      </c>
      <c r="D27" s="234"/>
      <c r="E27" s="1"/>
      <c r="F27" s="128">
        <v>322</v>
      </c>
      <c r="G27" s="128">
        <v>265</v>
      </c>
      <c r="H27" s="128">
        <v>265</v>
      </c>
      <c r="I27" s="128">
        <v>265</v>
      </c>
      <c r="J27" s="128">
        <v>265</v>
      </c>
      <c r="K27" s="128">
        <v>288</v>
      </c>
      <c r="L27" s="128">
        <v>288</v>
      </c>
      <c r="M27" s="128">
        <v>288</v>
      </c>
      <c r="N27" s="128">
        <v>276</v>
      </c>
      <c r="O27" s="128">
        <v>272</v>
      </c>
      <c r="P27" s="128">
        <v>271</v>
      </c>
      <c r="Q27" s="128">
        <v>271</v>
      </c>
      <c r="R27" s="128">
        <v>256</v>
      </c>
      <c r="S27" s="128">
        <v>256</v>
      </c>
      <c r="T27" s="128">
        <v>250</v>
      </c>
      <c r="U27" s="128">
        <v>250</v>
      </c>
      <c r="V27" s="128"/>
      <c r="W27" s="128"/>
      <c r="X27" s="128"/>
      <c r="Y27" s="128"/>
      <c r="Z27" s="128"/>
      <c r="AA27" s="128">
        <v>153</v>
      </c>
      <c r="AB27" s="372">
        <f ca="1">Z27+IF(NOT(ISBLANK(OFFSET(AB27,0,6))),N(OFFSET(AB27,0,6)),N(OFFSET(AB27,0,7)))-AA27</f>
        <v>-153</v>
      </c>
      <c r="AC27" s="125"/>
      <c r="AD27" s="134"/>
      <c r="AE27" s="134"/>
      <c r="AF27" s="126"/>
      <c r="AG27" s="32">
        <v>300</v>
      </c>
      <c r="AH27" s="126"/>
      <c r="AI27" s="19">
        <v>0</v>
      </c>
      <c r="AJ27" s="19"/>
      <c r="AK27" s="19">
        <v>0</v>
      </c>
      <c r="AL27" s="19">
        <v>0</v>
      </c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>
        <v>300</v>
      </c>
      <c r="BH27" s="19"/>
      <c r="BI27" s="19"/>
      <c r="BJ27" s="19"/>
    </row>
    <row r="28" spans="1:62" s="3" customFormat="1" ht="21.75" customHeight="1" x14ac:dyDescent="0.3">
      <c r="A28" s="25" t="s">
        <v>430</v>
      </c>
      <c r="B28" s="6">
        <v>200</v>
      </c>
      <c r="C28" s="66">
        <v>246.28</v>
      </c>
      <c r="D28" s="234"/>
      <c r="E28" s="1"/>
      <c r="F28" s="39">
        <v>400</v>
      </c>
      <c r="G28" s="39">
        <v>374</v>
      </c>
      <c r="H28" s="39">
        <v>374</v>
      </c>
      <c r="I28" s="39">
        <v>374</v>
      </c>
      <c r="J28" s="39">
        <v>362</v>
      </c>
      <c r="K28" s="39">
        <v>361</v>
      </c>
      <c r="L28" s="39">
        <v>361</v>
      </c>
      <c r="M28" s="39">
        <v>351</v>
      </c>
      <c r="N28" s="39">
        <v>317</v>
      </c>
      <c r="O28" s="39">
        <v>316</v>
      </c>
      <c r="P28" s="39">
        <v>313</v>
      </c>
      <c r="Q28" s="39">
        <v>313</v>
      </c>
      <c r="R28" s="39">
        <v>312</v>
      </c>
      <c r="S28" s="39">
        <v>309</v>
      </c>
      <c r="T28" s="39">
        <v>309</v>
      </c>
      <c r="U28" s="39">
        <v>309</v>
      </c>
      <c r="V28" s="39"/>
      <c r="W28" s="39"/>
      <c r="X28" s="39"/>
      <c r="Y28" s="39"/>
      <c r="Z28" s="39"/>
      <c r="AA28" s="39">
        <v>252</v>
      </c>
      <c r="AB28" s="372">
        <f ca="1">Z28+IF(NOT(ISBLANK(OFFSET(AB28,0,6))),N(OFFSET(AB28,0,6)),N(OFFSET(AB28,0,7)))-AA28</f>
        <v>-252</v>
      </c>
      <c r="AC28" s="125"/>
      <c r="AD28" s="78" t="s">
        <v>463</v>
      </c>
      <c r="AE28" s="78"/>
      <c r="AF28" s="126"/>
      <c r="AG28" s="32"/>
      <c r="AH28" s="126"/>
      <c r="AI28" s="19">
        <v>0</v>
      </c>
      <c r="AJ28" s="19"/>
      <c r="AK28" s="19">
        <v>0</v>
      </c>
      <c r="AL28" s="19">
        <v>0</v>
      </c>
      <c r="AM28" s="19"/>
      <c r="AN28" s="19"/>
      <c r="AO28" s="19"/>
      <c r="AP28" s="19"/>
      <c r="AQ28" s="19"/>
      <c r="AR28" s="244">
        <v>400</v>
      </c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</row>
    <row r="29" spans="1:62" s="3" customFormat="1" ht="21.75" customHeight="1" x14ac:dyDescent="0.3">
      <c r="A29" s="25" t="s">
        <v>431</v>
      </c>
      <c r="B29" s="6">
        <v>200</v>
      </c>
      <c r="C29" s="66">
        <v>316.91000000000003</v>
      </c>
      <c r="D29" s="234"/>
      <c r="E29" s="1"/>
      <c r="F29" s="39">
        <v>400</v>
      </c>
      <c r="G29" s="39">
        <v>390</v>
      </c>
      <c r="H29" s="39">
        <v>390</v>
      </c>
      <c r="I29" s="39">
        <v>390</v>
      </c>
      <c r="J29" s="39">
        <v>390</v>
      </c>
      <c r="K29" s="39">
        <v>390</v>
      </c>
      <c r="L29" s="39">
        <v>390</v>
      </c>
      <c r="M29" s="39">
        <v>390</v>
      </c>
      <c r="N29" s="39">
        <v>390</v>
      </c>
      <c r="O29" s="39">
        <v>390</v>
      </c>
      <c r="P29" s="39">
        <v>390</v>
      </c>
      <c r="Q29" s="39">
        <v>390</v>
      </c>
      <c r="R29" s="39">
        <v>390</v>
      </c>
      <c r="S29" s="39">
        <v>380</v>
      </c>
      <c r="T29" s="39">
        <v>380</v>
      </c>
      <c r="U29" s="39">
        <v>370</v>
      </c>
      <c r="V29" s="39"/>
      <c r="W29" s="39"/>
      <c r="X29" s="39"/>
      <c r="Y29" s="39"/>
      <c r="Z29" s="39"/>
      <c r="AA29" s="39">
        <v>395</v>
      </c>
      <c r="AB29" s="372">
        <f ca="1">Z29+IF(NOT(ISBLANK(OFFSET(AB29,0,6))),N(OFFSET(AB29,0,6)),N(OFFSET(AB29,0,7)))-AA29</f>
        <v>-395</v>
      </c>
      <c r="AC29" s="125"/>
      <c r="AD29" s="78" t="s">
        <v>463</v>
      </c>
      <c r="AE29" s="78"/>
      <c r="AF29" s="126"/>
      <c r="AG29" s="32"/>
      <c r="AH29" s="126"/>
      <c r="AI29" s="19">
        <v>0</v>
      </c>
      <c r="AJ29" s="19"/>
      <c r="AK29" s="19">
        <v>0</v>
      </c>
      <c r="AL29" s="19">
        <v>0</v>
      </c>
      <c r="AM29" s="19"/>
      <c r="AN29" s="19"/>
      <c r="AO29" s="19"/>
      <c r="AP29" s="19"/>
      <c r="AQ29" s="19"/>
      <c r="AR29" s="244">
        <v>200</v>
      </c>
      <c r="AS29" s="293">
        <v>600</v>
      </c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</row>
    <row r="30" spans="1:62" s="3" customFormat="1" ht="16.5" customHeight="1" x14ac:dyDescent="0.3">
      <c r="A30" s="23"/>
      <c r="B30" s="1"/>
      <c r="C30" s="64"/>
      <c r="D30" s="64"/>
      <c r="E30" s="11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11"/>
      <c r="AD30" s="10"/>
      <c r="AE30" s="10"/>
      <c r="AF30" s="11"/>
      <c r="AG30" s="33"/>
      <c r="AH30" s="11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</row>
    <row r="31" spans="1:62" s="3" customFormat="1" x14ac:dyDescent="0.3">
      <c r="A31" s="24" t="s">
        <v>432</v>
      </c>
      <c r="B31" s="12"/>
      <c r="C31" s="65"/>
      <c r="D31" s="65"/>
      <c r="E31" s="7"/>
      <c r="F31" s="13">
        <v>46006</v>
      </c>
      <c r="G31" s="13">
        <v>46013</v>
      </c>
      <c r="H31" s="13">
        <v>46020</v>
      </c>
      <c r="I31" s="13">
        <v>46027</v>
      </c>
      <c r="J31" s="13">
        <v>46034</v>
      </c>
      <c r="K31" s="13">
        <v>46041</v>
      </c>
      <c r="L31" s="13">
        <v>46048</v>
      </c>
      <c r="M31" s="13">
        <v>46055</v>
      </c>
      <c r="N31" s="13">
        <v>46062</v>
      </c>
      <c r="O31" s="13">
        <v>46069</v>
      </c>
      <c r="P31" s="13">
        <v>46076</v>
      </c>
      <c r="Q31" s="13">
        <v>46083</v>
      </c>
      <c r="R31" s="13">
        <v>46090</v>
      </c>
      <c r="S31" s="13">
        <v>46097</v>
      </c>
      <c r="T31" s="13">
        <v>46104</v>
      </c>
      <c r="U31" s="13">
        <v>46111</v>
      </c>
      <c r="V31" s="13">
        <v>46118</v>
      </c>
      <c r="W31" s="13">
        <v>46125</v>
      </c>
      <c r="X31" s="13">
        <v>46132</v>
      </c>
      <c r="Y31" s="13">
        <v>46139</v>
      </c>
      <c r="Z31" s="13">
        <v>46146</v>
      </c>
      <c r="AA31" s="13">
        <v>46154</v>
      </c>
      <c r="AB31" s="35" t="s">
        <v>129</v>
      </c>
      <c r="AC31" s="7"/>
      <c r="AD31" s="29" t="s">
        <v>126</v>
      </c>
      <c r="AE31" s="29" t="s">
        <v>126</v>
      </c>
      <c r="AF31" s="11"/>
      <c r="AG31" s="9" t="s">
        <v>127</v>
      </c>
      <c r="AH31" s="7"/>
      <c r="AI31" s="17">
        <v>46149</v>
      </c>
      <c r="AJ31" s="339">
        <v>46150</v>
      </c>
      <c r="AK31" s="17">
        <v>46142</v>
      </c>
      <c r="AL31" s="17">
        <v>46114</v>
      </c>
      <c r="AM31" s="17">
        <v>46107</v>
      </c>
      <c r="AN31" s="17">
        <v>46099</v>
      </c>
      <c r="AO31" s="294">
        <v>46065</v>
      </c>
      <c r="AP31" s="17">
        <v>46092</v>
      </c>
      <c r="AQ31" s="17">
        <v>46084</v>
      </c>
      <c r="AR31" s="294">
        <v>46065</v>
      </c>
      <c r="AS31" s="292">
        <v>46045</v>
      </c>
      <c r="AT31" s="17">
        <v>46077</v>
      </c>
      <c r="AU31" s="17">
        <v>46071</v>
      </c>
      <c r="AV31" s="17">
        <v>46056</v>
      </c>
      <c r="AW31" s="17">
        <v>46048</v>
      </c>
      <c r="AX31" s="17">
        <v>46043</v>
      </c>
      <c r="AY31" s="17">
        <v>46035</v>
      </c>
      <c r="AZ31" s="17">
        <v>46029</v>
      </c>
      <c r="BA31" s="17">
        <v>46035</v>
      </c>
      <c r="BB31" s="17">
        <v>46029</v>
      </c>
      <c r="BC31" s="17">
        <v>46024</v>
      </c>
      <c r="BD31" s="17">
        <v>46007</v>
      </c>
      <c r="BE31" s="17">
        <v>46001</v>
      </c>
      <c r="BF31" s="17">
        <v>46001</v>
      </c>
      <c r="BG31" s="17">
        <v>45994</v>
      </c>
      <c r="BH31" s="17">
        <v>45986</v>
      </c>
      <c r="BI31" s="17">
        <v>45986</v>
      </c>
      <c r="BJ31" s="17">
        <v>45980</v>
      </c>
    </row>
    <row r="32" spans="1:62" s="3" customFormat="1" x14ac:dyDescent="0.3">
      <c r="A32" s="25" t="s">
        <v>142</v>
      </c>
      <c r="B32" s="6">
        <v>200</v>
      </c>
      <c r="C32" s="66">
        <v>38</v>
      </c>
      <c r="D32" s="234">
        <v>10</v>
      </c>
      <c r="E32" s="7"/>
      <c r="F32" s="39">
        <v>200</v>
      </c>
      <c r="G32" s="39">
        <v>11</v>
      </c>
      <c r="H32" s="39">
        <v>0</v>
      </c>
      <c r="I32" s="39">
        <v>0</v>
      </c>
      <c r="J32" s="39">
        <v>0</v>
      </c>
      <c r="K32" s="39">
        <v>0</v>
      </c>
      <c r="L32" s="39">
        <v>0</v>
      </c>
      <c r="M32" s="39">
        <v>0</v>
      </c>
      <c r="N32" s="39">
        <v>0</v>
      </c>
      <c r="O32" s="39">
        <v>0</v>
      </c>
      <c r="P32" s="39">
        <v>0</v>
      </c>
      <c r="Q32" s="39">
        <f>0+AT32</f>
        <v>200</v>
      </c>
      <c r="R32" s="39">
        <v>143</v>
      </c>
      <c r="S32" s="39">
        <v>11</v>
      </c>
      <c r="T32" s="39">
        <v>0</v>
      </c>
      <c r="U32" s="39">
        <v>0</v>
      </c>
      <c r="V32" s="39"/>
      <c r="W32" s="39"/>
      <c r="X32" s="39"/>
      <c r="Y32" s="39"/>
      <c r="Z32" s="39"/>
      <c r="AA32" s="39">
        <v>0</v>
      </c>
      <c r="AB32" s="372">
        <f ca="1">Z32+IF(NOT(ISBLANK(OFFSET(AB32,0,6))),N(OFFSET(AB32,0,6)),N(OFFSET(AB32,0,7)))-AA32</f>
        <v>0</v>
      </c>
      <c r="AC32" s="7"/>
      <c r="AD32" s="78"/>
      <c r="AE32" s="78"/>
      <c r="AF32" s="7"/>
      <c r="AG32" s="76">
        <v>200</v>
      </c>
      <c r="AH32" s="7"/>
      <c r="AI32" s="19">
        <v>0</v>
      </c>
      <c r="AJ32" s="19"/>
      <c r="AK32" s="19">
        <v>0</v>
      </c>
      <c r="AL32" s="19">
        <v>0</v>
      </c>
      <c r="AM32" s="19"/>
      <c r="AN32" s="19"/>
      <c r="AO32" s="19"/>
      <c r="AP32" s="19"/>
      <c r="AQ32" s="19"/>
      <c r="AR32" s="19"/>
      <c r="AS32" s="19"/>
      <c r="AT32" s="19">
        <v>200</v>
      </c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>
        <v>200</v>
      </c>
      <c r="BH32" s="19"/>
      <c r="BI32" s="19"/>
      <c r="BJ32" s="19"/>
    </row>
    <row r="33" spans="1:62" s="3" customFormat="1" x14ac:dyDescent="0.3">
      <c r="A33" s="25" t="s">
        <v>433</v>
      </c>
      <c r="B33" s="6">
        <v>2500</v>
      </c>
      <c r="C33" s="66">
        <v>66.87</v>
      </c>
      <c r="D33" s="234">
        <v>10</v>
      </c>
      <c r="E33" s="7"/>
      <c r="F33" s="39">
        <v>11</v>
      </c>
      <c r="G33" s="39">
        <v>2</v>
      </c>
      <c r="H33" s="39">
        <v>2</v>
      </c>
      <c r="I33" s="39">
        <v>2</v>
      </c>
      <c r="J33" s="39">
        <v>0</v>
      </c>
      <c r="K33" s="39">
        <v>0</v>
      </c>
      <c r="L33" s="39">
        <v>0</v>
      </c>
      <c r="M33" s="39">
        <v>0</v>
      </c>
      <c r="N33" s="39">
        <v>0</v>
      </c>
      <c r="O33" s="39">
        <v>0</v>
      </c>
      <c r="P33" s="39">
        <v>0</v>
      </c>
      <c r="Q33" s="39">
        <v>0</v>
      </c>
      <c r="R33" s="39">
        <v>0</v>
      </c>
      <c r="S33" s="39">
        <v>0</v>
      </c>
      <c r="T33" s="39">
        <v>0</v>
      </c>
      <c r="U33" s="39">
        <v>0</v>
      </c>
      <c r="V33" s="39"/>
      <c r="W33" s="39"/>
      <c r="X33" s="39"/>
      <c r="Y33" s="39"/>
      <c r="Z33" s="39"/>
      <c r="AA33" s="39">
        <v>0</v>
      </c>
      <c r="AB33" s="372">
        <f ca="1">Z33+IF(NOT(ISBLANK(OFFSET(AB33,0,6))),N(OFFSET(AB33,0,6)),N(OFFSET(AB33,0,7)))-AA33</f>
        <v>0</v>
      </c>
      <c r="AC33" s="7"/>
      <c r="AD33" s="78"/>
      <c r="AE33" s="78"/>
      <c r="AF33" s="7"/>
      <c r="AG33" s="76">
        <v>1</v>
      </c>
      <c r="AH33" s="7"/>
      <c r="AI33" s="19">
        <v>0</v>
      </c>
      <c r="AJ33" s="19"/>
      <c r="AK33" s="19">
        <v>0</v>
      </c>
      <c r="AL33" s="19">
        <v>0</v>
      </c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</row>
    <row r="34" spans="1:62" s="3" customFormat="1" x14ac:dyDescent="0.25">
      <c r="A34" s="25" t="s">
        <v>434</v>
      </c>
      <c r="B34" s="6">
        <v>1050</v>
      </c>
      <c r="C34" s="66">
        <v>52.14</v>
      </c>
      <c r="D34" s="234">
        <v>10</v>
      </c>
      <c r="E34" s="1"/>
      <c r="F34" s="39">
        <v>7</v>
      </c>
      <c r="G34" s="39">
        <v>7</v>
      </c>
      <c r="H34" s="39">
        <v>7</v>
      </c>
      <c r="I34" s="39">
        <v>7</v>
      </c>
      <c r="J34" s="39">
        <v>7</v>
      </c>
      <c r="K34" s="39">
        <v>7</v>
      </c>
      <c r="L34" s="39">
        <v>7</v>
      </c>
      <c r="M34" s="39">
        <v>7</v>
      </c>
      <c r="N34" s="39">
        <v>6</v>
      </c>
      <c r="O34" s="39">
        <v>6</v>
      </c>
      <c r="P34" s="39">
        <v>6</v>
      </c>
      <c r="Q34" s="39">
        <v>6</v>
      </c>
      <c r="R34" s="39">
        <v>6</v>
      </c>
      <c r="S34" s="39">
        <v>4</v>
      </c>
      <c r="T34" s="39">
        <v>2</v>
      </c>
      <c r="U34" s="39">
        <v>2</v>
      </c>
      <c r="V34" s="39"/>
      <c r="W34" s="39"/>
      <c r="X34" s="39"/>
      <c r="Y34" s="39"/>
      <c r="Z34" s="39"/>
      <c r="AA34" s="39">
        <v>1</v>
      </c>
      <c r="AB34" s="372">
        <f ca="1">Z34+IF(NOT(ISBLANK(OFFSET(AB34,0,6))),N(OFFSET(AB34,0,6)),N(OFFSET(AB34,0,7)))-AA34</f>
        <v>-1</v>
      </c>
      <c r="AC34" s="1"/>
      <c r="AD34" s="78"/>
      <c r="AE34" s="78"/>
      <c r="AF34" s="1"/>
      <c r="AG34" s="76">
        <v>1</v>
      </c>
      <c r="AH34" s="1"/>
      <c r="AI34" s="19">
        <v>0</v>
      </c>
      <c r="AJ34" s="19"/>
      <c r="AK34" s="19">
        <v>0</v>
      </c>
      <c r="AL34" s="19">
        <v>0</v>
      </c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</row>
    <row r="35" spans="1:62" s="3" customFormat="1" ht="17.25" customHeight="1" x14ac:dyDescent="0.25">
      <c r="A35" s="23"/>
      <c r="B35" s="1"/>
      <c r="C35" s="64"/>
      <c r="D35" s="64"/>
      <c r="E35" s="1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C35" s="1"/>
      <c r="AD35" s="10"/>
      <c r="AE35" s="10"/>
      <c r="AF35" s="1"/>
      <c r="AG35" s="205"/>
      <c r="AH35" s="1"/>
      <c r="AI35" s="75"/>
      <c r="AJ35" s="75"/>
      <c r="AK35" s="75"/>
      <c r="AL35" s="75"/>
      <c r="AM35" s="75"/>
      <c r="AN35" s="75"/>
      <c r="AO35" s="75"/>
      <c r="AP35" s="75"/>
      <c r="AQ35" s="75"/>
      <c r="AR35" s="75"/>
      <c r="AS35" s="75"/>
      <c r="AT35" s="75"/>
      <c r="AU35" s="75"/>
      <c r="AV35" s="75"/>
      <c r="AW35" s="75"/>
      <c r="AX35" s="75"/>
      <c r="AY35" s="75"/>
      <c r="AZ35" s="75"/>
      <c r="BA35" s="75"/>
      <c r="BB35" s="75"/>
      <c r="BC35" s="75"/>
      <c r="BD35" s="75"/>
      <c r="BE35" s="75"/>
      <c r="BF35" s="75"/>
      <c r="BG35" s="75"/>
      <c r="BH35" s="75"/>
      <c r="BI35" s="75"/>
      <c r="BJ35" s="75"/>
    </row>
    <row r="36" spans="1:62" s="3" customFormat="1" x14ac:dyDescent="0.3">
      <c r="A36" s="24" t="s">
        <v>435</v>
      </c>
      <c r="B36" s="12"/>
      <c r="C36" s="65"/>
      <c r="D36" s="65"/>
      <c r="E36" s="1"/>
      <c r="F36" s="13">
        <v>46006</v>
      </c>
      <c r="G36" s="13">
        <v>46013</v>
      </c>
      <c r="H36" s="13">
        <v>46020</v>
      </c>
      <c r="I36" s="13">
        <v>46027</v>
      </c>
      <c r="J36" s="13">
        <v>46034</v>
      </c>
      <c r="K36" s="13">
        <v>46041</v>
      </c>
      <c r="L36" s="13">
        <v>46048</v>
      </c>
      <c r="M36" s="13">
        <v>46055</v>
      </c>
      <c r="N36" s="13">
        <v>46062</v>
      </c>
      <c r="O36" s="13">
        <v>46069</v>
      </c>
      <c r="P36" s="13">
        <v>46076</v>
      </c>
      <c r="Q36" s="13">
        <v>46083</v>
      </c>
      <c r="R36" s="13">
        <v>46090</v>
      </c>
      <c r="S36" s="13">
        <v>46097</v>
      </c>
      <c r="T36" s="13">
        <v>46104</v>
      </c>
      <c r="U36" s="13">
        <v>46111</v>
      </c>
      <c r="V36" s="13">
        <v>46118</v>
      </c>
      <c r="W36" s="13">
        <v>46125</v>
      </c>
      <c r="X36" s="13">
        <v>46132</v>
      </c>
      <c r="Y36" s="13">
        <v>46139</v>
      </c>
      <c r="Z36" s="13">
        <v>46146</v>
      </c>
      <c r="AA36" s="13">
        <v>46154</v>
      </c>
      <c r="AB36" s="35" t="s">
        <v>129</v>
      </c>
      <c r="AC36" s="11"/>
      <c r="AD36" s="29" t="s">
        <v>126</v>
      </c>
      <c r="AE36" s="29" t="s">
        <v>126</v>
      </c>
      <c r="AF36" s="11"/>
      <c r="AG36" s="9" t="s">
        <v>127</v>
      </c>
      <c r="AH36" s="1"/>
      <c r="AI36" s="17">
        <v>46149</v>
      </c>
      <c r="AJ36" s="339">
        <v>46150</v>
      </c>
      <c r="AK36" s="17">
        <v>46142</v>
      </c>
      <c r="AL36" s="17">
        <v>46114</v>
      </c>
      <c r="AM36" s="17">
        <v>46107</v>
      </c>
      <c r="AN36" s="17">
        <v>46099</v>
      </c>
      <c r="AO36" s="294">
        <v>46065</v>
      </c>
      <c r="AP36" s="17">
        <v>46092</v>
      </c>
      <c r="AQ36" s="17">
        <v>46084</v>
      </c>
      <c r="AR36" s="294">
        <v>46065</v>
      </c>
      <c r="AS36" s="292">
        <v>46045</v>
      </c>
      <c r="AT36" s="17">
        <v>46077</v>
      </c>
      <c r="AU36" s="17">
        <v>46071</v>
      </c>
      <c r="AV36" s="17">
        <v>46056</v>
      </c>
      <c r="AW36" s="17">
        <v>46048</v>
      </c>
      <c r="AX36" s="17">
        <v>46043</v>
      </c>
      <c r="AY36" s="17">
        <v>46035</v>
      </c>
      <c r="AZ36" s="17">
        <v>46029</v>
      </c>
      <c r="BA36" s="17">
        <v>46035</v>
      </c>
      <c r="BB36" s="17">
        <v>46029</v>
      </c>
      <c r="BC36" s="17">
        <v>46024</v>
      </c>
      <c r="BD36" s="17">
        <v>46007</v>
      </c>
      <c r="BE36" s="17">
        <v>46001</v>
      </c>
      <c r="BF36" s="17">
        <v>46001</v>
      </c>
      <c r="BG36" s="17">
        <v>45994</v>
      </c>
      <c r="BH36" s="17">
        <v>45986</v>
      </c>
      <c r="BI36" s="17">
        <v>45986</v>
      </c>
      <c r="BJ36" s="17">
        <v>45980</v>
      </c>
    </row>
    <row r="37" spans="1:62" s="3" customFormat="1" x14ac:dyDescent="0.3">
      <c r="A37" s="25" t="s">
        <v>436</v>
      </c>
      <c r="B37" s="135">
        <v>75</v>
      </c>
      <c r="C37" s="81">
        <v>225.67</v>
      </c>
      <c r="D37" s="234">
        <v>15</v>
      </c>
      <c r="E37" s="1"/>
      <c r="F37" s="39">
        <v>10</v>
      </c>
      <c r="G37" s="39">
        <v>8</v>
      </c>
      <c r="H37" s="39">
        <v>8</v>
      </c>
      <c r="I37" s="39">
        <v>8</v>
      </c>
      <c r="J37" s="39">
        <v>8</v>
      </c>
      <c r="K37" s="39">
        <v>8</v>
      </c>
      <c r="L37" s="39">
        <v>7</v>
      </c>
      <c r="M37" s="39">
        <v>5</v>
      </c>
      <c r="N37" s="39">
        <v>3</v>
      </c>
      <c r="O37" s="39">
        <v>3</v>
      </c>
      <c r="P37" s="39">
        <v>0</v>
      </c>
      <c r="Q37" s="39">
        <v>0</v>
      </c>
      <c r="R37" s="39">
        <v>0</v>
      </c>
      <c r="S37" s="39">
        <v>0</v>
      </c>
      <c r="T37" s="39">
        <v>0</v>
      </c>
      <c r="U37" s="39">
        <v>0</v>
      </c>
      <c r="V37" s="39"/>
      <c r="W37" s="39"/>
      <c r="X37" s="39"/>
      <c r="Y37" s="39"/>
      <c r="Z37" s="39"/>
      <c r="AA37" s="39">
        <v>0</v>
      </c>
      <c r="AB37" s="372">
        <f ca="1">Z37+IF(NOT(ISBLANK(OFFSET(AB37,0,6))),N(OFFSET(AB37,0,6)),N(OFFSET(AB37,0,7)))-AA37</f>
        <v>0</v>
      </c>
      <c r="AC37" s="11"/>
      <c r="AD37" s="78" t="s">
        <v>537</v>
      </c>
      <c r="AE37" s="78"/>
      <c r="AF37" s="1"/>
      <c r="AG37" s="32"/>
      <c r="AH37" s="1"/>
      <c r="AI37" s="19">
        <v>0</v>
      </c>
      <c r="AJ37" s="19"/>
      <c r="AK37" s="19">
        <v>0</v>
      </c>
      <c r="AL37" s="19">
        <v>0</v>
      </c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</row>
    <row r="38" spans="1:62" s="3" customFormat="1" ht="19.5" customHeight="1" x14ac:dyDescent="0.3">
      <c r="A38" s="25" t="s">
        <v>437</v>
      </c>
      <c r="B38" s="135">
        <v>75</v>
      </c>
      <c r="C38" s="66">
        <v>294.58999999999997</v>
      </c>
      <c r="D38" s="234">
        <v>20</v>
      </c>
      <c r="E38" s="1"/>
      <c r="F38" s="39">
        <v>0</v>
      </c>
      <c r="G38" s="39">
        <v>0</v>
      </c>
      <c r="H38" s="39">
        <v>0</v>
      </c>
      <c r="I38" s="39">
        <v>0</v>
      </c>
      <c r="J38" s="39">
        <v>0</v>
      </c>
      <c r="K38" s="39">
        <v>0</v>
      </c>
      <c r="L38" s="39">
        <v>0</v>
      </c>
      <c r="M38" s="39">
        <v>0</v>
      </c>
      <c r="N38" s="39">
        <v>0</v>
      </c>
      <c r="O38" s="39">
        <v>0</v>
      </c>
      <c r="P38" s="39">
        <v>0</v>
      </c>
      <c r="Q38" s="39">
        <f>0+AT38</f>
        <v>100</v>
      </c>
      <c r="R38" s="39">
        <v>93</v>
      </c>
      <c r="S38" s="39">
        <v>90</v>
      </c>
      <c r="T38" s="39">
        <v>85</v>
      </c>
      <c r="U38" s="39">
        <v>82</v>
      </c>
      <c r="V38" s="39"/>
      <c r="W38" s="39"/>
      <c r="X38" s="39"/>
      <c r="Y38" s="39"/>
      <c r="Z38" s="39"/>
      <c r="AA38" s="39">
        <v>76</v>
      </c>
      <c r="AB38" s="372">
        <f ca="1">Z38+IF(NOT(ISBLANK(OFFSET(AB38,0,6))),N(OFFSET(AB38,0,6)),N(OFFSET(AB38,0,7)))-AA38</f>
        <v>-76</v>
      </c>
      <c r="AC38" s="11"/>
      <c r="AD38" s="78"/>
      <c r="AE38" s="78"/>
      <c r="AG38" s="32"/>
      <c r="AI38" s="19">
        <v>0</v>
      </c>
      <c r="AJ38" s="19"/>
      <c r="AK38" s="19">
        <v>0</v>
      </c>
      <c r="AL38" s="19">
        <v>0</v>
      </c>
      <c r="AM38" s="19"/>
      <c r="AN38" s="19"/>
      <c r="AO38" s="19"/>
      <c r="AP38" s="19"/>
      <c r="AQ38" s="19"/>
      <c r="AR38" s="19"/>
      <c r="AS38" s="293">
        <v>100</v>
      </c>
      <c r="AT38" s="19">
        <v>100</v>
      </c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</row>
    <row r="39" spans="1:62" ht="18.75" customHeight="1" x14ac:dyDescent="0.3">
      <c r="A39" s="25" t="s">
        <v>438</v>
      </c>
      <c r="B39" s="135">
        <v>50</v>
      </c>
      <c r="C39" s="66">
        <v>346.84</v>
      </c>
      <c r="D39" s="234">
        <v>10</v>
      </c>
      <c r="F39" s="39">
        <v>1</v>
      </c>
      <c r="G39" s="39">
        <v>1</v>
      </c>
      <c r="H39" s="39">
        <v>1</v>
      </c>
      <c r="I39" s="39">
        <v>1</v>
      </c>
      <c r="J39" s="39">
        <v>1</v>
      </c>
      <c r="K39" s="39">
        <v>0</v>
      </c>
      <c r="L39" s="39">
        <v>0</v>
      </c>
      <c r="M39" s="39">
        <v>0</v>
      </c>
      <c r="N39" s="39">
        <v>0</v>
      </c>
      <c r="O39" s="39">
        <v>0</v>
      </c>
      <c r="P39" s="39">
        <v>0</v>
      </c>
      <c r="Q39" s="39">
        <v>0</v>
      </c>
      <c r="R39" s="39">
        <v>0</v>
      </c>
      <c r="S39" s="39">
        <v>0</v>
      </c>
      <c r="T39" s="39">
        <v>0</v>
      </c>
      <c r="U39" s="39">
        <v>0</v>
      </c>
      <c r="V39" s="39"/>
      <c r="W39" s="39"/>
      <c r="X39" s="39"/>
      <c r="Y39" s="39"/>
      <c r="Z39" s="39"/>
      <c r="AA39" s="39">
        <v>0</v>
      </c>
      <c r="AB39" s="372">
        <f ca="1">Z39+IF(NOT(ISBLANK(OFFSET(AB39,0,6))),N(OFFSET(AB39,0,6)),N(OFFSET(AB39,0,7)))-AA39</f>
        <v>0</v>
      </c>
      <c r="AD39" s="78"/>
      <c r="AE39" s="78"/>
      <c r="AF39" s="1"/>
      <c r="AG39" s="32"/>
      <c r="AH39" s="1"/>
      <c r="AI39" s="19">
        <v>0</v>
      </c>
      <c r="AJ39" s="19"/>
      <c r="AK39" s="19">
        <v>0</v>
      </c>
      <c r="AL39" s="19">
        <v>0</v>
      </c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</row>
    <row r="40" spans="1:62" x14ac:dyDescent="0.3">
      <c r="A40" s="23"/>
      <c r="B40" s="1"/>
      <c r="C40" s="64"/>
      <c r="D40" s="64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F40" s="1"/>
      <c r="AG40" s="33"/>
      <c r="AH40" s="1"/>
      <c r="AI40" s="75"/>
      <c r="AJ40" s="75"/>
      <c r="AK40" s="75"/>
      <c r="AL40" s="75"/>
      <c r="AM40" s="75"/>
      <c r="AN40" s="75"/>
      <c r="AO40" s="75"/>
      <c r="AP40" s="75"/>
      <c r="AQ40" s="75"/>
      <c r="AR40" s="75"/>
      <c r="AS40" s="75"/>
      <c r="AT40" s="75"/>
      <c r="AU40" s="75"/>
      <c r="AV40" s="75"/>
      <c r="AW40" s="75"/>
      <c r="AX40" s="75"/>
      <c r="AY40" s="75"/>
      <c r="AZ40" s="75"/>
      <c r="BA40" s="75"/>
      <c r="BB40" s="75"/>
      <c r="BC40" s="75"/>
      <c r="BD40" s="75"/>
      <c r="BE40" s="75"/>
      <c r="BF40" s="75"/>
      <c r="BG40" s="75"/>
      <c r="BH40" s="75"/>
      <c r="BI40" s="75"/>
      <c r="BJ40" s="75"/>
    </row>
    <row r="41" spans="1:62" x14ac:dyDescent="0.3">
      <c r="A41" s="24" t="s">
        <v>439</v>
      </c>
      <c r="B41" s="12" t="s">
        <v>151</v>
      </c>
      <c r="C41" s="12"/>
      <c r="D41" s="12" t="s">
        <v>125</v>
      </c>
      <c r="F41" s="13">
        <v>46006</v>
      </c>
      <c r="G41" s="13">
        <v>46013</v>
      </c>
      <c r="H41" s="13">
        <v>46020</v>
      </c>
      <c r="I41" s="13">
        <v>46027</v>
      </c>
      <c r="J41" s="13">
        <v>46034</v>
      </c>
      <c r="K41" s="13">
        <v>46041</v>
      </c>
      <c r="L41" s="13">
        <v>46048</v>
      </c>
      <c r="M41" s="13">
        <v>46055</v>
      </c>
      <c r="N41" s="13">
        <v>46062</v>
      </c>
      <c r="O41" s="13">
        <v>46069</v>
      </c>
      <c r="P41" s="13">
        <v>46076</v>
      </c>
      <c r="Q41" s="13">
        <v>46083</v>
      </c>
      <c r="R41" s="13">
        <v>46090</v>
      </c>
      <c r="S41" s="13">
        <v>46097</v>
      </c>
      <c r="T41" s="13">
        <v>46104</v>
      </c>
      <c r="U41" s="13">
        <v>46111</v>
      </c>
      <c r="V41" s="13">
        <v>46118</v>
      </c>
      <c r="W41" s="13">
        <v>46125</v>
      </c>
      <c r="X41" s="13">
        <v>46132</v>
      </c>
      <c r="Y41" s="13">
        <v>46139</v>
      </c>
      <c r="Z41" s="13">
        <v>46146</v>
      </c>
      <c r="AA41" s="13">
        <v>46154</v>
      </c>
      <c r="AB41" s="35" t="s">
        <v>129</v>
      </c>
      <c r="AD41" s="29" t="s">
        <v>126</v>
      </c>
      <c r="AE41" s="29" t="s">
        <v>126</v>
      </c>
      <c r="AF41" s="1"/>
      <c r="AG41" s="9" t="s">
        <v>127</v>
      </c>
      <c r="AH41" s="1"/>
      <c r="AI41" s="17">
        <v>46149</v>
      </c>
      <c r="AJ41" s="339">
        <v>46150</v>
      </c>
      <c r="AK41" s="17">
        <v>46142</v>
      </c>
      <c r="AL41" s="17">
        <v>46114</v>
      </c>
      <c r="AM41" s="17">
        <v>46107</v>
      </c>
      <c r="AN41" s="17">
        <v>46099</v>
      </c>
      <c r="AO41" s="294">
        <v>46065</v>
      </c>
      <c r="AP41" s="17">
        <v>46092</v>
      </c>
      <c r="AQ41" s="17">
        <v>46084</v>
      </c>
      <c r="AR41" s="294">
        <v>46065</v>
      </c>
      <c r="AS41" s="292">
        <v>46045</v>
      </c>
      <c r="AT41" s="17">
        <v>46077</v>
      </c>
      <c r="AU41" s="17">
        <v>46071</v>
      </c>
      <c r="AV41" s="17">
        <v>46056</v>
      </c>
      <c r="AW41" s="17">
        <v>46048</v>
      </c>
      <c r="AX41" s="17">
        <v>46043</v>
      </c>
      <c r="AY41" s="17">
        <v>46035</v>
      </c>
      <c r="AZ41" s="17">
        <v>46029</v>
      </c>
      <c r="BA41" s="17">
        <v>46035</v>
      </c>
      <c r="BB41" s="17">
        <v>46029</v>
      </c>
      <c r="BC41" s="17">
        <v>46024</v>
      </c>
      <c r="BD41" s="17">
        <v>46007</v>
      </c>
      <c r="BE41" s="17">
        <v>46001</v>
      </c>
      <c r="BF41" s="17">
        <v>46001</v>
      </c>
      <c r="BG41" s="17">
        <v>45994</v>
      </c>
      <c r="BH41" s="17">
        <v>45986</v>
      </c>
      <c r="BI41" s="17">
        <v>45986</v>
      </c>
      <c r="BJ41" s="17">
        <v>45980</v>
      </c>
    </row>
    <row r="42" spans="1:62" x14ac:dyDescent="0.3">
      <c r="A42" s="25" t="s">
        <v>440</v>
      </c>
      <c r="B42" s="6">
        <v>25</v>
      </c>
      <c r="C42" s="66">
        <v>41.75</v>
      </c>
      <c r="D42" s="234">
        <v>10</v>
      </c>
      <c r="F42" s="72">
        <v>10</v>
      </c>
      <c r="G42" s="72">
        <v>6</v>
      </c>
      <c r="H42" s="72">
        <v>6</v>
      </c>
      <c r="I42" s="72">
        <v>6</v>
      </c>
      <c r="J42" s="72">
        <v>4</v>
      </c>
      <c r="K42" s="72">
        <v>4</v>
      </c>
      <c r="L42" s="72">
        <v>4</v>
      </c>
      <c r="M42" s="72">
        <v>4</v>
      </c>
      <c r="N42" s="72">
        <v>4</v>
      </c>
      <c r="O42" s="72">
        <v>4</v>
      </c>
      <c r="P42" s="72">
        <v>4</v>
      </c>
      <c r="Q42" s="72">
        <v>4</v>
      </c>
      <c r="R42" s="72">
        <v>4</v>
      </c>
      <c r="S42" s="72">
        <v>4</v>
      </c>
      <c r="T42" s="72">
        <v>3</v>
      </c>
      <c r="U42" s="72">
        <v>3</v>
      </c>
      <c r="V42" s="72"/>
      <c r="W42" s="72"/>
      <c r="X42" s="72"/>
      <c r="Y42" s="72"/>
      <c r="Z42" s="72"/>
      <c r="AA42" s="72">
        <v>0</v>
      </c>
      <c r="AB42" s="372">
        <f ca="1">Z42+IF(NOT(ISBLANK(OFFSET(AB42,0,6))),N(OFFSET(AB42,0,6)),N(OFFSET(AB42,0,7)))-AA42</f>
        <v>0</v>
      </c>
      <c r="AD42" s="78"/>
      <c r="AE42" s="78"/>
      <c r="AF42" s="1"/>
      <c r="AG42" s="32"/>
      <c r="AH42" s="1"/>
      <c r="AI42" s="19">
        <v>0</v>
      </c>
      <c r="AJ42" s="19"/>
      <c r="AK42" s="19">
        <v>0</v>
      </c>
      <c r="AL42" s="19">
        <v>0</v>
      </c>
      <c r="AM42" s="19"/>
      <c r="AN42" s="19"/>
      <c r="AO42" s="19"/>
      <c r="AP42" s="19"/>
      <c r="AQ42" s="19"/>
      <c r="AR42" s="19"/>
      <c r="AS42" s="293">
        <v>200</v>
      </c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</row>
    <row r="43" spans="1:62" x14ac:dyDescent="0.3">
      <c r="A43" s="25" t="s">
        <v>441</v>
      </c>
      <c r="B43" s="6">
        <v>25</v>
      </c>
      <c r="C43" s="66">
        <v>57</v>
      </c>
      <c r="D43" s="234">
        <v>10</v>
      </c>
      <c r="F43" s="72">
        <v>8</v>
      </c>
      <c r="G43" s="72">
        <v>8</v>
      </c>
      <c r="H43" s="72">
        <v>8</v>
      </c>
      <c r="I43" s="72">
        <v>8</v>
      </c>
      <c r="J43" s="72">
        <v>8</v>
      </c>
      <c r="K43" s="72">
        <v>8</v>
      </c>
      <c r="L43" s="72">
        <v>8</v>
      </c>
      <c r="M43" s="72">
        <v>8</v>
      </c>
      <c r="N43" s="72">
        <v>8</v>
      </c>
      <c r="O43" s="72">
        <v>8</v>
      </c>
      <c r="P43" s="72">
        <v>8</v>
      </c>
      <c r="Q43" s="72">
        <v>8</v>
      </c>
      <c r="R43" s="72">
        <v>8</v>
      </c>
      <c r="S43" s="72">
        <v>8</v>
      </c>
      <c r="T43" s="72">
        <v>8</v>
      </c>
      <c r="U43" s="72">
        <v>8</v>
      </c>
      <c r="V43" s="72"/>
      <c r="W43" s="72"/>
      <c r="X43" s="72"/>
      <c r="Y43" s="72"/>
      <c r="Z43" s="72"/>
      <c r="AA43" s="72">
        <v>8</v>
      </c>
      <c r="AB43" s="372">
        <f ca="1">Z43+IF(NOT(ISBLANK(OFFSET(AB43,0,6))),N(OFFSET(AB43,0,6)),N(OFFSET(AB43,0,7)))-AA43</f>
        <v>-8</v>
      </c>
      <c r="AD43" s="78" t="s">
        <v>538</v>
      </c>
      <c r="AE43" s="78"/>
      <c r="AF43" s="1"/>
      <c r="AG43" s="32"/>
      <c r="AH43" s="1"/>
      <c r="AI43" s="19">
        <v>0</v>
      </c>
      <c r="AJ43" s="19"/>
      <c r="AK43" s="19">
        <v>0</v>
      </c>
      <c r="AL43" s="19">
        <v>0</v>
      </c>
      <c r="AM43" s="19"/>
      <c r="AN43" s="19"/>
      <c r="AO43" s="19"/>
      <c r="AP43" s="19"/>
      <c r="AQ43" s="19"/>
      <c r="AR43" s="244">
        <v>150</v>
      </c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</row>
    <row r="44" spans="1:62" x14ac:dyDescent="0.3">
      <c r="A44" s="23"/>
      <c r="B44" s="1"/>
      <c r="C44" s="64"/>
      <c r="D44" s="64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D44" s="10"/>
      <c r="AE44" s="10"/>
      <c r="AF44" s="1"/>
      <c r="AG44" s="33"/>
      <c r="AH44" s="1"/>
      <c r="AI44" s="75"/>
      <c r="AJ44" s="75"/>
      <c r="AK44" s="75"/>
      <c r="AL44" s="75"/>
      <c r="AM44" s="75"/>
      <c r="AN44" s="75"/>
      <c r="AO44" s="75"/>
      <c r="AP44" s="75"/>
      <c r="AQ44" s="75"/>
      <c r="AR44" s="75"/>
      <c r="AS44" s="75"/>
      <c r="AT44" s="75"/>
      <c r="AU44" s="75"/>
      <c r="AV44" s="75"/>
      <c r="AW44" s="75"/>
      <c r="AX44" s="75"/>
      <c r="AY44" s="75"/>
      <c r="AZ44" s="75"/>
      <c r="BA44" s="75"/>
      <c r="BB44" s="75"/>
      <c r="BC44" s="75"/>
      <c r="BD44" s="75"/>
      <c r="BE44" s="75"/>
      <c r="BF44" s="75"/>
      <c r="BG44" s="75"/>
      <c r="BH44" s="75"/>
      <c r="BI44" s="75"/>
      <c r="BJ44" s="75"/>
    </row>
    <row r="45" spans="1:62" x14ac:dyDescent="0.3">
      <c r="A45" s="143" t="s">
        <v>442</v>
      </c>
      <c r="B45" s="144"/>
      <c r="C45" s="144"/>
      <c r="D45" s="144"/>
      <c r="E45" s="1"/>
      <c r="F45" s="13">
        <v>46006</v>
      </c>
      <c r="G45" s="13">
        <v>46013</v>
      </c>
      <c r="H45" s="13">
        <v>46020</v>
      </c>
      <c r="I45" s="13">
        <v>46027</v>
      </c>
      <c r="J45" s="13">
        <v>46034</v>
      </c>
      <c r="K45" s="13">
        <v>46041</v>
      </c>
      <c r="L45" s="13">
        <v>46048</v>
      </c>
      <c r="M45" s="13">
        <v>46055</v>
      </c>
      <c r="N45" s="13">
        <v>46062</v>
      </c>
      <c r="O45" s="13">
        <v>46069</v>
      </c>
      <c r="P45" s="13">
        <v>46076</v>
      </c>
      <c r="Q45" s="13">
        <v>46083</v>
      </c>
      <c r="R45" s="13">
        <v>46090</v>
      </c>
      <c r="S45" s="13">
        <v>46097</v>
      </c>
      <c r="T45" s="13">
        <v>46104</v>
      </c>
      <c r="U45" s="13">
        <v>46111</v>
      </c>
      <c r="V45" s="13">
        <v>46118</v>
      </c>
      <c r="W45" s="13">
        <v>46125</v>
      </c>
      <c r="X45" s="13">
        <v>46132</v>
      </c>
      <c r="Y45" s="13">
        <v>46139</v>
      </c>
      <c r="Z45" s="13">
        <v>46146</v>
      </c>
      <c r="AA45" s="13">
        <v>46154</v>
      </c>
      <c r="AB45" s="35" t="s">
        <v>129</v>
      </c>
      <c r="AC45" s="41"/>
      <c r="AD45" s="29" t="s">
        <v>126</v>
      </c>
      <c r="AE45" s="29" t="s">
        <v>126</v>
      </c>
      <c r="AG45" s="9" t="s">
        <v>127</v>
      </c>
      <c r="AH45" s="41"/>
      <c r="AI45" s="17">
        <v>46149</v>
      </c>
      <c r="AJ45" s="339">
        <v>46150</v>
      </c>
      <c r="AK45" s="17">
        <v>46142</v>
      </c>
      <c r="AL45" s="17">
        <v>46114</v>
      </c>
      <c r="AM45" s="17">
        <v>46107</v>
      </c>
      <c r="AN45" s="17">
        <v>46099</v>
      </c>
      <c r="AO45" s="294">
        <v>46065</v>
      </c>
      <c r="AP45" s="17">
        <v>46092</v>
      </c>
      <c r="AQ45" s="17">
        <v>46084</v>
      </c>
      <c r="AR45" s="294">
        <v>46065</v>
      </c>
      <c r="AS45" s="292">
        <v>46045</v>
      </c>
      <c r="AT45" s="17">
        <v>46077</v>
      </c>
      <c r="AU45" s="17">
        <v>46071</v>
      </c>
      <c r="AV45" s="17">
        <v>46056</v>
      </c>
      <c r="AW45" s="17">
        <v>46048</v>
      </c>
      <c r="AX45" s="17">
        <v>46043</v>
      </c>
      <c r="AY45" s="17">
        <v>46035</v>
      </c>
      <c r="AZ45" s="17">
        <v>46029</v>
      </c>
      <c r="BA45" s="17">
        <v>46035</v>
      </c>
      <c r="BB45" s="17">
        <v>46029</v>
      </c>
      <c r="BC45" s="17">
        <v>46024</v>
      </c>
      <c r="BD45" s="17">
        <v>46007</v>
      </c>
      <c r="BE45" s="17">
        <v>46001</v>
      </c>
      <c r="BF45" s="17">
        <v>46001</v>
      </c>
      <c r="BG45" s="17">
        <v>45994</v>
      </c>
      <c r="BH45" s="17">
        <v>45986</v>
      </c>
      <c r="BI45" s="17">
        <v>45986</v>
      </c>
      <c r="BJ45" s="17">
        <v>45980</v>
      </c>
    </row>
    <row r="46" spans="1:62" x14ac:dyDescent="0.3">
      <c r="A46" s="25" t="s">
        <v>443</v>
      </c>
      <c r="B46" s="72">
        <v>150</v>
      </c>
      <c r="C46" s="77">
        <v>453.38</v>
      </c>
      <c r="D46" s="234">
        <v>10</v>
      </c>
      <c r="E46" s="41"/>
      <c r="F46" s="72">
        <v>0</v>
      </c>
      <c r="G46" s="72">
        <v>0</v>
      </c>
      <c r="H46" s="72">
        <v>0</v>
      </c>
      <c r="I46" s="72">
        <v>0</v>
      </c>
      <c r="J46" s="72">
        <v>0</v>
      </c>
      <c r="K46" s="72">
        <v>0</v>
      </c>
      <c r="L46" s="72">
        <v>0</v>
      </c>
      <c r="M46" s="72">
        <v>0</v>
      </c>
      <c r="N46" s="72">
        <v>0</v>
      </c>
      <c r="O46" s="72">
        <v>0</v>
      </c>
      <c r="P46" s="72">
        <v>0</v>
      </c>
      <c r="Q46" s="72">
        <v>0</v>
      </c>
      <c r="R46" s="72">
        <v>0</v>
      </c>
      <c r="S46" s="72">
        <v>0</v>
      </c>
      <c r="T46" s="72">
        <v>0</v>
      </c>
      <c r="U46" s="72">
        <v>0</v>
      </c>
      <c r="V46" s="72"/>
      <c r="W46" s="72"/>
      <c r="X46" s="72"/>
      <c r="Y46" s="72"/>
      <c r="Z46" s="72"/>
      <c r="AA46" s="72">
        <v>0</v>
      </c>
      <c r="AB46" s="372">
        <f t="shared" ref="AB46:AB52" ca="1" si="1">Z46+IF(NOT(ISBLANK(OFFSET(AB46,0,6))),N(OFFSET(AB46,0,6)),N(OFFSET(AB46,0,7)))-AA46</f>
        <v>0</v>
      </c>
      <c r="AC46" s="41"/>
      <c r="AD46" s="78" t="s">
        <v>539</v>
      </c>
      <c r="AE46" s="134"/>
      <c r="AF46" s="1"/>
      <c r="AG46" s="32"/>
      <c r="AH46" s="41"/>
      <c r="AI46" s="19">
        <v>0</v>
      </c>
      <c r="AJ46" s="19"/>
      <c r="AK46" s="19">
        <v>0</v>
      </c>
      <c r="AL46" s="19">
        <v>0</v>
      </c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</row>
    <row r="47" spans="1:62" x14ac:dyDescent="0.3">
      <c r="A47" s="25" t="s">
        <v>444</v>
      </c>
      <c r="B47" s="72">
        <v>100</v>
      </c>
      <c r="C47" s="77">
        <v>355.78</v>
      </c>
      <c r="D47" s="234">
        <v>10</v>
      </c>
      <c r="E47" s="41"/>
      <c r="F47" s="72">
        <v>3</v>
      </c>
      <c r="G47" s="72">
        <v>2</v>
      </c>
      <c r="H47" s="72">
        <v>2</v>
      </c>
      <c r="I47" s="72">
        <v>2</v>
      </c>
      <c r="J47" s="72">
        <v>2</v>
      </c>
      <c r="K47" s="72">
        <v>2</v>
      </c>
      <c r="L47" s="72">
        <v>2</v>
      </c>
      <c r="M47" s="72">
        <v>2</v>
      </c>
      <c r="N47" s="72">
        <v>2</v>
      </c>
      <c r="O47" s="72">
        <v>2</v>
      </c>
      <c r="P47" s="72">
        <v>1</v>
      </c>
      <c r="Q47" s="72">
        <v>0</v>
      </c>
      <c r="R47" s="72">
        <v>0</v>
      </c>
      <c r="S47" s="72">
        <v>0</v>
      </c>
      <c r="T47" s="72">
        <v>0</v>
      </c>
      <c r="U47" s="72">
        <v>0</v>
      </c>
      <c r="V47" s="72"/>
      <c r="W47" s="72"/>
      <c r="X47" s="72"/>
      <c r="Y47" s="72"/>
      <c r="Z47" s="72"/>
      <c r="AA47" s="72">
        <v>0</v>
      </c>
      <c r="AB47" s="372">
        <f t="shared" ca="1" si="1"/>
        <v>0</v>
      </c>
      <c r="AC47" s="41"/>
      <c r="AD47" s="78"/>
      <c r="AE47" s="78"/>
      <c r="AF47" s="1"/>
      <c r="AG47" s="32"/>
      <c r="AH47" s="41"/>
      <c r="AI47" s="19">
        <v>0</v>
      </c>
      <c r="AJ47" s="19"/>
      <c r="AK47" s="19">
        <v>0</v>
      </c>
      <c r="AL47" s="19">
        <v>0</v>
      </c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</row>
    <row r="48" spans="1:62" x14ac:dyDescent="0.3">
      <c r="A48" s="25" t="s">
        <v>445</v>
      </c>
      <c r="B48" s="72">
        <v>50</v>
      </c>
      <c r="C48" s="77">
        <v>249.26</v>
      </c>
      <c r="D48" s="234">
        <v>10</v>
      </c>
      <c r="E48" s="41"/>
      <c r="F48" s="72">
        <v>8</v>
      </c>
      <c r="G48" s="72">
        <v>8</v>
      </c>
      <c r="H48" s="72">
        <v>8</v>
      </c>
      <c r="I48" s="72">
        <v>8</v>
      </c>
      <c r="J48" s="72">
        <v>7</v>
      </c>
      <c r="K48" s="72">
        <v>7</v>
      </c>
      <c r="L48" s="72">
        <v>7</v>
      </c>
      <c r="M48" s="72">
        <v>7</v>
      </c>
      <c r="N48" s="72">
        <v>7</v>
      </c>
      <c r="O48" s="72">
        <v>7</v>
      </c>
      <c r="P48" s="72">
        <v>7</v>
      </c>
      <c r="Q48" s="72">
        <v>7</v>
      </c>
      <c r="R48" s="72">
        <v>7</v>
      </c>
      <c r="S48" s="72">
        <v>7</v>
      </c>
      <c r="T48" s="72">
        <v>2</v>
      </c>
      <c r="U48" s="72">
        <v>2</v>
      </c>
      <c r="V48" s="72"/>
      <c r="W48" s="72"/>
      <c r="X48" s="72"/>
      <c r="Y48" s="72"/>
      <c r="Z48" s="72"/>
      <c r="AA48" s="72">
        <v>0</v>
      </c>
      <c r="AB48" s="372">
        <f t="shared" ca="1" si="1"/>
        <v>0</v>
      </c>
      <c r="AC48" s="41"/>
      <c r="AD48" s="134"/>
      <c r="AE48" s="134"/>
      <c r="AF48" s="3"/>
      <c r="AG48" s="32"/>
      <c r="AH48" s="41"/>
      <c r="AI48" s="19">
        <v>0</v>
      </c>
      <c r="AJ48" s="19"/>
      <c r="AK48" s="19">
        <v>0</v>
      </c>
      <c r="AL48" s="19">
        <v>0</v>
      </c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</row>
    <row r="49" spans="1:62" x14ac:dyDescent="0.3">
      <c r="A49" s="25" t="s">
        <v>513</v>
      </c>
      <c r="B49" s="6">
        <v>500</v>
      </c>
      <c r="C49" s="66">
        <v>138.53</v>
      </c>
      <c r="D49" s="234">
        <v>1</v>
      </c>
      <c r="E49" s="1"/>
      <c r="F49" s="72">
        <v>2</v>
      </c>
      <c r="G49" s="72">
        <v>2</v>
      </c>
      <c r="H49" s="72">
        <v>2</v>
      </c>
      <c r="I49" s="72">
        <v>2</v>
      </c>
      <c r="J49" s="72">
        <v>2</v>
      </c>
      <c r="K49" s="72">
        <v>2</v>
      </c>
      <c r="L49" s="72">
        <v>2</v>
      </c>
      <c r="M49" s="72">
        <v>2</v>
      </c>
      <c r="N49" s="72">
        <v>2</v>
      </c>
      <c r="O49" s="72">
        <v>2</v>
      </c>
      <c r="P49" s="72">
        <v>2</v>
      </c>
      <c r="Q49" s="72">
        <v>2</v>
      </c>
      <c r="R49" s="72">
        <v>2</v>
      </c>
      <c r="S49" s="72">
        <v>2</v>
      </c>
      <c r="T49" s="72">
        <v>2</v>
      </c>
      <c r="U49" s="72">
        <v>2</v>
      </c>
      <c r="V49" s="72">
        <v>2</v>
      </c>
      <c r="W49" s="72">
        <v>2</v>
      </c>
      <c r="X49" s="72">
        <v>2</v>
      </c>
      <c r="Y49" s="72">
        <v>2</v>
      </c>
      <c r="Z49" s="72">
        <v>2</v>
      </c>
      <c r="AA49" s="72">
        <v>2</v>
      </c>
      <c r="AB49" s="372">
        <f t="shared" ca="1" si="1"/>
        <v>0</v>
      </c>
      <c r="AC49" s="41"/>
      <c r="AD49" s="134"/>
      <c r="AE49" s="134"/>
      <c r="AF49" s="7"/>
      <c r="AG49" s="32"/>
      <c r="AH49" s="41"/>
      <c r="AI49" s="19">
        <v>0</v>
      </c>
      <c r="AJ49" s="19"/>
      <c r="AK49" s="19">
        <v>0</v>
      </c>
      <c r="AL49" s="19">
        <v>0</v>
      </c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</row>
    <row r="50" spans="1:62" x14ac:dyDescent="0.3">
      <c r="A50" s="25" t="s">
        <v>514</v>
      </c>
      <c r="B50" s="83">
        <v>1000</v>
      </c>
      <c r="C50" s="66">
        <v>181.15</v>
      </c>
      <c r="D50" s="234">
        <v>1</v>
      </c>
      <c r="E50" s="1"/>
      <c r="F50" s="72">
        <v>1</v>
      </c>
      <c r="G50" s="72">
        <v>1</v>
      </c>
      <c r="H50" s="72">
        <v>1</v>
      </c>
      <c r="I50" s="72">
        <v>1</v>
      </c>
      <c r="J50" s="72">
        <v>1</v>
      </c>
      <c r="K50" s="72">
        <v>1</v>
      </c>
      <c r="L50" s="72">
        <v>1</v>
      </c>
      <c r="M50" s="72">
        <v>1</v>
      </c>
      <c r="N50" s="72">
        <v>1</v>
      </c>
      <c r="O50" s="72">
        <v>1</v>
      </c>
      <c r="P50" s="72">
        <v>1</v>
      </c>
      <c r="Q50" s="72">
        <v>1</v>
      </c>
      <c r="R50" s="72">
        <v>1</v>
      </c>
      <c r="S50" s="72">
        <v>1</v>
      </c>
      <c r="T50" s="72">
        <v>1</v>
      </c>
      <c r="U50" s="72">
        <v>1</v>
      </c>
      <c r="V50" s="72">
        <v>1</v>
      </c>
      <c r="W50" s="72">
        <v>1</v>
      </c>
      <c r="X50" s="72">
        <v>1</v>
      </c>
      <c r="Y50" s="72">
        <v>1</v>
      </c>
      <c r="Z50" s="72">
        <v>1</v>
      </c>
      <c r="AA50" s="72">
        <v>1</v>
      </c>
      <c r="AB50" s="372">
        <f t="shared" ca="1" si="1"/>
        <v>0</v>
      </c>
      <c r="AC50" s="41"/>
      <c r="AD50" s="78"/>
      <c r="AE50" s="78"/>
      <c r="AF50" s="7"/>
      <c r="AG50" s="32"/>
      <c r="AH50" s="41"/>
      <c r="AI50" s="19">
        <v>0</v>
      </c>
      <c r="AJ50" s="19"/>
      <c r="AK50" s="19">
        <v>0</v>
      </c>
      <c r="AL50" s="19">
        <v>0</v>
      </c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</row>
    <row r="51" spans="1:62" x14ac:dyDescent="0.3">
      <c r="A51" s="25" t="s">
        <v>515</v>
      </c>
      <c r="B51" s="6">
        <v>3000</v>
      </c>
      <c r="C51" s="66">
        <v>223.78</v>
      </c>
      <c r="D51" s="234">
        <v>1</v>
      </c>
      <c r="E51" s="1"/>
      <c r="F51" s="72">
        <v>2</v>
      </c>
      <c r="G51" s="72">
        <v>2</v>
      </c>
      <c r="H51" s="72">
        <v>2</v>
      </c>
      <c r="I51" s="72">
        <v>2</v>
      </c>
      <c r="J51" s="72">
        <v>2</v>
      </c>
      <c r="K51" s="72">
        <v>2</v>
      </c>
      <c r="L51" s="72">
        <v>2</v>
      </c>
      <c r="M51" s="72">
        <v>2</v>
      </c>
      <c r="N51" s="72">
        <v>2</v>
      </c>
      <c r="O51" s="72">
        <v>2</v>
      </c>
      <c r="P51" s="72">
        <v>2</v>
      </c>
      <c r="Q51" s="72">
        <v>2</v>
      </c>
      <c r="R51" s="72">
        <v>2</v>
      </c>
      <c r="S51" s="72">
        <v>2</v>
      </c>
      <c r="T51" s="72">
        <v>2</v>
      </c>
      <c r="U51" s="72">
        <v>2</v>
      </c>
      <c r="V51" s="72">
        <v>2</v>
      </c>
      <c r="W51" s="72">
        <v>2</v>
      </c>
      <c r="X51" s="72">
        <v>2</v>
      </c>
      <c r="Y51" s="72">
        <v>2</v>
      </c>
      <c r="Z51" s="72">
        <v>2</v>
      </c>
      <c r="AA51" s="72">
        <v>2</v>
      </c>
      <c r="AB51" s="372">
        <f t="shared" ca="1" si="1"/>
        <v>0</v>
      </c>
      <c r="AC51" s="41"/>
      <c r="AD51" s="134"/>
      <c r="AE51" s="134"/>
      <c r="AF51" s="7"/>
      <c r="AG51" s="32"/>
      <c r="AH51" s="41"/>
      <c r="AI51" s="19">
        <v>0</v>
      </c>
      <c r="AJ51" s="19"/>
      <c r="AK51" s="19">
        <v>0</v>
      </c>
      <c r="AL51" s="19">
        <v>0</v>
      </c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</row>
    <row r="52" spans="1:62" x14ac:dyDescent="0.3">
      <c r="A52" s="25" t="s">
        <v>446</v>
      </c>
      <c r="B52" s="6">
        <v>200</v>
      </c>
      <c r="C52" s="66">
        <v>249.78</v>
      </c>
      <c r="D52" s="234">
        <v>50</v>
      </c>
      <c r="E52" s="1"/>
      <c r="F52" s="72">
        <v>0</v>
      </c>
      <c r="G52" s="72">
        <v>400</v>
      </c>
      <c r="H52" s="72">
        <v>400</v>
      </c>
      <c r="I52" s="72">
        <v>400</v>
      </c>
      <c r="J52" s="72">
        <v>400</v>
      </c>
      <c r="K52" s="72">
        <v>400</v>
      </c>
      <c r="L52" s="72">
        <v>400</v>
      </c>
      <c r="M52" s="72">
        <v>400</v>
      </c>
      <c r="N52" s="72">
        <v>400</v>
      </c>
      <c r="O52" s="72">
        <v>400</v>
      </c>
      <c r="P52" s="72">
        <v>400</v>
      </c>
      <c r="Q52" s="72">
        <v>400</v>
      </c>
      <c r="R52" s="72">
        <v>200</v>
      </c>
      <c r="S52" s="72">
        <v>200</v>
      </c>
      <c r="T52" s="72">
        <v>200</v>
      </c>
      <c r="U52" s="72">
        <v>200</v>
      </c>
      <c r="V52" s="72">
        <v>200</v>
      </c>
      <c r="W52" s="72">
        <v>200</v>
      </c>
      <c r="X52" s="72">
        <v>200</v>
      </c>
      <c r="Y52" s="72">
        <v>200</v>
      </c>
      <c r="Z52" s="72">
        <v>200</v>
      </c>
      <c r="AA52" s="72">
        <v>200</v>
      </c>
      <c r="AB52" s="372">
        <f t="shared" ca="1" si="1"/>
        <v>0</v>
      </c>
      <c r="AC52" s="41"/>
      <c r="AD52" s="134"/>
      <c r="AE52" s="134"/>
      <c r="AF52" s="7"/>
      <c r="AG52" s="32"/>
      <c r="AH52" s="41"/>
      <c r="AI52" s="19">
        <v>0</v>
      </c>
      <c r="AJ52" s="19"/>
      <c r="AK52" s="19">
        <v>0</v>
      </c>
      <c r="AL52" s="19">
        <v>0</v>
      </c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>
        <v>400</v>
      </c>
      <c r="BF52" s="19"/>
      <c r="BG52" s="19"/>
      <c r="BH52" s="19"/>
      <c r="BI52" s="19"/>
      <c r="BJ52" s="19"/>
    </row>
    <row r="53" spans="1:62" x14ac:dyDescent="0.3">
      <c r="B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C53" s="41"/>
      <c r="AF53" s="41"/>
      <c r="AH53" s="41"/>
    </row>
    <row r="54" spans="1:62" x14ac:dyDescent="0.3">
      <c r="A54" s="143" t="s">
        <v>447</v>
      </c>
      <c r="B54" s="144"/>
      <c r="C54" s="144"/>
      <c r="D54" s="144"/>
      <c r="E54" s="1"/>
      <c r="F54" s="13">
        <v>46006</v>
      </c>
      <c r="G54" s="13">
        <v>46013</v>
      </c>
      <c r="H54" s="13">
        <v>46020</v>
      </c>
      <c r="I54" s="13">
        <v>46027</v>
      </c>
      <c r="J54" s="13">
        <v>46034</v>
      </c>
      <c r="K54" s="13">
        <v>46041</v>
      </c>
      <c r="L54" s="13">
        <v>46048</v>
      </c>
      <c r="M54" s="13">
        <v>46055</v>
      </c>
      <c r="N54" s="13">
        <v>46062</v>
      </c>
      <c r="O54" s="13">
        <v>46069</v>
      </c>
      <c r="P54" s="13">
        <v>46076</v>
      </c>
      <c r="Q54" s="13">
        <v>46083</v>
      </c>
      <c r="R54" s="13">
        <v>46090</v>
      </c>
      <c r="S54" s="13">
        <v>46097</v>
      </c>
      <c r="T54" s="13">
        <v>46104</v>
      </c>
      <c r="U54" s="13">
        <v>46111</v>
      </c>
      <c r="V54" s="13">
        <v>46118</v>
      </c>
      <c r="W54" s="13">
        <v>46125</v>
      </c>
      <c r="X54" s="13">
        <v>46132</v>
      </c>
      <c r="Y54" s="13">
        <v>46139</v>
      </c>
      <c r="Z54" s="13">
        <v>46146</v>
      </c>
      <c r="AA54" s="13">
        <v>46154</v>
      </c>
      <c r="AB54" s="35" t="s">
        <v>129</v>
      </c>
      <c r="AC54" s="41"/>
      <c r="AD54" s="29" t="s">
        <v>126</v>
      </c>
      <c r="AE54" s="29" t="s">
        <v>126</v>
      </c>
      <c r="AG54" s="9" t="s">
        <v>127</v>
      </c>
      <c r="AH54" s="41"/>
      <c r="AI54" s="17">
        <v>46149</v>
      </c>
      <c r="AJ54" s="339">
        <v>46150</v>
      </c>
      <c r="AK54" s="17">
        <v>46142</v>
      </c>
      <c r="AL54" s="17">
        <v>46114</v>
      </c>
      <c r="AM54" s="17">
        <v>46107</v>
      </c>
      <c r="AN54" s="17">
        <v>46099</v>
      </c>
      <c r="AO54" s="294">
        <v>46065</v>
      </c>
      <c r="AP54" s="17">
        <v>46092</v>
      </c>
      <c r="AQ54" s="17">
        <v>46084</v>
      </c>
      <c r="AR54" s="294">
        <v>46065</v>
      </c>
      <c r="AS54" s="292">
        <v>46045</v>
      </c>
      <c r="AT54" s="17">
        <v>46077</v>
      </c>
      <c r="AU54" s="17">
        <v>46071</v>
      </c>
      <c r="AV54" s="17">
        <v>46056</v>
      </c>
      <c r="AW54" s="17">
        <v>46048</v>
      </c>
      <c r="AX54" s="17">
        <v>46043</v>
      </c>
      <c r="AY54" s="17">
        <v>46035</v>
      </c>
      <c r="AZ54" s="17">
        <v>46029</v>
      </c>
      <c r="BA54" s="17">
        <v>46035</v>
      </c>
      <c r="BB54" s="17">
        <v>46029</v>
      </c>
      <c r="BC54" s="17">
        <v>46024</v>
      </c>
      <c r="BD54" s="17">
        <v>46007</v>
      </c>
      <c r="BE54" s="17">
        <v>46001</v>
      </c>
      <c r="BF54" s="17">
        <v>46001</v>
      </c>
      <c r="BG54" s="17">
        <v>45994</v>
      </c>
      <c r="BH54" s="17">
        <v>45986</v>
      </c>
      <c r="BI54" s="17">
        <v>45986</v>
      </c>
      <c r="BJ54" s="17">
        <v>45980</v>
      </c>
    </row>
    <row r="55" spans="1:62" x14ac:dyDescent="0.3">
      <c r="A55" s="25" t="s">
        <v>448</v>
      </c>
      <c r="B55" s="72">
        <v>100</v>
      </c>
      <c r="C55" s="77">
        <v>539.70000000000005</v>
      </c>
      <c r="D55" s="234">
        <v>15</v>
      </c>
      <c r="E55" s="41"/>
      <c r="F55" s="72">
        <v>28</v>
      </c>
      <c r="G55" s="72">
        <v>28</v>
      </c>
      <c r="H55" s="72">
        <v>28</v>
      </c>
      <c r="I55" s="72">
        <v>28</v>
      </c>
      <c r="J55" s="72">
        <v>28</v>
      </c>
      <c r="K55" s="72">
        <v>29</v>
      </c>
      <c r="L55" s="72">
        <v>29</v>
      </c>
      <c r="M55" s="72">
        <v>29</v>
      </c>
      <c r="N55" s="72">
        <v>29</v>
      </c>
      <c r="O55" s="72">
        <v>29</v>
      </c>
      <c r="P55" s="72">
        <v>29</v>
      </c>
      <c r="Q55" s="72">
        <v>29</v>
      </c>
      <c r="R55" s="72">
        <v>29</v>
      </c>
      <c r="S55" s="72">
        <v>29</v>
      </c>
      <c r="T55" s="72">
        <v>27</v>
      </c>
      <c r="U55" s="72">
        <v>26</v>
      </c>
      <c r="V55" s="72"/>
      <c r="W55" s="72"/>
      <c r="X55" s="72"/>
      <c r="Y55" s="72"/>
      <c r="Z55" s="72"/>
      <c r="AA55" s="72">
        <v>21</v>
      </c>
      <c r="AB55" s="372">
        <f ca="1">Z55+IF(NOT(ISBLANK(OFFSET(AB55,0,6))),N(OFFSET(AB55,0,6)),N(OFFSET(AB55,0,7)))-AA55</f>
        <v>-21</v>
      </c>
      <c r="AC55" s="41"/>
      <c r="AD55" s="134"/>
      <c r="AE55" s="134"/>
      <c r="AF55" s="7"/>
      <c r="AG55" s="32"/>
      <c r="AH55" s="41"/>
      <c r="AI55" s="19">
        <v>0</v>
      </c>
      <c r="AJ55" s="19"/>
      <c r="AK55" s="19">
        <v>0</v>
      </c>
      <c r="AL55" s="19">
        <v>0</v>
      </c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</row>
    <row r="56" spans="1:62" x14ac:dyDescent="0.3">
      <c r="A56" s="25" t="s">
        <v>449</v>
      </c>
      <c r="B56" s="72">
        <v>100</v>
      </c>
      <c r="C56" s="77">
        <v>652.04999999999995</v>
      </c>
      <c r="D56" s="234">
        <v>25</v>
      </c>
      <c r="E56" s="41"/>
      <c r="F56" s="72">
        <v>0</v>
      </c>
      <c r="G56" s="72">
        <v>0</v>
      </c>
      <c r="H56" s="72">
        <v>0</v>
      </c>
      <c r="I56" s="72">
        <v>0</v>
      </c>
      <c r="J56" s="72">
        <v>0</v>
      </c>
      <c r="K56" s="72">
        <v>1</v>
      </c>
      <c r="L56" s="72">
        <v>1</v>
      </c>
      <c r="M56" s="72">
        <v>1</v>
      </c>
      <c r="N56" s="72">
        <v>1</v>
      </c>
      <c r="O56" s="72">
        <v>1</v>
      </c>
      <c r="P56" s="72">
        <v>2</v>
      </c>
      <c r="Q56" s="72">
        <v>2</v>
      </c>
      <c r="R56" s="72">
        <v>2</v>
      </c>
      <c r="S56" s="72">
        <v>2</v>
      </c>
      <c r="T56" s="72">
        <v>1</v>
      </c>
      <c r="U56" s="72">
        <v>1</v>
      </c>
      <c r="V56" s="72"/>
      <c r="W56" s="72"/>
      <c r="X56" s="72"/>
      <c r="Y56" s="72"/>
      <c r="Z56" s="72"/>
      <c r="AA56" s="72">
        <v>1</v>
      </c>
      <c r="AB56" s="372">
        <f ca="1">Z56+IF(NOT(ISBLANK(OFFSET(AB56,0,6))),N(OFFSET(AB56,0,6)),N(OFFSET(AB56,0,7)))-AA56</f>
        <v>-1</v>
      </c>
      <c r="AC56" s="41"/>
      <c r="AD56" s="134"/>
      <c r="AE56" s="134"/>
      <c r="AF56" s="1"/>
      <c r="AG56" s="32"/>
      <c r="AH56" s="41"/>
      <c r="AI56" s="19">
        <v>0</v>
      </c>
      <c r="AJ56" s="19"/>
      <c r="AK56" s="19">
        <v>0</v>
      </c>
      <c r="AL56" s="19">
        <v>0</v>
      </c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</row>
    <row r="57" spans="1:62" x14ac:dyDescent="0.3">
      <c r="A57" s="25" t="s">
        <v>450</v>
      </c>
      <c r="B57" s="72">
        <v>50</v>
      </c>
      <c r="C57" s="77">
        <v>567.53</v>
      </c>
      <c r="D57" s="234">
        <v>5</v>
      </c>
      <c r="E57" s="41"/>
      <c r="F57" s="72">
        <v>29</v>
      </c>
      <c r="G57" s="72">
        <v>29</v>
      </c>
      <c r="H57" s="72">
        <v>29</v>
      </c>
      <c r="I57" s="72">
        <v>29</v>
      </c>
      <c r="J57" s="72">
        <v>29</v>
      </c>
      <c r="K57" s="72">
        <v>28</v>
      </c>
      <c r="L57" s="72">
        <v>28</v>
      </c>
      <c r="M57" s="72">
        <v>28</v>
      </c>
      <c r="N57" s="72">
        <v>28</v>
      </c>
      <c r="O57" s="72">
        <v>28</v>
      </c>
      <c r="P57" s="72">
        <v>28</v>
      </c>
      <c r="Q57" s="72">
        <v>28</v>
      </c>
      <c r="R57" s="72">
        <v>28</v>
      </c>
      <c r="S57" s="72">
        <v>28</v>
      </c>
      <c r="T57" s="72">
        <v>28</v>
      </c>
      <c r="U57" s="72">
        <v>28</v>
      </c>
      <c r="V57" s="72"/>
      <c r="W57" s="72"/>
      <c r="X57" s="72"/>
      <c r="Y57" s="72"/>
      <c r="Z57" s="72"/>
      <c r="AA57" s="72">
        <v>28</v>
      </c>
      <c r="AB57" s="372">
        <f ca="1">Z57+IF(NOT(ISBLANK(OFFSET(AB57,0,6))),N(OFFSET(AB57,0,6)),N(OFFSET(AB57,0,7)))-AA57</f>
        <v>-28</v>
      </c>
      <c r="AC57" s="41"/>
      <c r="AD57" s="134"/>
      <c r="AE57" s="134"/>
      <c r="AF57" s="1"/>
      <c r="AG57" s="32"/>
      <c r="AH57" s="41"/>
      <c r="AI57" s="19">
        <v>0</v>
      </c>
      <c r="AJ57" s="19"/>
      <c r="AK57" s="19">
        <v>0</v>
      </c>
      <c r="AL57" s="19">
        <v>0</v>
      </c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</row>
    <row r="58" spans="1:62" x14ac:dyDescent="0.3">
      <c r="B58" s="41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F58" s="41"/>
      <c r="AH58" s="41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  <c r="AZ58" s="116"/>
      <c r="BA58" s="116"/>
      <c r="BB58" s="116"/>
      <c r="BC58" s="116"/>
      <c r="BD58" s="116"/>
      <c r="BE58" s="116"/>
      <c r="BF58" s="116"/>
      <c r="BG58" s="116"/>
      <c r="BH58" s="116"/>
      <c r="BI58" s="116"/>
      <c r="BJ58" s="116"/>
    </row>
    <row r="59" spans="1:62" x14ac:dyDescent="0.3">
      <c r="A59" s="145" t="s">
        <v>451</v>
      </c>
      <c r="B59" s="146"/>
      <c r="C59" s="146"/>
      <c r="D59" s="146"/>
      <c r="E59" s="1"/>
      <c r="F59" s="13">
        <v>46006</v>
      </c>
      <c r="G59" s="13">
        <v>46013</v>
      </c>
      <c r="H59" s="13">
        <v>46020</v>
      </c>
      <c r="I59" s="13">
        <v>46027</v>
      </c>
      <c r="J59" s="13">
        <v>46034</v>
      </c>
      <c r="K59" s="13">
        <v>46041</v>
      </c>
      <c r="L59" s="13">
        <v>46048</v>
      </c>
      <c r="M59" s="13">
        <v>46055</v>
      </c>
      <c r="N59" s="13">
        <v>46062</v>
      </c>
      <c r="O59" s="13">
        <v>46069</v>
      </c>
      <c r="P59" s="13">
        <v>46076</v>
      </c>
      <c r="Q59" s="13">
        <v>46083</v>
      </c>
      <c r="R59" s="13">
        <v>46090</v>
      </c>
      <c r="S59" s="13">
        <v>46097</v>
      </c>
      <c r="T59" s="13">
        <v>46104</v>
      </c>
      <c r="U59" s="13">
        <v>46111</v>
      </c>
      <c r="V59" s="13">
        <v>46118</v>
      </c>
      <c r="W59" s="13">
        <v>46125</v>
      </c>
      <c r="X59" s="13">
        <v>46132</v>
      </c>
      <c r="Y59" s="13">
        <v>46139</v>
      </c>
      <c r="Z59" s="13">
        <v>46146</v>
      </c>
      <c r="AA59" s="13">
        <v>46154</v>
      </c>
      <c r="AB59" s="35" t="s">
        <v>129</v>
      </c>
      <c r="AC59" s="41"/>
      <c r="AD59" s="29" t="s">
        <v>126</v>
      </c>
      <c r="AE59" s="29" t="s">
        <v>126</v>
      </c>
      <c r="AG59" s="9" t="s">
        <v>127</v>
      </c>
      <c r="AH59" s="41"/>
      <c r="AI59" s="17">
        <v>46149</v>
      </c>
      <c r="AJ59" s="339">
        <v>46150</v>
      </c>
      <c r="AK59" s="17">
        <v>46142</v>
      </c>
      <c r="AL59" s="17">
        <v>46114</v>
      </c>
      <c r="AM59" s="17">
        <v>46107</v>
      </c>
      <c r="AN59" s="17">
        <v>46099</v>
      </c>
      <c r="AO59" s="294">
        <v>46065</v>
      </c>
      <c r="AP59" s="17">
        <v>46092</v>
      </c>
      <c r="AQ59" s="17">
        <v>46084</v>
      </c>
      <c r="AR59" s="294">
        <v>46065</v>
      </c>
      <c r="AS59" s="292">
        <v>46045</v>
      </c>
      <c r="AT59" s="17">
        <v>46077</v>
      </c>
      <c r="AU59" s="17">
        <v>46071</v>
      </c>
      <c r="AV59" s="17">
        <v>46056</v>
      </c>
      <c r="AW59" s="17">
        <v>46048</v>
      </c>
      <c r="AX59" s="17">
        <v>46043</v>
      </c>
      <c r="AY59" s="17">
        <v>46035</v>
      </c>
      <c r="AZ59" s="17">
        <v>46029</v>
      </c>
      <c r="BA59" s="17">
        <v>46035</v>
      </c>
      <c r="BB59" s="17">
        <v>46029</v>
      </c>
      <c r="BC59" s="17">
        <v>46024</v>
      </c>
      <c r="BD59" s="17">
        <v>46007</v>
      </c>
      <c r="BE59" s="17">
        <v>46001</v>
      </c>
      <c r="BF59" s="17">
        <v>46001</v>
      </c>
      <c r="BG59" s="17">
        <v>45994</v>
      </c>
      <c r="BH59" s="17">
        <v>45986</v>
      </c>
      <c r="BI59" s="17">
        <v>45986</v>
      </c>
      <c r="BJ59" s="17">
        <v>45980</v>
      </c>
    </row>
    <row r="60" spans="1:62" x14ac:dyDescent="0.3">
      <c r="A60" s="25" t="s">
        <v>452</v>
      </c>
      <c r="B60" s="6">
        <v>300</v>
      </c>
      <c r="C60" s="66">
        <v>169.8</v>
      </c>
      <c r="D60" s="234">
        <v>50</v>
      </c>
      <c r="E60" s="1"/>
      <c r="F60" s="39">
        <v>0</v>
      </c>
      <c r="G60" s="39">
        <v>0</v>
      </c>
      <c r="H60" s="39">
        <v>0</v>
      </c>
      <c r="I60" s="39">
        <v>0</v>
      </c>
      <c r="J60" s="39">
        <v>0</v>
      </c>
      <c r="K60" s="39">
        <v>0</v>
      </c>
      <c r="L60" s="39">
        <v>0</v>
      </c>
      <c r="M60" s="39">
        <v>0</v>
      </c>
      <c r="N60" s="39">
        <v>0</v>
      </c>
      <c r="O60" s="39">
        <v>0</v>
      </c>
      <c r="P60" s="39">
        <v>0</v>
      </c>
      <c r="Q60" s="39">
        <v>0</v>
      </c>
      <c r="R60" s="39">
        <v>0</v>
      </c>
      <c r="S60" s="39">
        <v>0</v>
      </c>
      <c r="T60" s="39">
        <v>0</v>
      </c>
      <c r="U60" s="39">
        <v>0</v>
      </c>
      <c r="V60" s="39">
        <v>0</v>
      </c>
      <c r="W60" s="39">
        <v>0</v>
      </c>
      <c r="X60" s="39">
        <v>0</v>
      </c>
      <c r="Y60" s="39">
        <v>0</v>
      </c>
      <c r="Z60" s="39">
        <v>0</v>
      </c>
      <c r="AA60" s="39">
        <v>0</v>
      </c>
      <c r="AB60" s="372">
        <f t="shared" ref="AB60:AB69" ca="1" si="2">Z60+IF(NOT(ISBLANK(OFFSET(AB60,0,6))),N(OFFSET(AB60,0,6)),N(OFFSET(AB60,0,7)))-AA60</f>
        <v>0</v>
      </c>
      <c r="AC60" s="41"/>
      <c r="AD60" s="134"/>
      <c r="AE60" s="134"/>
      <c r="AG60" s="76"/>
      <c r="AH60" s="41"/>
      <c r="AI60" s="19">
        <v>0</v>
      </c>
      <c r="AJ60" s="19"/>
      <c r="AK60" s="19">
        <v>0</v>
      </c>
      <c r="AL60" s="19">
        <v>0</v>
      </c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</row>
    <row r="61" spans="1:62" x14ac:dyDescent="0.3">
      <c r="A61" s="25" t="s">
        <v>453</v>
      </c>
      <c r="B61" s="6">
        <v>200</v>
      </c>
      <c r="C61" s="66">
        <v>175.22</v>
      </c>
      <c r="D61" s="234">
        <v>50</v>
      </c>
      <c r="E61" s="1"/>
      <c r="F61" s="39">
        <v>0</v>
      </c>
      <c r="G61" s="39">
        <v>0</v>
      </c>
      <c r="H61" s="39">
        <v>0</v>
      </c>
      <c r="I61" s="39">
        <v>0</v>
      </c>
      <c r="J61" s="39">
        <v>0</v>
      </c>
      <c r="K61" s="39">
        <v>0</v>
      </c>
      <c r="L61" s="39">
        <v>0</v>
      </c>
      <c r="M61" s="39">
        <v>0</v>
      </c>
      <c r="N61" s="39">
        <v>0</v>
      </c>
      <c r="O61" s="39">
        <v>0</v>
      </c>
      <c r="P61" s="39">
        <v>0</v>
      </c>
      <c r="Q61" s="39">
        <v>0</v>
      </c>
      <c r="R61" s="39">
        <v>0</v>
      </c>
      <c r="S61" s="39">
        <v>0</v>
      </c>
      <c r="T61" s="39">
        <v>0</v>
      </c>
      <c r="U61" s="39">
        <v>0</v>
      </c>
      <c r="V61" s="39">
        <v>0</v>
      </c>
      <c r="W61" s="39">
        <v>0</v>
      </c>
      <c r="X61" s="39">
        <v>0</v>
      </c>
      <c r="Y61" s="39">
        <v>0</v>
      </c>
      <c r="Z61" s="39">
        <v>0</v>
      </c>
      <c r="AA61" s="39">
        <v>0</v>
      </c>
      <c r="AB61" s="372">
        <f t="shared" ca="1" si="2"/>
        <v>0</v>
      </c>
      <c r="AC61" s="41"/>
      <c r="AD61" s="134"/>
      <c r="AE61" s="134"/>
      <c r="AG61" s="76"/>
      <c r="AH61" s="41"/>
      <c r="AI61" s="19">
        <v>0</v>
      </c>
      <c r="AJ61" s="19"/>
      <c r="AK61" s="19">
        <v>0</v>
      </c>
      <c r="AL61" s="19">
        <v>0</v>
      </c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</row>
    <row r="62" spans="1:62" x14ac:dyDescent="0.3">
      <c r="A62" s="25" t="s">
        <v>454</v>
      </c>
      <c r="B62" s="6">
        <v>200</v>
      </c>
      <c r="C62" s="66">
        <v>230.34</v>
      </c>
      <c r="D62" s="234">
        <v>15</v>
      </c>
      <c r="E62" s="1"/>
      <c r="F62" s="39">
        <v>0</v>
      </c>
      <c r="G62" s="39">
        <v>0</v>
      </c>
      <c r="H62" s="39">
        <v>0</v>
      </c>
      <c r="I62" s="39">
        <v>0</v>
      </c>
      <c r="J62" s="39">
        <v>0</v>
      </c>
      <c r="K62" s="39">
        <v>0</v>
      </c>
      <c r="L62" s="39">
        <v>0</v>
      </c>
      <c r="M62" s="39">
        <v>0</v>
      </c>
      <c r="N62" s="39">
        <v>0</v>
      </c>
      <c r="O62" s="39">
        <v>0</v>
      </c>
      <c r="P62" s="39">
        <v>0</v>
      </c>
      <c r="Q62" s="39">
        <v>0</v>
      </c>
      <c r="R62" s="39">
        <v>0</v>
      </c>
      <c r="S62" s="39">
        <v>0</v>
      </c>
      <c r="T62" s="39">
        <v>0</v>
      </c>
      <c r="U62" s="39">
        <v>0</v>
      </c>
      <c r="V62" s="39">
        <v>0</v>
      </c>
      <c r="W62" s="39">
        <v>0</v>
      </c>
      <c r="X62" s="39">
        <v>0</v>
      </c>
      <c r="Y62" s="39">
        <v>0</v>
      </c>
      <c r="Z62" s="39">
        <v>0</v>
      </c>
      <c r="AA62" s="39">
        <v>0</v>
      </c>
      <c r="AB62" s="372">
        <f t="shared" ca="1" si="2"/>
        <v>0</v>
      </c>
      <c r="AC62" s="41"/>
      <c r="AD62" s="134"/>
      <c r="AE62" s="134"/>
      <c r="AG62" s="76"/>
      <c r="AH62" s="41"/>
      <c r="AI62" s="19">
        <v>0</v>
      </c>
      <c r="AJ62" s="19"/>
      <c r="AK62" s="19">
        <v>0</v>
      </c>
      <c r="AL62" s="19">
        <v>0</v>
      </c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</row>
    <row r="63" spans="1:62" x14ac:dyDescent="0.3">
      <c r="A63" s="95" t="s">
        <v>516</v>
      </c>
      <c r="B63" s="72">
        <v>100</v>
      </c>
      <c r="C63" s="77">
        <v>22.98</v>
      </c>
      <c r="D63" s="234">
        <v>1</v>
      </c>
      <c r="F63" s="39">
        <v>3</v>
      </c>
      <c r="G63" s="39">
        <v>3</v>
      </c>
      <c r="H63" s="39">
        <v>3</v>
      </c>
      <c r="I63" s="39">
        <v>3</v>
      </c>
      <c r="J63" s="39">
        <v>3</v>
      </c>
      <c r="K63" s="39">
        <v>3</v>
      </c>
      <c r="L63" s="39">
        <v>3</v>
      </c>
      <c r="M63" s="39">
        <v>3</v>
      </c>
      <c r="N63" s="39">
        <v>3</v>
      </c>
      <c r="O63" s="39">
        <v>3</v>
      </c>
      <c r="P63" s="39">
        <v>3</v>
      </c>
      <c r="Q63" s="39">
        <v>3</v>
      </c>
      <c r="R63" s="39">
        <v>3</v>
      </c>
      <c r="S63" s="39">
        <v>3</v>
      </c>
      <c r="T63" s="39">
        <v>3</v>
      </c>
      <c r="U63" s="39">
        <v>3</v>
      </c>
      <c r="V63" s="39">
        <v>3</v>
      </c>
      <c r="W63" s="39">
        <v>3</v>
      </c>
      <c r="X63" s="39">
        <v>3</v>
      </c>
      <c r="Y63" s="39">
        <v>3</v>
      </c>
      <c r="Z63" s="39">
        <v>3</v>
      </c>
      <c r="AA63" s="39">
        <v>3</v>
      </c>
      <c r="AB63" s="372">
        <f t="shared" ca="1" si="2"/>
        <v>0</v>
      </c>
      <c r="AD63" s="134"/>
      <c r="AE63" s="134"/>
      <c r="AF63" s="1"/>
      <c r="AG63" s="32"/>
      <c r="AH63" s="41"/>
      <c r="AI63" s="19">
        <v>0</v>
      </c>
      <c r="AJ63" s="19"/>
      <c r="AK63" s="19">
        <v>0</v>
      </c>
      <c r="AL63" s="19">
        <v>0</v>
      </c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</row>
    <row r="64" spans="1:62" x14ac:dyDescent="0.3">
      <c r="A64" s="25" t="s">
        <v>517</v>
      </c>
      <c r="B64" s="6">
        <v>1000</v>
      </c>
      <c r="C64" s="66">
        <v>7.75</v>
      </c>
      <c r="D64" s="234">
        <v>1</v>
      </c>
      <c r="E64" s="1"/>
      <c r="F64" s="39">
        <v>1</v>
      </c>
      <c r="G64" s="39">
        <v>1</v>
      </c>
      <c r="H64" s="39">
        <v>1</v>
      </c>
      <c r="I64" s="39">
        <v>1</v>
      </c>
      <c r="J64" s="39">
        <v>1</v>
      </c>
      <c r="K64" s="39">
        <v>1</v>
      </c>
      <c r="L64" s="39">
        <v>1</v>
      </c>
      <c r="M64" s="39">
        <v>1</v>
      </c>
      <c r="N64" s="39">
        <v>1</v>
      </c>
      <c r="O64" s="39">
        <v>1</v>
      </c>
      <c r="P64" s="39">
        <v>1</v>
      </c>
      <c r="Q64" s="39">
        <v>1</v>
      </c>
      <c r="R64" s="39">
        <v>1</v>
      </c>
      <c r="S64" s="39">
        <v>1</v>
      </c>
      <c r="T64" s="39">
        <v>1</v>
      </c>
      <c r="U64" s="39">
        <v>1</v>
      </c>
      <c r="V64" s="39">
        <v>1</v>
      </c>
      <c r="W64" s="39">
        <v>1</v>
      </c>
      <c r="X64" s="39">
        <v>1</v>
      </c>
      <c r="Y64" s="39">
        <v>1</v>
      </c>
      <c r="Z64" s="39">
        <v>1</v>
      </c>
      <c r="AA64" s="39">
        <v>1</v>
      </c>
      <c r="AB64" s="372">
        <f t="shared" ca="1" si="2"/>
        <v>0</v>
      </c>
      <c r="AC64" s="41"/>
      <c r="AD64" s="134"/>
      <c r="AE64" s="134"/>
      <c r="AG64" s="76"/>
      <c r="AH64" s="41"/>
      <c r="AI64" s="19">
        <v>0</v>
      </c>
      <c r="AJ64" s="19"/>
      <c r="AK64" s="19">
        <v>0</v>
      </c>
      <c r="AL64" s="19">
        <v>0</v>
      </c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</row>
    <row r="65" spans="1:62" x14ac:dyDescent="0.3">
      <c r="A65" s="25" t="s">
        <v>518</v>
      </c>
      <c r="B65" s="6">
        <v>300</v>
      </c>
      <c r="C65" s="66">
        <v>53.97</v>
      </c>
      <c r="D65" s="234">
        <v>1</v>
      </c>
      <c r="E65" s="1"/>
      <c r="F65" s="39">
        <v>3</v>
      </c>
      <c r="G65" s="39">
        <v>3</v>
      </c>
      <c r="H65" s="39">
        <v>3</v>
      </c>
      <c r="I65" s="39">
        <v>3</v>
      </c>
      <c r="J65" s="39">
        <v>3</v>
      </c>
      <c r="K65" s="39">
        <v>3</v>
      </c>
      <c r="L65" s="39">
        <v>3</v>
      </c>
      <c r="M65" s="39">
        <v>3</v>
      </c>
      <c r="N65" s="39">
        <v>3</v>
      </c>
      <c r="O65" s="39">
        <v>3</v>
      </c>
      <c r="P65" s="39">
        <v>3</v>
      </c>
      <c r="Q65" s="39">
        <v>3</v>
      </c>
      <c r="R65" s="39">
        <v>3</v>
      </c>
      <c r="S65" s="39">
        <v>3</v>
      </c>
      <c r="T65" s="39">
        <v>3</v>
      </c>
      <c r="U65" s="39">
        <v>3</v>
      </c>
      <c r="V65" s="39">
        <v>3</v>
      </c>
      <c r="W65" s="39">
        <v>3</v>
      </c>
      <c r="X65" s="39">
        <v>3</v>
      </c>
      <c r="Y65" s="39">
        <v>3</v>
      </c>
      <c r="Z65" s="39">
        <v>3</v>
      </c>
      <c r="AA65" s="39">
        <v>3</v>
      </c>
      <c r="AB65" s="372">
        <f t="shared" ca="1" si="2"/>
        <v>0</v>
      </c>
      <c r="AC65" s="41"/>
      <c r="AD65" s="134"/>
      <c r="AE65" s="134"/>
      <c r="AG65" s="76"/>
      <c r="AH65" s="41"/>
      <c r="AI65" s="19">
        <v>0</v>
      </c>
      <c r="AJ65" s="19"/>
      <c r="AK65" s="19">
        <v>0</v>
      </c>
      <c r="AL65" s="19">
        <v>0</v>
      </c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</row>
    <row r="66" spans="1:62" x14ac:dyDescent="0.3">
      <c r="A66" s="25" t="s">
        <v>519</v>
      </c>
      <c r="B66" s="6">
        <v>3000</v>
      </c>
      <c r="C66" s="66">
        <v>213</v>
      </c>
      <c r="D66" s="234">
        <v>0</v>
      </c>
      <c r="E66" s="1"/>
      <c r="F66" s="39">
        <v>0</v>
      </c>
      <c r="G66" s="39">
        <v>0</v>
      </c>
      <c r="H66" s="39">
        <v>0</v>
      </c>
      <c r="I66" s="39">
        <v>0</v>
      </c>
      <c r="J66" s="39">
        <v>0</v>
      </c>
      <c r="K66" s="39">
        <v>0</v>
      </c>
      <c r="L66" s="39">
        <v>0</v>
      </c>
      <c r="M66" s="39">
        <v>0</v>
      </c>
      <c r="N66" s="39">
        <v>0</v>
      </c>
      <c r="O66" s="39">
        <v>0</v>
      </c>
      <c r="P66" s="39">
        <v>0</v>
      </c>
      <c r="Q66" s="39">
        <v>0</v>
      </c>
      <c r="R66" s="39">
        <v>0</v>
      </c>
      <c r="S66" s="39">
        <v>0</v>
      </c>
      <c r="T66" s="39">
        <v>0</v>
      </c>
      <c r="U66" s="39">
        <v>0</v>
      </c>
      <c r="V66" s="39">
        <v>0</v>
      </c>
      <c r="W66" s="39">
        <v>0</v>
      </c>
      <c r="X66" s="39">
        <v>0</v>
      </c>
      <c r="Y66" s="39">
        <v>0</v>
      </c>
      <c r="Z66" s="39">
        <v>0</v>
      </c>
      <c r="AA66" s="39">
        <v>0</v>
      </c>
      <c r="AB66" s="372">
        <f t="shared" ca="1" si="2"/>
        <v>0</v>
      </c>
      <c r="AC66" s="41"/>
      <c r="AD66" s="134"/>
      <c r="AE66" s="134"/>
      <c r="AG66" s="76"/>
      <c r="AH66" s="41"/>
      <c r="AI66" s="19">
        <v>0</v>
      </c>
      <c r="AJ66" s="19"/>
      <c r="AK66" s="19">
        <v>0</v>
      </c>
      <c r="AL66" s="19">
        <v>0</v>
      </c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</row>
    <row r="67" spans="1:62" x14ac:dyDescent="0.3">
      <c r="A67" s="25" t="s">
        <v>455</v>
      </c>
      <c r="B67" s="6">
        <v>150</v>
      </c>
      <c r="C67" s="66">
        <v>306</v>
      </c>
      <c r="D67" s="234">
        <v>10</v>
      </c>
      <c r="E67" s="1"/>
      <c r="F67" s="39">
        <v>12</v>
      </c>
      <c r="G67" s="39">
        <v>12</v>
      </c>
      <c r="H67" s="39">
        <v>12</v>
      </c>
      <c r="I67" s="39">
        <v>12</v>
      </c>
      <c r="J67" s="39">
        <v>12</v>
      </c>
      <c r="K67" s="39">
        <v>12</v>
      </c>
      <c r="L67" s="39">
        <v>12</v>
      </c>
      <c r="M67" s="39">
        <v>12</v>
      </c>
      <c r="N67" s="39">
        <v>12</v>
      </c>
      <c r="O67" s="39">
        <v>12</v>
      </c>
      <c r="P67" s="39">
        <v>11</v>
      </c>
      <c r="Q67" s="39">
        <v>11</v>
      </c>
      <c r="R67" s="39">
        <v>11</v>
      </c>
      <c r="S67" s="39">
        <v>11</v>
      </c>
      <c r="T67" s="39">
        <v>11</v>
      </c>
      <c r="U67" s="39">
        <v>11</v>
      </c>
      <c r="V67" s="39"/>
      <c r="W67" s="39"/>
      <c r="X67" s="39"/>
      <c r="Y67" s="39"/>
      <c r="Z67" s="39"/>
      <c r="AA67" s="39">
        <v>11</v>
      </c>
      <c r="AB67" s="372">
        <f t="shared" ca="1" si="2"/>
        <v>-11</v>
      </c>
      <c r="AC67" s="41"/>
      <c r="AD67" s="134"/>
      <c r="AE67" s="134"/>
      <c r="AG67" s="76"/>
      <c r="AH67" s="41"/>
      <c r="AI67" s="19">
        <v>0</v>
      </c>
      <c r="AJ67" s="19"/>
      <c r="AK67" s="19">
        <v>0</v>
      </c>
      <c r="AL67" s="19">
        <v>0</v>
      </c>
      <c r="AM67" s="159"/>
      <c r="AN67" s="159"/>
      <c r="AO67" s="159"/>
      <c r="AP67" s="159"/>
      <c r="AQ67" s="159"/>
      <c r="AR67" s="159"/>
      <c r="AS67" s="159"/>
      <c r="AT67" s="159"/>
      <c r="AU67" s="159"/>
      <c r="AV67" s="159"/>
      <c r="AW67" s="159"/>
      <c r="AX67" s="159"/>
      <c r="AY67" s="159"/>
      <c r="AZ67" s="159"/>
      <c r="BA67" s="159"/>
      <c r="BB67" s="159"/>
      <c r="BC67" s="159"/>
      <c r="BD67" s="159"/>
      <c r="BE67" s="159"/>
      <c r="BF67" s="159"/>
      <c r="BG67" s="159"/>
      <c r="BH67" s="159"/>
      <c r="BI67" s="159"/>
      <c r="BJ67" s="159"/>
    </row>
    <row r="68" spans="1:62" x14ac:dyDescent="0.3">
      <c r="A68" s="25" t="s">
        <v>456</v>
      </c>
      <c r="B68" s="6">
        <v>75</v>
      </c>
      <c r="C68" s="66">
        <v>216.38</v>
      </c>
      <c r="D68" s="234">
        <v>10</v>
      </c>
      <c r="E68" s="1"/>
      <c r="F68" s="39">
        <v>0</v>
      </c>
      <c r="G68" s="39">
        <v>0</v>
      </c>
      <c r="H68" s="39">
        <v>0</v>
      </c>
      <c r="I68" s="39">
        <v>0</v>
      </c>
      <c r="J68" s="39">
        <v>0</v>
      </c>
      <c r="K68" s="39">
        <v>0</v>
      </c>
      <c r="L68" s="39">
        <v>0</v>
      </c>
      <c r="M68" s="39">
        <v>0</v>
      </c>
      <c r="N68" s="39">
        <v>0</v>
      </c>
      <c r="O68" s="39">
        <v>0</v>
      </c>
      <c r="P68" s="39">
        <v>0</v>
      </c>
      <c r="Q68" s="39">
        <v>0</v>
      </c>
      <c r="R68" s="39">
        <v>0</v>
      </c>
      <c r="S68" s="39">
        <v>0</v>
      </c>
      <c r="T68" s="39">
        <v>0</v>
      </c>
      <c r="U68" s="39">
        <v>0</v>
      </c>
      <c r="V68" s="39"/>
      <c r="W68" s="39"/>
      <c r="X68" s="39"/>
      <c r="Y68" s="39"/>
      <c r="Z68" s="39"/>
      <c r="AA68" s="39">
        <v>0</v>
      </c>
      <c r="AB68" s="372">
        <f t="shared" ca="1" si="2"/>
        <v>0</v>
      </c>
      <c r="AC68" s="41"/>
      <c r="AD68" s="134"/>
      <c r="AE68" s="134"/>
      <c r="AG68" s="76"/>
      <c r="AH68" s="41"/>
      <c r="AI68" s="19">
        <v>0</v>
      </c>
      <c r="AJ68" s="19"/>
      <c r="AK68" s="19">
        <v>0</v>
      </c>
      <c r="AL68" s="19">
        <v>0</v>
      </c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</row>
    <row r="69" spans="1:62" x14ac:dyDescent="0.3">
      <c r="A69" s="25" t="s">
        <v>457</v>
      </c>
      <c r="B69" s="6">
        <v>100</v>
      </c>
      <c r="C69" s="66">
        <v>306</v>
      </c>
      <c r="D69" s="234">
        <v>5</v>
      </c>
      <c r="E69" s="1"/>
      <c r="F69" s="39">
        <v>23</v>
      </c>
      <c r="G69" s="39">
        <v>22</v>
      </c>
      <c r="H69" s="39">
        <v>22</v>
      </c>
      <c r="I69" s="39">
        <v>22</v>
      </c>
      <c r="J69" s="39">
        <v>22</v>
      </c>
      <c r="K69" s="39">
        <v>21</v>
      </c>
      <c r="L69" s="39">
        <v>21</v>
      </c>
      <c r="M69" s="39">
        <v>21</v>
      </c>
      <c r="N69" s="39">
        <v>21</v>
      </c>
      <c r="O69" s="39">
        <v>21</v>
      </c>
      <c r="P69" s="39">
        <v>21</v>
      </c>
      <c r="Q69" s="39">
        <v>21</v>
      </c>
      <c r="R69" s="39">
        <v>21</v>
      </c>
      <c r="S69" s="39">
        <v>21</v>
      </c>
      <c r="T69" s="39">
        <v>21</v>
      </c>
      <c r="U69" s="39">
        <v>21</v>
      </c>
      <c r="V69" s="39"/>
      <c r="W69" s="39"/>
      <c r="X69" s="39"/>
      <c r="Y69" s="39"/>
      <c r="Z69" s="39"/>
      <c r="AA69" s="39">
        <v>20</v>
      </c>
      <c r="AB69" s="372">
        <f t="shared" ca="1" si="2"/>
        <v>-20</v>
      </c>
      <c r="AC69" s="41"/>
      <c r="AD69" s="134"/>
      <c r="AE69" s="134"/>
      <c r="AG69" s="76"/>
      <c r="AH69" s="41"/>
      <c r="AI69" s="19">
        <v>0</v>
      </c>
      <c r="AJ69" s="19"/>
      <c r="AK69" s="19">
        <v>0</v>
      </c>
      <c r="AL69" s="19">
        <v>0</v>
      </c>
      <c r="AM69" s="159"/>
      <c r="AN69" s="159"/>
      <c r="AO69" s="159"/>
      <c r="AP69" s="159"/>
      <c r="AQ69" s="159"/>
      <c r="AR69" s="159"/>
      <c r="AS69" s="159"/>
      <c r="AT69" s="159"/>
      <c r="AU69" s="159"/>
      <c r="AV69" s="159"/>
      <c r="AW69" s="159"/>
      <c r="AX69" s="159"/>
      <c r="AY69" s="159"/>
      <c r="AZ69" s="159"/>
      <c r="BA69" s="159"/>
      <c r="BB69" s="159"/>
      <c r="BC69" s="159"/>
      <c r="BD69" s="159"/>
      <c r="BE69" s="159"/>
      <c r="BF69" s="159"/>
      <c r="BG69" s="159"/>
      <c r="BH69" s="159"/>
      <c r="BI69" s="159"/>
      <c r="BJ69" s="159"/>
    </row>
    <row r="70" spans="1:62" x14ac:dyDescent="0.3">
      <c r="B70" s="41"/>
      <c r="C70" s="120"/>
      <c r="D70" s="120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D70" s="75"/>
      <c r="AE70" s="75"/>
      <c r="AF70" s="1"/>
      <c r="AG70" s="15"/>
      <c r="AH70" s="41"/>
      <c r="AI70" s="75"/>
      <c r="AJ70" s="75"/>
      <c r="AK70" s="75"/>
      <c r="AL70" s="75"/>
      <c r="AM70" s="75"/>
      <c r="AN70" s="75"/>
      <c r="AO70" s="75"/>
      <c r="AP70" s="75"/>
      <c r="AQ70" s="75"/>
      <c r="AR70" s="75"/>
      <c r="AS70" s="75"/>
      <c r="AT70" s="75"/>
      <c r="AU70" s="75"/>
      <c r="AV70" s="75"/>
      <c r="AW70" s="75"/>
      <c r="AX70" s="75"/>
      <c r="AY70" s="75"/>
      <c r="AZ70" s="75"/>
      <c r="BA70" s="75"/>
      <c r="BB70" s="75"/>
      <c r="BC70" s="75"/>
      <c r="BD70" s="75"/>
      <c r="BE70" s="75"/>
      <c r="BF70" s="75"/>
      <c r="BG70" s="75"/>
      <c r="BH70" s="75"/>
      <c r="BI70" s="75"/>
      <c r="BJ70" s="75"/>
    </row>
    <row r="71" spans="1:62" x14ac:dyDescent="0.3">
      <c r="A71" s="215" t="s">
        <v>458</v>
      </c>
      <c r="B71" s="216"/>
      <c r="C71" s="216"/>
      <c r="D71" s="216"/>
      <c r="F71" s="13">
        <v>46006</v>
      </c>
      <c r="G71" s="13">
        <v>46013</v>
      </c>
      <c r="H71" s="13">
        <v>46020</v>
      </c>
      <c r="I71" s="13">
        <v>46027</v>
      </c>
      <c r="J71" s="13">
        <v>46034</v>
      </c>
      <c r="K71" s="13">
        <v>46041</v>
      </c>
      <c r="L71" s="13">
        <v>46048</v>
      </c>
      <c r="M71" s="13">
        <v>46055</v>
      </c>
      <c r="N71" s="13">
        <v>46062</v>
      </c>
      <c r="O71" s="13">
        <v>46069</v>
      </c>
      <c r="P71" s="13">
        <v>46076</v>
      </c>
      <c r="Q71" s="13">
        <v>46083</v>
      </c>
      <c r="R71" s="13">
        <v>46090</v>
      </c>
      <c r="S71" s="13">
        <v>46097</v>
      </c>
      <c r="T71" s="13">
        <v>46104</v>
      </c>
      <c r="U71" s="13">
        <v>46111</v>
      </c>
      <c r="V71" s="13">
        <v>46118</v>
      </c>
      <c r="W71" s="13">
        <v>46125</v>
      </c>
      <c r="X71" s="13">
        <v>46132</v>
      </c>
      <c r="Y71" s="13">
        <v>46139</v>
      </c>
      <c r="Z71" s="13">
        <v>46146</v>
      </c>
      <c r="AA71" s="13">
        <v>46154</v>
      </c>
      <c r="AB71" s="35" t="s">
        <v>129</v>
      </c>
      <c r="AD71" s="29" t="s">
        <v>126</v>
      </c>
      <c r="AE71" s="29" t="s">
        <v>126</v>
      </c>
      <c r="AF71" s="1"/>
      <c r="AG71" s="9" t="s">
        <v>127</v>
      </c>
      <c r="AH71" s="41"/>
      <c r="AI71" s="17">
        <v>46149</v>
      </c>
      <c r="AJ71" s="339">
        <v>46150</v>
      </c>
      <c r="AK71" s="17">
        <v>46142</v>
      </c>
      <c r="AL71" s="17">
        <v>46114</v>
      </c>
      <c r="AM71" s="17">
        <v>46107</v>
      </c>
      <c r="AN71" s="17">
        <v>46099</v>
      </c>
      <c r="AO71" s="294">
        <v>46065</v>
      </c>
      <c r="AP71" s="17">
        <v>46092</v>
      </c>
      <c r="AQ71" s="17">
        <v>46084</v>
      </c>
      <c r="AR71" s="294">
        <v>46065</v>
      </c>
      <c r="AS71" s="292">
        <v>46045</v>
      </c>
      <c r="AT71" s="17">
        <v>46077</v>
      </c>
      <c r="AU71" s="17">
        <v>46071</v>
      </c>
      <c r="AV71" s="17">
        <v>46056</v>
      </c>
      <c r="AW71" s="17">
        <v>46048</v>
      </c>
      <c r="AX71" s="17">
        <v>46043</v>
      </c>
      <c r="AY71" s="17">
        <v>46035</v>
      </c>
      <c r="AZ71" s="17">
        <v>46029</v>
      </c>
      <c r="BA71" s="17">
        <v>46035</v>
      </c>
      <c r="BB71" s="17">
        <v>46029</v>
      </c>
      <c r="BC71" s="17">
        <v>46024</v>
      </c>
      <c r="BD71" s="17">
        <v>46007</v>
      </c>
      <c r="BE71" s="17">
        <v>46001</v>
      </c>
      <c r="BF71" s="17">
        <v>46001</v>
      </c>
      <c r="BG71" s="17">
        <v>45994</v>
      </c>
      <c r="BH71" s="17">
        <v>45986</v>
      </c>
      <c r="BI71" s="17">
        <v>45986</v>
      </c>
      <c r="BJ71" s="17">
        <v>45980</v>
      </c>
    </row>
    <row r="72" spans="1:62" x14ac:dyDescent="0.3">
      <c r="A72" s="25" t="s">
        <v>459</v>
      </c>
      <c r="B72" s="6">
        <v>200</v>
      </c>
      <c r="C72" s="66">
        <v>183.24</v>
      </c>
      <c r="D72" s="234" t="s">
        <v>460</v>
      </c>
      <c r="F72" s="39">
        <v>1000</v>
      </c>
      <c r="G72" s="39">
        <f>800+BD72</f>
        <v>1200</v>
      </c>
      <c r="H72" s="39">
        <v>1000</v>
      </c>
      <c r="I72" s="39">
        <v>800</v>
      </c>
      <c r="J72" s="39">
        <v>400</v>
      </c>
      <c r="K72" s="39">
        <v>0</v>
      </c>
      <c r="L72" s="39">
        <f>400+AY72</f>
        <v>1200</v>
      </c>
      <c r="M72" s="39">
        <v>400</v>
      </c>
      <c r="N72" s="39">
        <f>0+AV72</f>
        <v>1000</v>
      </c>
      <c r="O72" s="39">
        <v>600</v>
      </c>
      <c r="P72" s="39">
        <v>400</v>
      </c>
      <c r="Q72" s="39">
        <v>200</v>
      </c>
      <c r="R72" s="39">
        <v>600</v>
      </c>
      <c r="S72" s="39">
        <v>0</v>
      </c>
      <c r="T72" s="39">
        <f>0+AN72</f>
        <v>800</v>
      </c>
      <c r="U72" s="39">
        <v>600</v>
      </c>
      <c r="V72" s="39">
        <v>200</v>
      </c>
      <c r="W72" s="39">
        <v>200</v>
      </c>
      <c r="X72" s="39">
        <v>200</v>
      </c>
      <c r="Y72" s="39">
        <v>200</v>
      </c>
      <c r="Z72" s="39">
        <v>0</v>
      </c>
      <c r="AA72" s="39">
        <f>0+AI72</f>
        <v>600</v>
      </c>
      <c r="AB72" s="372">
        <f t="shared" ref="AB72:AB83" ca="1" si="3">Z72+IF(NOT(ISBLANK(OFFSET(AB72,0,6))),N(OFFSET(AB72,0,6)),N(OFFSET(AB72,0,7)))-AA72</f>
        <v>0</v>
      </c>
      <c r="AD72" s="134"/>
      <c r="AE72" s="134"/>
      <c r="AF72" s="1"/>
      <c r="AG72" s="76"/>
      <c r="AH72" s="41"/>
      <c r="AI72" s="19">
        <v>600</v>
      </c>
      <c r="AJ72" s="19"/>
      <c r="AK72" s="19">
        <v>0</v>
      </c>
      <c r="AL72" s="19">
        <v>200</v>
      </c>
      <c r="AM72" s="19"/>
      <c r="AN72" s="19">
        <v>800</v>
      </c>
      <c r="AO72" s="19"/>
      <c r="AP72" s="19"/>
      <c r="AQ72" s="19">
        <v>600</v>
      </c>
      <c r="AR72" s="19"/>
      <c r="AS72" s="19"/>
      <c r="AT72" s="19"/>
      <c r="AU72" s="19"/>
      <c r="AV72" s="19">
        <v>1000</v>
      </c>
      <c r="AW72" s="19"/>
      <c r="AX72" s="19"/>
      <c r="AY72" s="19">
        <v>800</v>
      </c>
      <c r="AZ72" s="19">
        <v>400</v>
      </c>
      <c r="BA72" s="19"/>
      <c r="BB72" s="19"/>
      <c r="BC72" s="19"/>
      <c r="BD72" s="19">
        <v>400</v>
      </c>
      <c r="BE72" s="19">
        <v>600</v>
      </c>
      <c r="BF72" s="19"/>
      <c r="BG72" s="19">
        <v>400</v>
      </c>
      <c r="BH72" s="19">
        <v>800</v>
      </c>
      <c r="BI72" s="19"/>
      <c r="BJ72" s="19">
        <v>600</v>
      </c>
    </row>
    <row r="73" spans="1:62" x14ac:dyDescent="0.3">
      <c r="A73" s="25" t="s">
        <v>461</v>
      </c>
      <c r="B73" s="6">
        <v>200</v>
      </c>
      <c r="C73" s="66">
        <v>240.83</v>
      </c>
      <c r="D73" s="234" t="s">
        <v>460</v>
      </c>
      <c r="F73" s="39">
        <v>600</v>
      </c>
      <c r="G73" s="39">
        <f>600+BD73</f>
        <v>800</v>
      </c>
      <c r="H73" s="39">
        <v>800</v>
      </c>
      <c r="I73" s="39">
        <v>800</v>
      </c>
      <c r="J73" s="39">
        <v>600</v>
      </c>
      <c r="K73" s="39">
        <v>600</v>
      </c>
      <c r="L73" s="39">
        <v>400</v>
      </c>
      <c r="M73" s="39">
        <v>400</v>
      </c>
      <c r="N73" s="39">
        <v>200</v>
      </c>
      <c r="O73" s="39">
        <v>200</v>
      </c>
      <c r="P73" s="39">
        <v>0</v>
      </c>
      <c r="Q73" s="39">
        <f>400+AT73</f>
        <v>800</v>
      </c>
      <c r="R73" s="39">
        <v>600</v>
      </c>
      <c r="S73" s="39">
        <v>600</v>
      </c>
      <c r="T73" s="39">
        <v>600</v>
      </c>
      <c r="U73" s="39">
        <v>600</v>
      </c>
      <c r="V73" s="39">
        <v>600</v>
      </c>
      <c r="W73" s="39">
        <v>600</v>
      </c>
      <c r="X73" s="39">
        <v>600</v>
      </c>
      <c r="Y73" s="39">
        <v>400</v>
      </c>
      <c r="Z73" s="39">
        <v>200</v>
      </c>
      <c r="AA73" s="39">
        <v>0</v>
      </c>
      <c r="AB73" s="372">
        <f t="shared" ca="1" si="3"/>
        <v>200</v>
      </c>
      <c r="AD73" s="134"/>
      <c r="AE73" s="134"/>
      <c r="AF73" s="1"/>
      <c r="AG73" s="76"/>
      <c r="AH73" s="41"/>
      <c r="AI73" s="19">
        <v>0</v>
      </c>
      <c r="AJ73" s="19"/>
      <c r="AK73" s="19">
        <v>0</v>
      </c>
      <c r="AL73" s="19">
        <v>0</v>
      </c>
      <c r="AM73" s="19"/>
      <c r="AN73" s="19"/>
      <c r="AO73" s="19"/>
      <c r="AP73" s="19"/>
      <c r="AQ73" s="19"/>
      <c r="AR73" s="19"/>
      <c r="AS73" s="19"/>
      <c r="AT73" s="19">
        <v>400</v>
      </c>
      <c r="AU73" s="19">
        <v>600</v>
      </c>
      <c r="AV73" s="19"/>
      <c r="AW73" s="19"/>
      <c r="AX73" s="19"/>
      <c r="AY73" s="19"/>
      <c r="AZ73" s="19"/>
      <c r="BA73" s="19"/>
      <c r="BB73" s="19"/>
      <c r="BC73" s="19"/>
      <c r="BD73" s="19">
        <v>200</v>
      </c>
      <c r="BE73" s="19"/>
      <c r="BF73" s="19"/>
      <c r="BG73" s="19">
        <v>200</v>
      </c>
      <c r="BH73" s="19">
        <v>400</v>
      </c>
      <c r="BI73" s="19"/>
      <c r="BJ73" s="19"/>
    </row>
    <row r="74" spans="1:62" x14ac:dyDescent="0.3">
      <c r="A74" s="25" t="s">
        <v>462</v>
      </c>
      <c r="B74" s="6">
        <v>100</v>
      </c>
      <c r="C74" s="66">
        <v>175.13</v>
      </c>
      <c r="D74" s="234" t="s">
        <v>460</v>
      </c>
      <c r="F74" s="39">
        <v>300</v>
      </c>
      <c r="G74" s="39">
        <f>300+BE74</f>
        <v>800</v>
      </c>
      <c r="H74" s="39">
        <v>800</v>
      </c>
      <c r="I74" s="39">
        <v>700</v>
      </c>
      <c r="J74" s="39">
        <v>600</v>
      </c>
      <c r="K74" s="39">
        <v>600</v>
      </c>
      <c r="L74" s="39">
        <v>600</v>
      </c>
      <c r="M74" s="39">
        <v>500</v>
      </c>
      <c r="N74" s="39">
        <v>500</v>
      </c>
      <c r="O74" s="39">
        <v>500</v>
      </c>
      <c r="P74" s="39">
        <v>500</v>
      </c>
      <c r="Q74" s="39">
        <v>400</v>
      </c>
      <c r="R74" s="39">
        <v>300</v>
      </c>
      <c r="S74" s="39">
        <v>300</v>
      </c>
      <c r="T74" s="39">
        <v>300</v>
      </c>
      <c r="U74" s="39">
        <v>200</v>
      </c>
      <c r="V74" s="39">
        <v>200</v>
      </c>
      <c r="W74" s="39">
        <v>300</v>
      </c>
      <c r="X74" s="39">
        <v>300</v>
      </c>
      <c r="Y74" s="39">
        <v>300</v>
      </c>
      <c r="Z74" s="39">
        <v>300</v>
      </c>
      <c r="AA74" s="39">
        <v>200</v>
      </c>
      <c r="AB74" s="372">
        <f t="shared" ca="1" si="3"/>
        <v>100</v>
      </c>
      <c r="AD74" s="134"/>
      <c r="AE74" s="134"/>
      <c r="AF74" s="1"/>
      <c r="AG74" s="76"/>
      <c r="AH74" s="41"/>
      <c r="AI74" s="19">
        <v>0</v>
      </c>
      <c r="AJ74" s="19"/>
      <c r="AK74" s="19">
        <v>0</v>
      </c>
      <c r="AL74" s="19">
        <v>100</v>
      </c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>
        <v>500</v>
      </c>
      <c r="BF74" s="19"/>
      <c r="BG74" s="19"/>
      <c r="BH74" s="19"/>
      <c r="BI74" s="19">
        <v>200</v>
      </c>
      <c r="BJ74" s="19"/>
    </row>
    <row r="75" spans="1:62" x14ac:dyDescent="0.3">
      <c r="A75" s="95" t="s">
        <v>522</v>
      </c>
      <c r="B75" s="217">
        <v>200</v>
      </c>
      <c r="C75" s="218">
        <v>29.77</v>
      </c>
      <c r="D75" s="234" t="s">
        <v>460</v>
      </c>
      <c r="F75" s="39">
        <v>2</v>
      </c>
      <c r="G75" s="39">
        <v>2</v>
      </c>
      <c r="H75" s="39">
        <v>2</v>
      </c>
      <c r="I75" s="39">
        <v>2</v>
      </c>
      <c r="J75" s="39">
        <v>2</v>
      </c>
      <c r="K75" s="39">
        <v>2</v>
      </c>
      <c r="L75" s="39">
        <v>2</v>
      </c>
      <c r="M75" s="39">
        <v>2</v>
      </c>
      <c r="N75" s="39">
        <v>2</v>
      </c>
      <c r="O75" s="39">
        <v>2</v>
      </c>
      <c r="P75" s="39">
        <v>2</v>
      </c>
      <c r="Q75" s="39">
        <v>2</v>
      </c>
      <c r="R75" s="39">
        <v>2</v>
      </c>
      <c r="S75" s="39">
        <v>2</v>
      </c>
      <c r="T75" s="39">
        <v>2</v>
      </c>
      <c r="U75" s="39">
        <v>2</v>
      </c>
      <c r="V75" s="39">
        <v>2</v>
      </c>
      <c r="W75" s="39">
        <v>2</v>
      </c>
      <c r="X75" s="39">
        <v>2</v>
      </c>
      <c r="Y75" s="39">
        <v>2</v>
      </c>
      <c r="Z75" s="39">
        <v>2</v>
      </c>
      <c r="AA75" s="39">
        <v>2</v>
      </c>
      <c r="AB75" s="372">
        <f t="shared" ca="1" si="3"/>
        <v>0</v>
      </c>
      <c r="AD75" s="134"/>
      <c r="AE75" s="134"/>
      <c r="AF75" s="1"/>
      <c r="AG75" s="32"/>
      <c r="AH75" s="41"/>
      <c r="AI75" s="19">
        <v>0</v>
      </c>
      <c r="AJ75" s="19"/>
      <c r="AK75" s="19">
        <v>0</v>
      </c>
      <c r="AL75" s="19">
        <v>0</v>
      </c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</row>
    <row r="76" spans="1:62" x14ac:dyDescent="0.3">
      <c r="A76" s="95" t="s">
        <v>523</v>
      </c>
      <c r="B76" s="217">
        <v>1000</v>
      </c>
      <c r="C76" s="218">
        <v>70</v>
      </c>
      <c r="D76" s="234" t="s">
        <v>460</v>
      </c>
      <c r="F76" s="39">
        <v>2</v>
      </c>
      <c r="G76" s="39">
        <v>2</v>
      </c>
      <c r="H76" s="39">
        <v>2</v>
      </c>
      <c r="I76" s="39">
        <v>2</v>
      </c>
      <c r="J76" s="39">
        <v>2</v>
      </c>
      <c r="K76" s="39">
        <v>2</v>
      </c>
      <c r="L76" s="39">
        <v>2</v>
      </c>
      <c r="M76" s="39">
        <v>2</v>
      </c>
      <c r="N76" s="39">
        <v>2</v>
      </c>
      <c r="O76" s="39">
        <v>2</v>
      </c>
      <c r="P76" s="39">
        <v>2</v>
      </c>
      <c r="Q76" s="39">
        <v>2</v>
      </c>
      <c r="R76" s="39">
        <v>2</v>
      </c>
      <c r="S76" s="39">
        <v>2</v>
      </c>
      <c r="T76" s="39">
        <v>2</v>
      </c>
      <c r="U76" s="39">
        <v>2</v>
      </c>
      <c r="V76" s="39">
        <v>1</v>
      </c>
      <c r="W76" s="39">
        <v>1</v>
      </c>
      <c r="X76" s="39">
        <v>1</v>
      </c>
      <c r="Y76" s="39">
        <v>1</v>
      </c>
      <c r="Z76" s="39">
        <v>1</v>
      </c>
      <c r="AA76" s="39">
        <v>1</v>
      </c>
      <c r="AB76" s="372">
        <f t="shared" ca="1" si="3"/>
        <v>0</v>
      </c>
      <c r="AD76" s="134"/>
      <c r="AE76" s="134"/>
      <c r="AF76" s="1"/>
      <c r="AG76" s="76"/>
      <c r="AH76" s="41"/>
      <c r="AI76" s="19">
        <v>0</v>
      </c>
      <c r="AJ76" s="19"/>
      <c r="AK76" s="19">
        <v>0</v>
      </c>
      <c r="AL76" s="19">
        <v>0</v>
      </c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</row>
    <row r="77" spans="1:62" x14ac:dyDescent="0.3">
      <c r="A77" s="95" t="s">
        <v>524</v>
      </c>
      <c r="B77" s="219">
        <v>2000</v>
      </c>
      <c r="C77" s="218">
        <v>71</v>
      </c>
      <c r="D77" s="234">
        <v>0</v>
      </c>
      <c r="F77" s="39">
        <v>0</v>
      </c>
      <c r="G77" s="39">
        <v>0</v>
      </c>
      <c r="H77" s="39">
        <v>0</v>
      </c>
      <c r="I77" s="39">
        <v>0</v>
      </c>
      <c r="J77" s="39">
        <v>0</v>
      </c>
      <c r="K77" s="39">
        <v>0</v>
      </c>
      <c r="L77" s="39">
        <v>0</v>
      </c>
      <c r="M77" s="39">
        <v>0</v>
      </c>
      <c r="N77" s="39">
        <v>0</v>
      </c>
      <c r="O77" s="39">
        <v>0</v>
      </c>
      <c r="P77" s="39">
        <v>0</v>
      </c>
      <c r="Q77" s="39">
        <v>0</v>
      </c>
      <c r="R77" s="39">
        <v>0</v>
      </c>
      <c r="S77" s="39">
        <v>0</v>
      </c>
      <c r="T77" s="39">
        <v>0</v>
      </c>
      <c r="U77" s="39">
        <v>0</v>
      </c>
      <c r="V77" s="39">
        <v>0</v>
      </c>
      <c r="W77" s="39">
        <v>0</v>
      </c>
      <c r="X77" s="39">
        <v>0</v>
      </c>
      <c r="Y77" s="39">
        <v>0</v>
      </c>
      <c r="Z77" s="39">
        <v>0</v>
      </c>
      <c r="AA77" s="39">
        <v>0</v>
      </c>
      <c r="AB77" s="372">
        <f t="shared" ca="1" si="3"/>
        <v>0</v>
      </c>
      <c r="AD77" s="134"/>
      <c r="AE77" s="134"/>
      <c r="AF77" s="1"/>
      <c r="AG77" s="76"/>
      <c r="AH77" s="41"/>
      <c r="AI77" s="19">
        <v>0</v>
      </c>
      <c r="AJ77" s="19"/>
      <c r="AK77" s="19">
        <v>0</v>
      </c>
      <c r="AL77" s="19">
        <v>0</v>
      </c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</row>
    <row r="78" spans="1:62" x14ac:dyDescent="0.3">
      <c r="A78" s="95" t="s">
        <v>464</v>
      </c>
      <c r="B78" s="217">
        <v>200</v>
      </c>
      <c r="C78" s="218">
        <v>184.13</v>
      </c>
      <c r="D78" s="234">
        <v>15</v>
      </c>
      <c r="F78" s="39">
        <v>2</v>
      </c>
      <c r="G78" s="39">
        <v>0</v>
      </c>
      <c r="H78" s="39">
        <v>0</v>
      </c>
      <c r="I78" s="39">
        <v>0</v>
      </c>
      <c r="J78" s="39">
        <v>0</v>
      </c>
      <c r="K78" s="39">
        <v>0</v>
      </c>
      <c r="L78" s="39">
        <f>0+AX78</f>
        <v>40</v>
      </c>
      <c r="M78" s="39">
        <v>40</v>
      </c>
      <c r="N78" s="39">
        <v>39</v>
      </c>
      <c r="O78" s="39">
        <v>39</v>
      </c>
      <c r="P78" s="39">
        <v>40</v>
      </c>
      <c r="Q78" s="39">
        <v>40</v>
      </c>
      <c r="R78" s="39">
        <v>40</v>
      </c>
      <c r="S78" s="39">
        <v>40</v>
      </c>
      <c r="T78" s="39">
        <v>38</v>
      </c>
      <c r="U78" s="39">
        <v>38</v>
      </c>
      <c r="V78" s="39"/>
      <c r="W78" s="39"/>
      <c r="X78" s="39"/>
      <c r="Y78" s="39"/>
      <c r="Z78" s="39"/>
      <c r="AA78" s="39">
        <v>36</v>
      </c>
      <c r="AB78" s="372">
        <f t="shared" ca="1" si="3"/>
        <v>-36</v>
      </c>
      <c r="AD78" s="134"/>
      <c r="AE78" s="134"/>
      <c r="AF78" s="1"/>
      <c r="AG78" s="76"/>
      <c r="AH78" s="41"/>
      <c r="AI78" s="19">
        <v>0</v>
      </c>
      <c r="AJ78" s="19"/>
      <c r="AK78" s="19">
        <v>0</v>
      </c>
      <c r="AL78" s="19">
        <v>0</v>
      </c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>
        <v>40</v>
      </c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</row>
    <row r="79" spans="1:62" x14ac:dyDescent="0.3">
      <c r="A79" s="95" t="s">
        <v>465</v>
      </c>
      <c r="B79" s="217">
        <v>150</v>
      </c>
      <c r="C79" s="218">
        <v>181.4</v>
      </c>
      <c r="D79" s="234">
        <v>15</v>
      </c>
      <c r="F79" s="39">
        <v>17</v>
      </c>
      <c r="G79" s="39">
        <v>16</v>
      </c>
      <c r="H79" s="39">
        <v>16</v>
      </c>
      <c r="I79" s="39">
        <v>16</v>
      </c>
      <c r="J79" s="39">
        <v>16</v>
      </c>
      <c r="K79" s="39">
        <v>16</v>
      </c>
      <c r="L79" s="39">
        <v>16</v>
      </c>
      <c r="M79" s="39">
        <v>16</v>
      </c>
      <c r="N79" s="39">
        <v>16</v>
      </c>
      <c r="O79" s="39">
        <v>16</v>
      </c>
      <c r="P79" s="39">
        <v>16</v>
      </c>
      <c r="Q79" s="39">
        <v>16</v>
      </c>
      <c r="R79" s="39">
        <v>16</v>
      </c>
      <c r="S79" s="39">
        <v>16</v>
      </c>
      <c r="T79" s="39">
        <v>18</v>
      </c>
      <c r="U79" s="39">
        <v>17</v>
      </c>
      <c r="V79" s="39"/>
      <c r="W79" s="39"/>
      <c r="X79" s="39"/>
      <c r="Y79" s="39"/>
      <c r="Z79" s="39"/>
      <c r="AA79" s="39">
        <v>15</v>
      </c>
      <c r="AB79" s="372">
        <f t="shared" ca="1" si="3"/>
        <v>-15</v>
      </c>
      <c r="AD79" s="134"/>
      <c r="AE79" s="134"/>
      <c r="AF79" s="1"/>
      <c r="AG79" s="76"/>
      <c r="AH79" s="41"/>
      <c r="AI79" s="19">
        <v>0</v>
      </c>
      <c r="AJ79" s="19"/>
      <c r="AK79" s="19">
        <v>0</v>
      </c>
      <c r="AL79" s="19">
        <v>0</v>
      </c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</row>
    <row r="80" spans="1:62" x14ac:dyDescent="0.3">
      <c r="A80" s="95" t="s">
        <v>466</v>
      </c>
      <c r="B80" s="217" t="s">
        <v>467</v>
      </c>
      <c r="C80" s="218" t="s">
        <v>467</v>
      </c>
      <c r="D80" s="234">
        <v>10</v>
      </c>
      <c r="F80" s="39">
        <v>0</v>
      </c>
      <c r="G80" s="39">
        <v>0</v>
      </c>
      <c r="H80" s="39">
        <v>0</v>
      </c>
      <c r="I80" s="39">
        <v>0</v>
      </c>
      <c r="J80" s="39">
        <v>0</v>
      </c>
      <c r="K80" s="39">
        <v>0</v>
      </c>
      <c r="L80" s="39">
        <v>0</v>
      </c>
      <c r="M80" s="39">
        <v>0</v>
      </c>
      <c r="N80" s="39">
        <v>0</v>
      </c>
      <c r="O80" s="39">
        <v>0</v>
      </c>
      <c r="P80" s="39">
        <v>0</v>
      </c>
      <c r="Q80" s="39">
        <v>0</v>
      </c>
      <c r="R80" s="39">
        <v>0</v>
      </c>
      <c r="S80" s="39">
        <v>0</v>
      </c>
      <c r="T80" s="39">
        <v>0</v>
      </c>
      <c r="U80" s="39">
        <v>0</v>
      </c>
      <c r="V80" s="39"/>
      <c r="W80" s="39"/>
      <c r="X80" s="39"/>
      <c r="Y80" s="39"/>
      <c r="Z80" s="39"/>
      <c r="AA80" s="39">
        <v>0</v>
      </c>
      <c r="AB80" s="372">
        <f t="shared" ca="1" si="3"/>
        <v>0</v>
      </c>
      <c r="AD80" s="134"/>
      <c r="AE80" s="134"/>
      <c r="AF80" s="1"/>
      <c r="AG80" s="76"/>
      <c r="AH80" s="41"/>
      <c r="AI80" s="19">
        <v>0</v>
      </c>
      <c r="AJ80" s="19"/>
      <c r="AK80" s="19">
        <v>0</v>
      </c>
      <c r="AL80" s="19">
        <v>0</v>
      </c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</row>
    <row r="81" spans="1:62" x14ac:dyDescent="0.3">
      <c r="A81" s="95" t="s">
        <v>468</v>
      </c>
      <c r="B81" s="217">
        <v>150</v>
      </c>
      <c r="C81" s="218">
        <v>400.5</v>
      </c>
      <c r="D81" s="234">
        <v>15</v>
      </c>
      <c r="F81" s="39">
        <v>1</v>
      </c>
      <c r="G81" s="39">
        <v>51</v>
      </c>
      <c r="H81" s="39">
        <v>9</v>
      </c>
      <c r="I81" s="39">
        <v>9</v>
      </c>
      <c r="J81" s="39">
        <v>8</v>
      </c>
      <c r="K81" s="39">
        <v>17</v>
      </c>
      <c r="L81" s="39">
        <v>17</v>
      </c>
      <c r="M81" s="39">
        <v>16</v>
      </c>
      <c r="N81" s="39">
        <v>16</v>
      </c>
      <c r="O81" s="39">
        <v>16</v>
      </c>
      <c r="P81" s="39">
        <v>16</v>
      </c>
      <c r="Q81" s="39">
        <v>16</v>
      </c>
      <c r="R81" s="39">
        <v>16</v>
      </c>
      <c r="S81" s="39">
        <v>15</v>
      </c>
      <c r="T81" s="39">
        <v>15</v>
      </c>
      <c r="U81" s="39">
        <v>15</v>
      </c>
      <c r="V81" s="39"/>
      <c r="W81" s="39"/>
      <c r="X81" s="39"/>
      <c r="Y81" s="39"/>
      <c r="Z81" s="39"/>
      <c r="AA81" s="39">
        <v>8</v>
      </c>
      <c r="AB81" s="372">
        <f t="shared" ca="1" si="3"/>
        <v>-8</v>
      </c>
      <c r="AD81" s="134"/>
      <c r="AE81" s="134"/>
      <c r="AF81" s="1"/>
      <c r="AG81" s="76"/>
      <c r="AH81" s="41"/>
      <c r="AI81" s="19">
        <v>0</v>
      </c>
      <c r="AJ81" s="19"/>
      <c r="AK81" s="19">
        <v>0</v>
      </c>
      <c r="AL81" s="19">
        <v>0</v>
      </c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</row>
    <row r="82" spans="1:62" x14ac:dyDescent="0.3">
      <c r="A82" s="95" t="s">
        <v>469</v>
      </c>
      <c r="B82" s="217">
        <v>100</v>
      </c>
      <c r="C82" s="218">
        <v>365</v>
      </c>
      <c r="D82" s="234">
        <v>15</v>
      </c>
      <c r="F82" s="39">
        <v>27</v>
      </c>
      <c r="G82" s="39">
        <v>24</v>
      </c>
      <c r="H82" s="39">
        <v>24</v>
      </c>
      <c r="I82" s="39">
        <v>24</v>
      </c>
      <c r="J82" s="39">
        <v>23</v>
      </c>
      <c r="K82" s="39">
        <v>22</v>
      </c>
      <c r="L82" s="39">
        <v>22</v>
      </c>
      <c r="M82" s="39">
        <v>22</v>
      </c>
      <c r="N82" s="39">
        <v>21</v>
      </c>
      <c r="O82" s="39">
        <v>21</v>
      </c>
      <c r="P82" s="39">
        <v>21</v>
      </c>
      <c r="Q82" s="39">
        <v>21</v>
      </c>
      <c r="R82" s="39">
        <v>21</v>
      </c>
      <c r="S82" s="39">
        <v>21</v>
      </c>
      <c r="T82" s="39">
        <v>20</v>
      </c>
      <c r="U82" s="39">
        <v>20</v>
      </c>
      <c r="V82" s="39"/>
      <c r="W82" s="39"/>
      <c r="X82" s="39"/>
      <c r="Y82" s="39"/>
      <c r="Z82" s="39"/>
      <c r="AA82" s="39">
        <v>16</v>
      </c>
      <c r="AB82" s="372">
        <f t="shared" ca="1" si="3"/>
        <v>-16</v>
      </c>
      <c r="AD82" s="134" t="s">
        <v>540</v>
      </c>
      <c r="AE82" s="134"/>
      <c r="AF82" s="1"/>
      <c r="AG82" s="76"/>
      <c r="AH82" s="41"/>
      <c r="AI82" s="19">
        <v>0</v>
      </c>
      <c r="AJ82" s="19"/>
      <c r="AK82" s="19">
        <v>0</v>
      </c>
      <c r="AL82" s="19">
        <v>0</v>
      </c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</row>
    <row r="83" spans="1:62" x14ac:dyDescent="0.3">
      <c r="A83" s="95" t="s">
        <v>470</v>
      </c>
      <c r="B83" s="217">
        <v>75</v>
      </c>
      <c r="C83" s="218">
        <v>438.75</v>
      </c>
      <c r="D83" s="234">
        <v>10</v>
      </c>
      <c r="F83" s="39">
        <v>21</v>
      </c>
      <c r="G83" s="39">
        <v>21</v>
      </c>
      <c r="H83" s="39">
        <v>20</v>
      </c>
      <c r="I83" s="39">
        <v>20</v>
      </c>
      <c r="J83" s="39">
        <v>20</v>
      </c>
      <c r="K83" s="39">
        <v>20</v>
      </c>
      <c r="L83" s="39">
        <v>20</v>
      </c>
      <c r="M83" s="39">
        <v>19</v>
      </c>
      <c r="N83" s="39">
        <v>19</v>
      </c>
      <c r="O83" s="39">
        <v>19</v>
      </c>
      <c r="P83" s="39">
        <v>19</v>
      </c>
      <c r="Q83" s="39">
        <v>19</v>
      </c>
      <c r="R83" s="39">
        <v>19</v>
      </c>
      <c r="S83" s="39">
        <v>18</v>
      </c>
      <c r="T83" s="39">
        <v>18</v>
      </c>
      <c r="U83" s="39">
        <v>18</v>
      </c>
      <c r="V83" s="39"/>
      <c r="W83" s="39"/>
      <c r="X83" s="39"/>
      <c r="Y83" s="39"/>
      <c r="Z83" s="39"/>
      <c r="AA83" s="39">
        <v>17</v>
      </c>
      <c r="AB83" s="372">
        <f t="shared" ca="1" si="3"/>
        <v>-17</v>
      </c>
      <c r="AD83" s="134"/>
      <c r="AE83" s="134"/>
      <c r="AF83" s="1"/>
      <c r="AG83" s="76"/>
      <c r="AH83" s="41"/>
      <c r="AI83" s="19">
        <v>0</v>
      </c>
      <c r="AJ83" s="19"/>
      <c r="AK83" s="19">
        <v>0</v>
      </c>
      <c r="AL83" s="19">
        <v>0</v>
      </c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</row>
    <row r="84" spans="1:62" x14ac:dyDescent="0.3">
      <c r="B84" s="41"/>
      <c r="C84" s="120"/>
      <c r="D84" s="120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D84" s="75"/>
      <c r="AE84" s="75"/>
      <c r="AF84" s="1"/>
      <c r="AG84" s="15"/>
      <c r="AH84" s="41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5"/>
      <c r="BA84" s="75"/>
      <c r="BB84" s="75"/>
      <c r="BC84" s="75"/>
      <c r="BD84" s="75"/>
      <c r="BE84" s="75"/>
      <c r="BF84" s="75"/>
      <c r="BG84" s="75"/>
      <c r="BH84" s="75"/>
      <c r="BI84" s="75"/>
      <c r="BJ84" s="75"/>
    </row>
    <row r="85" spans="1:62" x14ac:dyDescent="0.3">
      <c r="A85" s="256" t="s">
        <v>473</v>
      </c>
      <c r="B85" s="257" t="s">
        <v>151</v>
      </c>
      <c r="C85" s="257" t="s">
        <v>152</v>
      </c>
      <c r="D85" s="257"/>
      <c r="F85" s="13">
        <v>46006</v>
      </c>
      <c r="G85" s="13">
        <v>46013</v>
      </c>
      <c r="H85" s="13">
        <v>46020</v>
      </c>
      <c r="I85" s="13">
        <v>46027</v>
      </c>
      <c r="J85" s="13">
        <v>46034</v>
      </c>
      <c r="K85" s="13">
        <v>46041</v>
      </c>
      <c r="L85" s="13">
        <v>46048</v>
      </c>
      <c r="M85" s="13">
        <v>46055</v>
      </c>
      <c r="N85" s="13">
        <v>46062</v>
      </c>
      <c r="O85" s="13">
        <v>46069</v>
      </c>
      <c r="P85" s="13">
        <v>46076</v>
      </c>
      <c r="Q85" s="13">
        <v>46083</v>
      </c>
      <c r="R85" s="13">
        <v>46090</v>
      </c>
      <c r="S85" s="13">
        <v>46097</v>
      </c>
      <c r="T85" s="13">
        <v>46104</v>
      </c>
      <c r="U85" s="13">
        <v>46111</v>
      </c>
      <c r="V85" s="13">
        <v>46118</v>
      </c>
      <c r="W85" s="13">
        <v>46125</v>
      </c>
      <c r="X85" s="13">
        <v>46132</v>
      </c>
      <c r="Y85" s="13">
        <v>46139</v>
      </c>
      <c r="Z85" s="13">
        <v>46146</v>
      </c>
      <c r="AA85" s="13">
        <v>46154</v>
      </c>
      <c r="AB85" s="35" t="s">
        <v>129</v>
      </c>
      <c r="AD85" s="75"/>
      <c r="AE85" s="75"/>
      <c r="AF85" s="1"/>
      <c r="AG85" s="15"/>
      <c r="AH85" s="41"/>
      <c r="AI85" s="75"/>
      <c r="AJ85" s="75"/>
      <c r="AK85" s="75"/>
      <c r="AL85" s="75"/>
      <c r="AM85" s="75"/>
      <c r="AN85" s="75"/>
      <c r="AO85" s="75"/>
      <c r="AP85" s="75"/>
      <c r="AQ85" s="75"/>
      <c r="AR85" s="75"/>
      <c r="AS85" s="75"/>
      <c r="AT85" s="75"/>
      <c r="AU85" s="75"/>
      <c r="AV85" s="75"/>
      <c r="AW85" s="75"/>
      <c r="AX85" s="75"/>
      <c r="AY85" s="75"/>
      <c r="AZ85" s="75"/>
      <c r="BA85" s="75"/>
      <c r="BB85" s="75"/>
      <c r="BC85" s="75"/>
      <c r="BD85" s="75"/>
      <c r="BE85" s="75"/>
      <c r="BF85" s="75"/>
      <c r="BG85" s="75"/>
      <c r="BH85" s="75"/>
      <c r="BI85" s="75"/>
      <c r="BJ85" s="75"/>
    </row>
    <row r="86" spans="1:62" hidden="1" x14ac:dyDescent="0.3">
      <c r="A86" s="25" t="s">
        <v>474</v>
      </c>
      <c r="B86" s="6">
        <v>100</v>
      </c>
      <c r="C86" s="66">
        <v>316</v>
      </c>
      <c r="D86" s="234"/>
      <c r="F86" s="39">
        <v>0</v>
      </c>
      <c r="G86" s="39">
        <v>0</v>
      </c>
      <c r="H86" s="39">
        <v>0</v>
      </c>
      <c r="I86" s="39">
        <v>0</v>
      </c>
      <c r="J86" s="39">
        <v>0</v>
      </c>
      <c r="K86" s="39">
        <v>0</v>
      </c>
      <c r="L86" s="39">
        <v>0</v>
      </c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26" t="e">
        <f ca="1">Z86+IF(NOT(ISBLANK(OFFSET(AB86,0,6))),N(OFFSET(AB86,0,6)),N(OFFSET(AB86,0,7)))-#REF!</f>
        <v>#REF!</v>
      </c>
      <c r="AD86" s="75"/>
      <c r="AE86" s="75"/>
      <c r="AF86" s="1"/>
      <c r="AG86" s="15"/>
      <c r="AH86" s="41"/>
      <c r="AI86" s="75"/>
      <c r="AJ86" s="75"/>
      <c r="AK86" s="75"/>
      <c r="AL86" s="75"/>
      <c r="AM86" s="75"/>
      <c r="AN86" s="75"/>
      <c r="AO86" s="75"/>
      <c r="AP86" s="75"/>
      <c r="AQ86" s="75"/>
      <c r="AR86" s="75"/>
      <c r="AS86" s="75"/>
      <c r="AT86" s="75"/>
      <c r="AU86" s="75"/>
      <c r="AV86" s="75"/>
      <c r="AW86" s="75"/>
      <c r="AX86" s="75"/>
      <c r="AY86" s="75"/>
      <c r="AZ86" s="75"/>
      <c r="BA86" s="75"/>
      <c r="BB86" s="75"/>
      <c r="BC86" s="75"/>
      <c r="BD86" s="75"/>
      <c r="BE86" s="75"/>
      <c r="BF86" s="75"/>
      <c r="BG86" s="75"/>
      <c r="BH86" s="75"/>
      <c r="BI86" s="75"/>
      <c r="BJ86" s="75"/>
    </row>
    <row r="87" spans="1:62" hidden="1" x14ac:dyDescent="0.3">
      <c r="A87" s="25" t="s">
        <v>475</v>
      </c>
      <c r="B87" s="6">
        <v>100</v>
      </c>
      <c r="C87" s="66">
        <v>41</v>
      </c>
      <c r="D87" s="234"/>
      <c r="F87" s="39">
        <v>0</v>
      </c>
      <c r="G87" s="39">
        <v>0</v>
      </c>
      <c r="H87" s="39">
        <v>0</v>
      </c>
      <c r="I87" s="39">
        <v>0</v>
      </c>
      <c r="J87" s="39">
        <v>0</v>
      </c>
      <c r="K87" s="39">
        <v>0</v>
      </c>
      <c r="L87" s="39">
        <v>0</v>
      </c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26" t="e">
        <f ca="1">Z87+IF(NOT(ISBLANK(OFFSET(AB87,0,6))),N(OFFSET(AB87,0,6)),N(OFFSET(AB87,0,7)))-#REF!</f>
        <v>#REF!</v>
      </c>
      <c r="AD87" s="75"/>
      <c r="AE87" s="75"/>
      <c r="AF87" s="1"/>
      <c r="AG87" s="15"/>
      <c r="AH87" s="41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5"/>
      <c r="BA87" s="75"/>
      <c r="BB87" s="75"/>
      <c r="BC87" s="75"/>
      <c r="BD87" s="75"/>
      <c r="BE87" s="75"/>
      <c r="BF87" s="75"/>
      <c r="BG87" s="75"/>
      <c r="BH87" s="75"/>
      <c r="BI87" s="75"/>
      <c r="BJ87" s="75"/>
    </row>
    <row r="88" spans="1:62" x14ac:dyDescent="0.3">
      <c r="A88" s="25" t="s">
        <v>476</v>
      </c>
      <c r="B88" s="6">
        <v>150</v>
      </c>
      <c r="C88" s="66">
        <v>478.5</v>
      </c>
      <c r="D88" s="234"/>
      <c r="F88" s="39">
        <v>45</v>
      </c>
      <c r="G88" s="39">
        <v>45</v>
      </c>
      <c r="H88" s="39">
        <v>45</v>
      </c>
      <c r="I88" s="39">
        <v>45</v>
      </c>
      <c r="J88" s="39">
        <v>45</v>
      </c>
      <c r="K88" s="39">
        <v>46</v>
      </c>
      <c r="L88" s="39">
        <v>46</v>
      </c>
      <c r="M88" s="39">
        <v>46</v>
      </c>
      <c r="N88" s="206">
        <v>100</v>
      </c>
      <c r="O88" s="39">
        <v>60</v>
      </c>
      <c r="P88" s="39">
        <v>60</v>
      </c>
      <c r="Q88" s="39">
        <v>60</v>
      </c>
      <c r="R88" s="39">
        <v>56</v>
      </c>
      <c r="S88" s="39">
        <v>56</v>
      </c>
      <c r="T88" s="39">
        <v>56</v>
      </c>
      <c r="U88" s="39">
        <v>56</v>
      </c>
      <c r="V88" s="39"/>
      <c r="W88" s="39"/>
      <c r="X88" s="39"/>
      <c r="Y88" s="39"/>
      <c r="Z88" s="39"/>
      <c r="AA88" s="39">
        <v>49</v>
      </c>
      <c r="AB88" s="372">
        <f ca="1">Z88+IF(NOT(ISBLANK(OFFSET(AB88,0,6))),N(OFFSET(AB88,0,6)),N(OFFSET(AB88,0,7)))-AA88</f>
        <v>-49</v>
      </c>
      <c r="AD88" s="75"/>
      <c r="AE88" s="75"/>
      <c r="AF88" s="1"/>
      <c r="AG88" s="15"/>
      <c r="AH88" s="41"/>
      <c r="AI88" s="75"/>
      <c r="AJ88" s="75"/>
      <c r="AK88" s="75"/>
      <c r="AL88" s="75"/>
      <c r="AM88" s="75"/>
      <c r="AN88" s="75"/>
      <c r="AO88" s="75"/>
      <c r="AP88" s="75"/>
      <c r="AQ88" s="75"/>
      <c r="AR88" s="75"/>
      <c r="AS88" s="75"/>
      <c r="AT88" s="75"/>
      <c r="AU88" s="75"/>
      <c r="AV88" s="75"/>
      <c r="AW88" s="75"/>
      <c r="AX88" s="75"/>
      <c r="AY88" s="75"/>
      <c r="AZ88" s="75"/>
      <c r="BA88" s="75"/>
      <c r="BB88" s="75"/>
      <c r="BC88" s="75"/>
      <c r="BD88" s="75"/>
      <c r="BE88" s="75"/>
      <c r="BF88" s="75"/>
      <c r="BG88" s="75"/>
      <c r="BH88" s="75"/>
      <c r="BI88" s="75"/>
      <c r="BJ88" s="75"/>
    </row>
    <row r="89" spans="1:62" x14ac:dyDescent="0.3">
      <c r="B89" s="41"/>
      <c r="C89" s="120"/>
      <c r="D89" s="120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D89" s="75"/>
      <c r="AE89" s="75"/>
      <c r="AF89" s="1"/>
      <c r="AG89" s="15"/>
      <c r="AH89" s="41"/>
      <c r="AI89" s="75"/>
      <c r="AJ89" s="75"/>
      <c r="AK89" s="75"/>
      <c r="AL89" s="75"/>
      <c r="AM89" s="75"/>
      <c r="AN89" s="75"/>
      <c r="AO89" s="75"/>
      <c r="AP89" s="75"/>
      <c r="AQ89" s="75"/>
      <c r="AR89" s="75"/>
      <c r="AS89" s="75"/>
      <c r="AT89" s="75"/>
      <c r="AU89" s="75"/>
      <c r="AV89" s="75"/>
      <c r="AW89" s="75"/>
      <c r="AX89" s="75"/>
      <c r="AY89" s="75"/>
      <c r="AZ89" s="75"/>
      <c r="BA89" s="75"/>
      <c r="BB89" s="75"/>
      <c r="BC89" s="75"/>
      <c r="BD89" s="75"/>
      <c r="BE89" s="75"/>
      <c r="BF89" s="75"/>
      <c r="BG89" s="75"/>
      <c r="BH89" s="75"/>
      <c r="BI89" s="75"/>
      <c r="BJ89" s="75"/>
    </row>
    <row r="90" spans="1:62" x14ac:dyDescent="0.3">
      <c r="A90" s="407" t="s">
        <v>477</v>
      </c>
      <c r="B90" s="408" t="s">
        <v>151</v>
      </c>
      <c r="C90" s="408" t="s">
        <v>152</v>
      </c>
      <c r="D90" s="408"/>
      <c r="F90" s="13">
        <v>46006</v>
      </c>
      <c r="G90" s="13">
        <v>46013</v>
      </c>
      <c r="H90" s="13">
        <v>46020</v>
      </c>
      <c r="I90" s="13">
        <v>46027</v>
      </c>
      <c r="J90" s="13">
        <v>46034</v>
      </c>
      <c r="K90" s="13">
        <v>46041</v>
      </c>
      <c r="L90" s="13">
        <v>46048</v>
      </c>
      <c r="M90" s="13">
        <v>46055</v>
      </c>
      <c r="N90" s="13">
        <v>46062</v>
      </c>
      <c r="O90" s="13">
        <v>46069</v>
      </c>
      <c r="P90" s="13">
        <v>46076</v>
      </c>
      <c r="Q90" s="13">
        <v>46083</v>
      </c>
      <c r="R90" s="13">
        <v>46090</v>
      </c>
      <c r="S90" s="13">
        <v>46097</v>
      </c>
      <c r="T90" s="13">
        <v>46104</v>
      </c>
      <c r="U90" s="13">
        <v>46111</v>
      </c>
      <c r="V90" s="13">
        <v>46118</v>
      </c>
      <c r="W90" s="13">
        <v>46125</v>
      </c>
      <c r="X90" s="13">
        <v>46132</v>
      </c>
      <c r="Y90" s="13">
        <v>46139</v>
      </c>
      <c r="Z90" s="13">
        <v>46146</v>
      </c>
      <c r="AA90" s="13">
        <v>46154</v>
      </c>
      <c r="AB90" s="35" t="s">
        <v>129</v>
      </c>
    </row>
    <row r="91" spans="1:62" hidden="1" x14ac:dyDescent="0.3">
      <c r="A91" s="25" t="s">
        <v>421</v>
      </c>
      <c r="B91" s="6">
        <v>200</v>
      </c>
      <c r="C91" s="66">
        <v>479.2</v>
      </c>
      <c r="D91" s="234"/>
      <c r="F91" s="39">
        <v>0</v>
      </c>
      <c r="G91" s="39">
        <v>0</v>
      </c>
      <c r="H91" s="39">
        <v>0</v>
      </c>
      <c r="I91" s="39">
        <v>0</v>
      </c>
      <c r="J91" s="39">
        <v>0</v>
      </c>
      <c r="K91" s="39">
        <v>0</v>
      </c>
      <c r="L91" s="39">
        <v>0</v>
      </c>
      <c r="M91" s="39">
        <v>0</v>
      </c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26" t="e">
        <f ca="1">Z91+IF(NOT(ISBLANK(OFFSET(AB91,0,6))),N(OFFSET(AB91,0,6)),N(OFFSET(AB91,0,7)))-#REF!</f>
        <v>#REF!</v>
      </c>
    </row>
    <row r="92" spans="1:62" x14ac:dyDescent="0.3">
      <c r="A92" s="25" t="s">
        <v>143</v>
      </c>
      <c r="B92" s="6">
        <v>200</v>
      </c>
      <c r="C92" s="66">
        <v>45.47</v>
      </c>
      <c r="D92" s="234"/>
      <c r="F92" s="39">
        <v>17</v>
      </c>
      <c r="G92" s="39">
        <v>15</v>
      </c>
      <c r="H92" s="39">
        <v>15</v>
      </c>
      <c r="I92" s="39">
        <v>15</v>
      </c>
      <c r="J92" s="39">
        <v>7</v>
      </c>
      <c r="K92" s="39">
        <v>10</v>
      </c>
      <c r="L92" s="39">
        <v>10</v>
      </c>
      <c r="M92" s="39">
        <v>10</v>
      </c>
      <c r="N92" s="39">
        <v>10</v>
      </c>
      <c r="O92" s="39">
        <v>10</v>
      </c>
      <c r="P92" s="39">
        <v>10</v>
      </c>
      <c r="Q92" s="39">
        <v>2</v>
      </c>
      <c r="R92" s="39">
        <v>2</v>
      </c>
      <c r="S92" s="39">
        <v>2</v>
      </c>
      <c r="T92" s="39">
        <v>2</v>
      </c>
      <c r="U92" s="39">
        <v>2</v>
      </c>
      <c r="V92" s="39"/>
      <c r="W92" s="39"/>
      <c r="X92" s="39"/>
      <c r="Y92" s="39"/>
      <c r="Z92" s="39"/>
      <c r="AA92" s="39">
        <v>0</v>
      </c>
      <c r="AB92" s="372">
        <f ca="1">Z92+IF(NOT(ISBLANK(OFFSET(AB92,0,6))),N(OFFSET(AB92,0,6)),N(OFFSET(AB92,0,7)))-AA92</f>
        <v>0</v>
      </c>
    </row>
    <row r="93" spans="1:62" x14ac:dyDescent="0.3">
      <c r="A93" s="25" t="s">
        <v>156</v>
      </c>
      <c r="B93" s="6">
        <v>100</v>
      </c>
      <c r="C93" s="66">
        <v>1490</v>
      </c>
      <c r="D93" s="234"/>
      <c r="F93" s="39">
        <v>37</v>
      </c>
      <c r="G93" s="39">
        <v>32</v>
      </c>
      <c r="H93" s="39">
        <v>31</v>
      </c>
      <c r="I93" s="39">
        <v>31</v>
      </c>
      <c r="J93" s="39">
        <v>31</v>
      </c>
      <c r="K93" s="39">
        <v>29</v>
      </c>
      <c r="L93" s="39">
        <v>29</v>
      </c>
      <c r="M93" s="39">
        <v>29</v>
      </c>
      <c r="N93" s="39">
        <v>29</v>
      </c>
      <c r="O93" s="39">
        <v>29</v>
      </c>
      <c r="P93" s="39">
        <v>29</v>
      </c>
      <c r="Q93" s="39">
        <v>29</v>
      </c>
      <c r="R93" s="39">
        <v>29</v>
      </c>
      <c r="S93" s="39">
        <v>29</v>
      </c>
      <c r="T93" s="39">
        <v>29</v>
      </c>
      <c r="U93" s="39">
        <v>29</v>
      </c>
      <c r="V93" s="39"/>
      <c r="W93" s="39"/>
      <c r="X93" s="39"/>
      <c r="Y93" s="39"/>
      <c r="Z93" s="39"/>
      <c r="AA93" s="39">
        <v>29</v>
      </c>
      <c r="AB93" s="372">
        <f ca="1">Z93+IF(NOT(ISBLANK(OFFSET(AB93,0,6))),N(OFFSET(AB93,0,6)),N(OFFSET(AB93,0,7)))-AA93</f>
        <v>-29</v>
      </c>
    </row>
    <row r="94" spans="1:62" x14ac:dyDescent="0.3">
      <c r="B94" s="41"/>
      <c r="C94" s="120"/>
      <c r="D94" s="120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D94" s="75"/>
      <c r="AE94" s="75"/>
      <c r="AF94" s="1"/>
      <c r="AG94" s="15"/>
      <c r="AH94" s="41"/>
      <c r="AI94" s="75"/>
      <c r="AJ94" s="75"/>
      <c r="AK94" s="75"/>
      <c r="AL94" s="75"/>
      <c r="AM94" s="75"/>
      <c r="AN94" s="75"/>
      <c r="AO94" s="75"/>
      <c r="AP94" s="75"/>
      <c r="AQ94" s="75"/>
      <c r="AR94" s="75"/>
      <c r="AS94" s="75"/>
      <c r="AT94" s="75"/>
      <c r="AU94" s="75"/>
      <c r="AV94" s="75"/>
      <c r="AW94" s="75"/>
      <c r="AX94" s="75"/>
      <c r="AY94" s="75"/>
      <c r="AZ94" s="75"/>
      <c r="BA94" s="75"/>
      <c r="BB94" s="75"/>
      <c r="BC94" s="75"/>
      <c r="BD94" s="75"/>
      <c r="BE94" s="75"/>
      <c r="BF94" s="75"/>
      <c r="BG94" s="75"/>
      <c r="BH94" s="75"/>
      <c r="BI94" s="75"/>
      <c r="BJ94" s="75"/>
    </row>
    <row r="95" spans="1:62" x14ac:dyDescent="0.3">
      <c r="A95" s="270" t="s">
        <v>478</v>
      </c>
      <c r="B95" s="271" t="s">
        <v>151</v>
      </c>
      <c r="C95" s="271" t="s">
        <v>152</v>
      </c>
      <c r="D95" s="271"/>
      <c r="F95" s="13">
        <v>46006</v>
      </c>
      <c r="G95" s="13">
        <v>46013</v>
      </c>
      <c r="H95" s="13">
        <v>46020</v>
      </c>
      <c r="I95" s="13">
        <v>46027</v>
      </c>
      <c r="J95" s="13">
        <v>46034</v>
      </c>
      <c r="K95" s="13">
        <v>46041</v>
      </c>
      <c r="L95" s="13">
        <v>46048</v>
      </c>
      <c r="M95" s="13">
        <v>46055</v>
      </c>
      <c r="N95" s="13">
        <v>46062</v>
      </c>
      <c r="O95" s="13">
        <v>46069</v>
      </c>
      <c r="P95" s="13">
        <v>46076</v>
      </c>
      <c r="Q95" s="13">
        <v>46083</v>
      </c>
      <c r="R95" s="13">
        <v>46090</v>
      </c>
      <c r="S95" s="13">
        <v>46097</v>
      </c>
      <c r="T95" s="13">
        <v>46104</v>
      </c>
      <c r="U95" s="13">
        <v>46111</v>
      </c>
      <c r="V95" s="13">
        <v>46118</v>
      </c>
      <c r="W95" s="13">
        <v>46125</v>
      </c>
      <c r="X95" s="13">
        <v>46132</v>
      </c>
      <c r="Y95" s="13">
        <v>46139</v>
      </c>
      <c r="Z95" s="13">
        <v>46146</v>
      </c>
      <c r="AA95" s="13">
        <v>46154</v>
      </c>
      <c r="AB95" s="35" t="s">
        <v>129</v>
      </c>
      <c r="AD95" s="75"/>
      <c r="AE95" s="75"/>
      <c r="AF95" s="1"/>
      <c r="AG95" s="15"/>
      <c r="AH95" s="41"/>
      <c r="AI95" s="75"/>
      <c r="AJ95" s="75"/>
      <c r="AK95" s="75"/>
      <c r="AL95" s="75"/>
      <c r="AM95" s="75"/>
      <c r="AN95" s="75"/>
      <c r="AO95" s="75"/>
      <c r="AP95" s="75"/>
      <c r="AQ95" s="75"/>
      <c r="AR95" s="75"/>
      <c r="AS95" s="75"/>
      <c r="AT95" s="75"/>
      <c r="AU95" s="75"/>
      <c r="AV95" s="75"/>
      <c r="AW95" s="75"/>
      <c r="AX95" s="75"/>
      <c r="AY95" s="75"/>
      <c r="AZ95" s="75"/>
      <c r="BA95" s="75"/>
      <c r="BB95" s="75"/>
      <c r="BC95" s="75"/>
      <c r="BD95" s="75"/>
      <c r="BE95" s="75"/>
      <c r="BF95" s="75"/>
      <c r="BG95" s="75"/>
      <c r="BH95" s="75"/>
      <c r="BI95" s="75"/>
      <c r="BJ95" s="75"/>
    </row>
    <row r="96" spans="1:62" x14ac:dyDescent="0.3">
      <c r="A96" s="25" t="s">
        <v>138</v>
      </c>
      <c r="B96" s="6">
        <v>200</v>
      </c>
      <c r="C96" s="66">
        <v>336</v>
      </c>
      <c r="D96" s="234"/>
      <c r="F96" s="39">
        <v>89</v>
      </c>
      <c r="G96" s="39">
        <v>21</v>
      </c>
      <c r="H96" s="39">
        <v>4</v>
      </c>
      <c r="I96" s="39">
        <v>4</v>
      </c>
      <c r="J96" s="39">
        <v>4</v>
      </c>
      <c r="K96" s="39">
        <v>55</v>
      </c>
      <c r="L96" s="39">
        <v>55</v>
      </c>
      <c r="M96" s="39">
        <v>55</v>
      </c>
      <c r="N96" s="39">
        <v>55</v>
      </c>
      <c r="O96" s="39">
        <v>55</v>
      </c>
      <c r="P96" s="39">
        <v>54</v>
      </c>
      <c r="Q96" s="39">
        <v>40</v>
      </c>
      <c r="R96" s="39">
        <v>13</v>
      </c>
      <c r="S96" s="39">
        <v>12</v>
      </c>
      <c r="T96" s="39">
        <v>0</v>
      </c>
      <c r="U96" s="39">
        <v>0</v>
      </c>
      <c r="V96" s="39"/>
      <c r="W96" s="39"/>
      <c r="X96" s="39"/>
      <c r="Y96" s="39"/>
      <c r="Z96" s="39"/>
      <c r="AA96" s="39">
        <v>0</v>
      </c>
      <c r="AB96" s="372">
        <f ca="1">Z96+IF(NOT(ISBLANK(OFFSET(AB96,0,6))),N(OFFSET(AB96,0,6)),N(OFFSET(AB96,0,7)))-AA96</f>
        <v>0</v>
      </c>
      <c r="AD96" s="75"/>
      <c r="AE96" s="75"/>
      <c r="AF96" s="1"/>
      <c r="AG96" s="15"/>
      <c r="AH96" s="41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5"/>
      <c r="BA96" s="75"/>
      <c r="BB96" s="75"/>
      <c r="BC96" s="75"/>
      <c r="BD96" s="75"/>
      <c r="BE96" s="75"/>
      <c r="BF96" s="75"/>
      <c r="BG96" s="75"/>
      <c r="BH96" s="75"/>
      <c r="BI96" s="75"/>
      <c r="BJ96" s="75"/>
    </row>
    <row r="97" spans="1:62" x14ac:dyDescent="0.3">
      <c r="A97" s="25" t="s">
        <v>143</v>
      </c>
      <c r="B97" s="6">
        <v>200</v>
      </c>
      <c r="C97" s="66">
        <v>54</v>
      </c>
      <c r="D97" s="234"/>
      <c r="F97" s="39">
        <v>246</v>
      </c>
      <c r="G97" s="39">
        <v>217</v>
      </c>
      <c r="H97" s="39">
        <v>209</v>
      </c>
      <c r="I97" s="39">
        <v>209</v>
      </c>
      <c r="J97" s="39">
        <v>207</v>
      </c>
      <c r="K97" s="39">
        <v>196</v>
      </c>
      <c r="L97" s="39">
        <v>196</v>
      </c>
      <c r="M97" s="39">
        <v>196</v>
      </c>
      <c r="N97" s="39">
        <v>196</v>
      </c>
      <c r="O97" s="39">
        <v>196</v>
      </c>
      <c r="P97" s="39">
        <v>157</v>
      </c>
      <c r="Q97" s="39">
        <v>157</v>
      </c>
      <c r="R97" s="39">
        <v>157</v>
      </c>
      <c r="S97" s="39">
        <v>157</v>
      </c>
      <c r="T97" s="39">
        <v>157</v>
      </c>
      <c r="U97" s="39">
        <v>157</v>
      </c>
      <c r="V97" s="39"/>
      <c r="W97" s="39"/>
      <c r="X97" s="39"/>
      <c r="Y97" s="39"/>
      <c r="Z97" s="39"/>
      <c r="AA97" s="39">
        <v>146</v>
      </c>
      <c r="AB97" s="372">
        <f ca="1">Z97+IF(NOT(ISBLANK(OFFSET(AB97,0,6))),N(OFFSET(AB97,0,6)),N(OFFSET(AB97,0,7)))-AA97</f>
        <v>-146</v>
      </c>
      <c r="AD97" s="75"/>
      <c r="AE97" s="75"/>
      <c r="AF97" s="1"/>
      <c r="AG97" s="15"/>
      <c r="AH97" s="41"/>
      <c r="AI97" s="75"/>
      <c r="AJ97" s="75"/>
      <c r="AK97" s="75"/>
      <c r="AL97" s="75"/>
      <c r="AM97" s="75"/>
      <c r="AN97" s="75"/>
      <c r="AO97" s="75"/>
      <c r="AP97" s="75"/>
      <c r="AQ97" s="75"/>
      <c r="AR97" s="75"/>
      <c r="AS97" s="75"/>
      <c r="AT97" s="75"/>
      <c r="AU97" s="75"/>
      <c r="AV97" s="75"/>
      <c r="AW97" s="75"/>
      <c r="AX97" s="75"/>
      <c r="AY97" s="75"/>
      <c r="AZ97" s="75"/>
      <c r="BA97" s="75"/>
      <c r="BB97" s="75"/>
      <c r="BC97" s="75"/>
      <c r="BD97" s="75"/>
      <c r="BE97" s="75"/>
      <c r="BF97" s="75"/>
      <c r="BG97" s="75"/>
      <c r="BH97" s="75"/>
      <c r="BI97" s="75"/>
      <c r="BJ97" s="75"/>
    </row>
    <row r="98" spans="1:62" x14ac:dyDescent="0.3">
      <c r="A98" s="25" t="s">
        <v>479</v>
      </c>
      <c r="B98" s="6">
        <v>200</v>
      </c>
      <c r="C98" s="66">
        <v>40</v>
      </c>
      <c r="D98" s="234"/>
      <c r="F98" s="39">
        <v>0</v>
      </c>
      <c r="G98" s="39">
        <v>0</v>
      </c>
      <c r="H98" s="39">
        <v>0</v>
      </c>
      <c r="I98" s="39">
        <v>0</v>
      </c>
      <c r="J98" s="39">
        <v>0</v>
      </c>
      <c r="K98" s="39">
        <v>0</v>
      </c>
      <c r="L98" s="39">
        <v>0</v>
      </c>
      <c r="M98" s="39">
        <v>0</v>
      </c>
      <c r="N98" s="39">
        <v>0</v>
      </c>
      <c r="O98" s="39">
        <v>0</v>
      </c>
      <c r="P98" s="39">
        <v>5</v>
      </c>
      <c r="Q98" s="39">
        <v>5</v>
      </c>
      <c r="R98" s="39">
        <v>5</v>
      </c>
      <c r="S98" s="39">
        <v>5</v>
      </c>
      <c r="T98" s="39">
        <v>0</v>
      </c>
      <c r="U98" s="39">
        <v>0</v>
      </c>
      <c r="V98" s="39"/>
      <c r="W98" s="39"/>
      <c r="X98" s="39"/>
      <c r="Y98" s="39"/>
      <c r="Z98" s="39"/>
      <c r="AA98" s="39">
        <v>0</v>
      </c>
      <c r="AB98" s="372">
        <f ca="1">Z98+IF(NOT(ISBLANK(OFFSET(AB98,0,6))),N(OFFSET(AB98,0,6)),N(OFFSET(AB98,0,7)))-AA98</f>
        <v>0</v>
      </c>
      <c r="AD98" s="75"/>
      <c r="AE98" s="75"/>
      <c r="AF98" s="1"/>
      <c r="AG98" s="15"/>
      <c r="AH98" s="41"/>
      <c r="AI98" s="75"/>
      <c r="AJ98" s="75"/>
      <c r="AK98" s="75"/>
      <c r="AL98" s="75"/>
      <c r="AM98" s="75"/>
      <c r="AN98" s="75"/>
      <c r="AO98" s="75"/>
      <c r="AP98" s="75"/>
      <c r="AQ98" s="75"/>
      <c r="AR98" s="75"/>
      <c r="AS98" s="75"/>
      <c r="AT98" s="75"/>
      <c r="AU98" s="75"/>
      <c r="AV98" s="75"/>
      <c r="AW98" s="75"/>
      <c r="AX98" s="75"/>
      <c r="AY98" s="75"/>
      <c r="AZ98" s="75"/>
      <c r="BA98" s="75"/>
      <c r="BB98" s="75"/>
      <c r="BC98" s="75"/>
      <c r="BD98" s="75"/>
      <c r="BE98" s="75"/>
      <c r="BF98" s="75"/>
      <c r="BG98" s="75"/>
      <c r="BH98" s="75"/>
      <c r="BI98" s="75"/>
      <c r="BJ98" s="75"/>
    </row>
    <row r="99" spans="1:62" x14ac:dyDescent="0.3">
      <c r="A99" s="153" t="s">
        <v>156</v>
      </c>
      <c r="B99" s="72">
        <v>100</v>
      </c>
      <c r="C99" s="77">
        <v>904</v>
      </c>
      <c r="D99" s="72"/>
      <c r="F99" s="39">
        <v>108</v>
      </c>
      <c r="G99" s="39">
        <v>108</v>
      </c>
      <c r="H99" s="39">
        <v>108</v>
      </c>
      <c r="I99" s="39">
        <v>108</v>
      </c>
      <c r="J99" s="39">
        <v>108</v>
      </c>
      <c r="K99" s="39">
        <v>116</v>
      </c>
      <c r="L99" s="39">
        <v>116</v>
      </c>
      <c r="M99" s="39">
        <v>116</v>
      </c>
      <c r="N99" s="39">
        <v>116</v>
      </c>
      <c r="O99" s="39">
        <v>116</v>
      </c>
      <c r="P99" s="39">
        <v>109</v>
      </c>
      <c r="Q99" s="39">
        <v>109</v>
      </c>
      <c r="R99" s="39">
        <v>109</v>
      </c>
      <c r="S99" s="39">
        <v>109</v>
      </c>
      <c r="T99" s="39">
        <v>108</v>
      </c>
      <c r="U99" s="39">
        <v>108</v>
      </c>
      <c r="V99" s="39"/>
      <c r="W99" s="39"/>
      <c r="X99" s="39"/>
      <c r="Y99" s="39"/>
      <c r="Z99" s="39"/>
      <c r="AA99" s="39">
        <v>105</v>
      </c>
      <c r="AB99" s="372">
        <f ca="1">Z99+IF(NOT(ISBLANK(OFFSET(AB99,0,6))),N(OFFSET(AB99,0,6)),N(OFFSET(AB99,0,7)))-AA99</f>
        <v>-105</v>
      </c>
      <c r="AD99" s="75"/>
      <c r="AE99" s="75"/>
      <c r="AF99" s="1"/>
      <c r="AG99" s="15"/>
      <c r="AH99" s="41"/>
      <c r="AI99" s="75"/>
      <c r="AJ99" s="75"/>
      <c r="AK99" s="75"/>
      <c r="AL99" s="75"/>
      <c r="AM99" s="75"/>
      <c r="AN99" s="75"/>
      <c r="AO99" s="75"/>
      <c r="AP99" s="75"/>
      <c r="AQ99" s="75"/>
      <c r="AR99" s="75"/>
      <c r="AS99" s="75"/>
      <c r="AT99" s="75"/>
      <c r="AU99" s="75"/>
      <c r="AV99" s="75"/>
      <c r="AW99" s="75"/>
      <c r="AX99" s="75"/>
      <c r="AY99" s="75"/>
      <c r="AZ99" s="75"/>
      <c r="BA99" s="75"/>
      <c r="BB99" s="75"/>
      <c r="BC99" s="75"/>
      <c r="BD99" s="75"/>
      <c r="BE99" s="75"/>
      <c r="BF99" s="75"/>
      <c r="BG99" s="75"/>
      <c r="BH99" s="75"/>
      <c r="BI99" s="75"/>
      <c r="BJ99" s="75"/>
    </row>
    <row r="100" spans="1:62" x14ac:dyDescent="0.3">
      <c r="A100" s="153" t="s">
        <v>158</v>
      </c>
      <c r="B100" s="72">
        <v>200</v>
      </c>
      <c r="C100" s="77">
        <v>464</v>
      </c>
      <c r="D100" s="72"/>
      <c r="F100" s="39">
        <v>201</v>
      </c>
      <c r="G100" s="39">
        <v>199</v>
      </c>
      <c r="H100" s="39">
        <v>198</v>
      </c>
      <c r="I100" s="39">
        <v>198</v>
      </c>
      <c r="J100" s="39">
        <v>198</v>
      </c>
      <c r="K100" s="39">
        <v>199</v>
      </c>
      <c r="L100" s="39">
        <v>199</v>
      </c>
      <c r="M100" s="39">
        <v>199</v>
      </c>
      <c r="N100" s="39">
        <v>199</v>
      </c>
      <c r="O100" s="39">
        <v>199</v>
      </c>
      <c r="P100" s="39">
        <v>198</v>
      </c>
      <c r="Q100" s="39">
        <v>197</v>
      </c>
      <c r="R100" s="39">
        <v>197</v>
      </c>
      <c r="S100" s="39">
        <v>195</v>
      </c>
      <c r="T100" s="39">
        <v>195</v>
      </c>
      <c r="U100" s="39">
        <v>195</v>
      </c>
      <c r="V100" s="39"/>
      <c r="W100" s="39"/>
      <c r="X100" s="39"/>
      <c r="Y100" s="39"/>
      <c r="Z100" s="39"/>
      <c r="AA100" s="39">
        <v>180</v>
      </c>
      <c r="AB100" s="372">
        <f ca="1">Z100+IF(NOT(ISBLANK(OFFSET(AB100,0,6))),N(OFFSET(AB100,0,6)),N(OFFSET(AB100,0,7)))-AA100</f>
        <v>-180</v>
      </c>
      <c r="AD100" s="75"/>
      <c r="AE100" s="75"/>
      <c r="AF100" s="1"/>
      <c r="AG100" s="15"/>
      <c r="AH100" s="41"/>
      <c r="AI100" s="75"/>
      <c r="AJ100" s="75"/>
      <c r="AK100" s="75"/>
      <c r="AL100" s="75"/>
      <c r="AM100" s="75"/>
      <c r="AN100" s="75"/>
      <c r="AO100" s="75"/>
      <c r="AP100" s="75"/>
      <c r="AQ100" s="75"/>
      <c r="AR100" s="75"/>
      <c r="AS100" s="75"/>
      <c r="AT100" s="75"/>
      <c r="AU100" s="75"/>
      <c r="AV100" s="75"/>
      <c r="AW100" s="75"/>
      <c r="AX100" s="75"/>
      <c r="AY100" s="75"/>
      <c r="AZ100" s="75"/>
      <c r="BA100" s="75"/>
      <c r="BB100" s="75"/>
      <c r="BC100" s="75"/>
      <c r="BD100" s="75"/>
      <c r="BE100" s="75"/>
      <c r="BF100" s="75"/>
      <c r="BG100" s="75"/>
      <c r="BH100" s="75"/>
      <c r="BI100" s="75"/>
      <c r="BJ100" s="75"/>
    </row>
    <row r="101" spans="1:62" x14ac:dyDescent="0.3"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D101" s="75"/>
      <c r="AE101" s="75"/>
      <c r="AF101" s="1"/>
      <c r="AG101" s="15"/>
      <c r="AH101" s="41"/>
      <c r="AI101" s="75"/>
      <c r="AJ101" s="75"/>
      <c r="AK101" s="75"/>
      <c r="AL101" s="75"/>
      <c r="AM101" s="75"/>
      <c r="AN101" s="75"/>
      <c r="AO101" s="75"/>
      <c r="AP101" s="75"/>
      <c r="AQ101" s="75"/>
      <c r="AR101" s="75"/>
      <c r="AS101" s="75"/>
      <c r="AT101" s="75"/>
      <c r="AU101" s="75"/>
      <c r="AV101" s="75"/>
      <c r="AW101" s="75"/>
      <c r="AX101" s="75"/>
      <c r="AY101" s="75"/>
      <c r="AZ101" s="75"/>
      <c r="BA101" s="75"/>
      <c r="BB101" s="75"/>
      <c r="BC101" s="75"/>
      <c r="BD101" s="75"/>
      <c r="BE101" s="75"/>
      <c r="BF101" s="75"/>
      <c r="BG101" s="75"/>
      <c r="BH101" s="75"/>
      <c r="BI101" s="75"/>
      <c r="BJ101" s="75"/>
    </row>
    <row r="102" spans="1:62" x14ac:dyDescent="0.3">
      <c r="A102" s="272" t="s">
        <v>480</v>
      </c>
      <c r="B102" s="248" t="s">
        <v>151</v>
      </c>
      <c r="C102" s="248" t="s">
        <v>152</v>
      </c>
      <c r="D102" s="248"/>
      <c r="F102" s="13">
        <v>46006</v>
      </c>
      <c r="G102" s="13">
        <v>46013</v>
      </c>
      <c r="H102" s="13">
        <v>46020</v>
      </c>
      <c r="I102" s="13">
        <v>46027</v>
      </c>
      <c r="J102" s="13">
        <v>46034</v>
      </c>
      <c r="K102" s="13">
        <v>46041</v>
      </c>
      <c r="L102" s="13">
        <v>46048</v>
      </c>
      <c r="M102" s="13">
        <v>46055</v>
      </c>
      <c r="N102" s="13">
        <v>46062</v>
      </c>
      <c r="O102" s="13">
        <v>46069</v>
      </c>
      <c r="P102" s="13">
        <v>46076</v>
      </c>
      <c r="Q102" s="13">
        <v>46083</v>
      </c>
      <c r="R102" s="13">
        <v>46090</v>
      </c>
      <c r="S102" s="13">
        <v>46097</v>
      </c>
      <c r="T102" s="13">
        <v>46104</v>
      </c>
      <c r="U102" s="13">
        <v>46111</v>
      </c>
      <c r="V102" s="13">
        <v>46118</v>
      </c>
      <c r="W102" s="13">
        <v>46125</v>
      </c>
      <c r="X102" s="13">
        <v>46132</v>
      </c>
      <c r="Y102" s="13">
        <v>46139</v>
      </c>
      <c r="Z102" s="13">
        <v>46146</v>
      </c>
      <c r="AA102" s="13">
        <v>46154</v>
      </c>
      <c r="AB102" s="35" t="s">
        <v>129</v>
      </c>
      <c r="AD102" s="75"/>
      <c r="AE102" s="75"/>
      <c r="AF102" s="1"/>
      <c r="AG102" s="15"/>
      <c r="AH102" s="41"/>
      <c r="AI102" s="75"/>
      <c r="AJ102" s="75"/>
      <c r="AK102" s="75"/>
      <c r="AL102" s="75"/>
      <c r="AM102" s="75"/>
      <c r="AN102" s="75"/>
      <c r="AO102" s="75"/>
      <c r="AP102" s="75"/>
      <c r="AQ102" s="75"/>
      <c r="AR102" s="75"/>
      <c r="AS102" s="75"/>
      <c r="AT102" s="75"/>
      <c r="AU102" s="75"/>
      <c r="AV102" s="75"/>
      <c r="AW102" s="75"/>
      <c r="AX102" s="75"/>
      <c r="AY102" s="75"/>
      <c r="AZ102" s="75"/>
      <c r="BA102" s="75"/>
      <c r="BB102" s="75"/>
      <c r="BC102" s="75"/>
      <c r="BD102" s="75"/>
      <c r="BE102" s="75"/>
      <c r="BF102" s="75"/>
      <c r="BG102" s="75"/>
      <c r="BH102" s="75"/>
      <c r="BI102" s="75"/>
      <c r="BJ102" s="75"/>
    </row>
    <row r="103" spans="1:62" hidden="1" x14ac:dyDescent="0.3">
      <c r="A103" s="25" t="s">
        <v>419</v>
      </c>
      <c r="B103" s="6">
        <v>200</v>
      </c>
      <c r="C103" s="66">
        <v>274.2</v>
      </c>
      <c r="D103" s="234"/>
      <c r="F103" s="39">
        <v>92</v>
      </c>
      <c r="G103" s="39">
        <v>53</v>
      </c>
      <c r="H103" s="39">
        <v>9</v>
      </c>
      <c r="I103" s="39">
        <v>9</v>
      </c>
      <c r="J103" s="39">
        <v>9</v>
      </c>
      <c r="K103" s="39">
        <v>0</v>
      </c>
      <c r="L103" s="39">
        <v>0</v>
      </c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26" t="e">
        <f ca="1">Z103+IF(NOT(ISBLANK(OFFSET(AB103,0,6))),N(OFFSET(AB103,0,6)),N(OFFSET(AB103,0,7)))-#REF!</f>
        <v>#REF!</v>
      </c>
      <c r="AD103" s="75"/>
      <c r="AE103" s="75"/>
      <c r="AF103" s="1"/>
      <c r="AG103" s="15"/>
      <c r="AH103" s="41"/>
      <c r="AI103" s="75"/>
      <c r="AJ103" s="75"/>
      <c r="AK103" s="75"/>
      <c r="AL103" s="75"/>
      <c r="AM103" s="75"/>
      <c r="AN103" s="75"/>
      <c r="AO103" s="75"/>
      <c r="AP103" s="75"/>
      <c r="AQ103" s="75"/>
      <c r="AR103" s="75"/>
      <c r="AS103" s="75"/>
      <c r="AT103" s="75"/>
      <c r="AU103" s="75"/>
      <c r="AV103" s="75"/>
      <c r="AW103" s="75"/>
      <c r="AX103" s="75"/>
      <c r="AY103" s="75"/>
      <c r="AZ103" s="75"/>
      <c r="BA103" s="75"/>
      <c r="BB103" s="75"/>
      <c r="BC103" s="75"/>
      <c r="BD103" s="75"/>
      <c r="BE103" s="75"/>
      <c r="BF103" s="75"/>
      <c r="BG103" s="75"/>
      <c r="BH103" s="75"/>
      <c r="BI103" s="75"/>
      <c r="BJ103" s="75"/>
    </row>
    <row r="104" spans="1:62" hidden="1" x14ac:dyDescent="0.3">
      <c r="A104" s="25" t="s">
        <v>421</v>
      </c>
      <c r="B104" s="6">
        <v>200</v>
      </c>
      <c r="C104" s="66">
        <v>347.8</v>
      </c>
      <c r="D104" s="234"/>
      <c r="F104" s="39">
        <v>409</v>
      </c>
      <c r="G104" s="39">
        <v>341</v>
      </c>
      <c r="H104" s="39">
        <v>306</v>
      </c>
      <c r="I104" s="39">
        <v>306</v>
      </c>
      <c r="J104" s="39">
        <v>306</v>
      </c>
      <c r="K104" s="39">
        <v>0</v>
      </c>
      <c r="L104" s="39">
        <v>0</v>
      </c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26" t="e">
        <f ca="1">Z104+IF(NOT(ISBLANK(OFFSET(AB104,0,6))),N(OFFSET(AB104,0,6)),N(OFFSET(AB104,0,7)))-#REF!</f>
        <v>#REF!</v>
      </c>
      <c r="AD104" s="75"/>
      <c r="AE104" s="75"/>
      <c r="AF104" s="1"/>
      <c r="AG104" s="15"/>
      <c r="AH104" s="41"/>
      <c r="AI104" s="75"/>
      <c r="AJ104" s="75"/>
      <c r="AK104" s="75"/>
      <c r="AL104" s="75"/>
      <c r="AM104" s="75"/>
      <c r="AN104" s="75"/>
      <c r="AO104" s="75"/>
      <c r="AP104" s="75"/>
      <c r="AQ104" s="75"/>
      <c r="AR104" s="75"/>
      <c r="AS104" s="75"/>
      <c r="AT104" s="75"/>
      <c r="AU104" s="75"/>
      <c r="AV104" s="75"/>
      <c r="AW104" s="75"/>
      <c r="AX104" s="75"/>
      <c r="AY104" s="75"/>
      <c r="AZ104" s="75"/>
      <c r="BA104" s="75"/>
      <c r="BB104" s="75"/>
      <c r="BC104" s="75"/>
      <c r="BD104" s="75"/>
      <c r="BE104" s="75"/>
      <c r="BF104" s="75"/>
      <c r="BG104" s="75"/>
      <c r="BH104" s="75"/>
      <c r="BI104" s="75"/>
      <c r="BJ104" s="75"/>
    </row>
    <row r="105" spans="1:62" hidden="1" x14ac:dyDescent="0.3">
      <c r="A105" s="25" t="s">
        <v>422</v>
      </c>
      <c r="B105" s="6">
        <v>100</v>
      </c>
      <c r="C105" s="66">
        <v>267</v>
      </c>
      <c r="D105" s="234"/>
      <c r="F105" s="39">
        <v>50</v>
      </c>
      <c r="G105" s="39">
        <v>45</v>
      </c>
      <c r="H105" s="39">
        <v>39</v>
      </c>
      <c r="I105" s="39">
        <v>39</v>
      </c>
      <c r="J105" s="39">
        <v>39</v>
      </c>
      <c r="K105" s="39">
        <v>0</v>
      </c>
      <c r="L105" s="39">
        <v>0</v>
      </c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26" t="e">
        <f ca="1">Z105+IF(NOT(ISBLANK(OFFSET(AB105,0,6))),N(OFFSET(AB105,0,6)),N(OFFSET(AB105,0,7)))-#REF!</f>
        <v>#REF!</v>
      </c>
      <c r="AD105" s="75"/>
      <c r="AE105" s="75"/>
      <c r="AF105" s="1"/>
      <c r="AG105" s="15"/>
      <c r="AH105" s="41"/>
      <c r="AI105" s="75"/>
      <c r="AJ105" s="75"/>
      <c r="AK105" s="75"/>
      <c r="AL105" s="75"/>
      <c r="AM105" s="75"/>
      <c r="AN105" s="75"/>
      <c r="AO105" s="75"/>
      <c r="AP105" s="75"/>
      <c r="AQ105" s="75"/>
      <c r="AR105" s="75"/>
      <c r="AS105" s="75"/>
      <c r="AT105" s="75"/>
      <c r="AU105" s="75"/>
      <c r="AV105" s="75"/>
      <c r="AW105" s="75"/>
      <c r="AX105" s="75"/>
      <c r="AY105" s="75"/>
      <c r="AZ105" s="75"/>
      <c r="BA105" s="75"/>
      <c r="BB105" s="75"/>
      <c r="BC105" s="75"/>
      <c r="BD105" s="75"/>
      <c r="BE105" s="75"/>
      <c r="BF105" s="75"/>
      <c r="BG105" s="75"/>
      <c r="BH105" s="75"/>
      <c r="BI105" s="75"/>
      <c r="BJ105" s="75"/>
    </row>
    <row r="106" spans="1:62" hidden="1" x14ac:dyDescent="0.3">
      <c r="A106" s="153" t="s">
        <v>481</v>
      </c>
      <c r="B106" s="72">
        <v>200</v>
      </c>
      <c r="C106" s="77">
        <v>44.4</v>
      </c>
      <c r="D106" s="72"/>
      <c r="F106" s="39">
        <v>0</v>
      </c>
      <c r="G106" s="39">
        <v>0</v>
      </c>
      <c r="H106" s="39">
        <v>0</v>
      </c>
      <c r="I106" s="39">
        <v>0</v>
      </c>
      <c r="J106" s="39">
        <v>0</v>
      </c>
      <c r="K106" s="39">
        <v>0</v>
      </c>
      <c r="L106" s="39">
        <v>0</v>
      </c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26" t="e">
        <f ca="1">Z106+IF(NOT(ISBLANK(OFFSET(AB106,0,6))),N(OFFSET(AB106,0,6)),N(OFFSET(AB106,0,7)))-#REF!</f>
        <v>#REF!</v>
      </c>
      <c r="AD106" s="75"/>
      <c r="AE106" s="75"/>
      <c r="AF106" s="1"/>
      <c r="AG106" s="15"/>
      <c r="AH106" s="41"/>
      <c r="AI106" s="75"/>
      <c r="AJ106" s="75"/>
      <c r="AK106" s="75"/>
      <c r="AL106" s="75"/>
      <c r="AM106" s="75"/>
      <c r="AN106" s="75"/>
      <c r="AO106" s="75"/>
      <c r="AP106" s="75"/>
      <c r="AQ106" s="75"/>
      <c r="AR106" s="75"/>
      <c r="AS106" s="75"/>
      <c r="AT106" s="75"/>
      <c r="AU106" s="75"/>
      <c r="AV106" s="75"/>
      <c r="AW106" s="75"/>
      <c r="AX106" s="75"/>
      <c r="AY106" s="75"/>
      <c r="AZ106" s="75"/>
      <c r="BA106" s="75"/>
      <c r="BB106" s="75"/>
      <c r="BC106" s="75"/>
      <c r="BD106" s="75"/>
      <c r="BE106" s="75"/>
      <c r="BF106" s="75"/>
      <c r="BG106" s="75"/>
      <c r="BH106" s="75"/>
      <c r="BI106" s="75"/>
      <c r="BJ106" s="75"/>
    </row>
    <row r="107" spans="1:62" x14ac:dyDescent="0.3">
      <c r="A107" s="153" t="s">
        <v>154</v>
      </c>
      <c r="B107" s="72">
        <v>150</v>
      </c>
      <c r="C107" s="77">
        <v>805.35</v>
      </c>
      <c r="D107" s="72"/>
      <c r="F107" s="39">
        <v>76</v>
      </c>
      <c r="G107" s="39">
        <v>107</v>
      </c>
      <c r="H107" s="39">
        <v>103</v>
      </c>
      <c r="I107" s="39">
        <v>103</v>
      </c>
      <c r="J107" s="39">
        <v>103</v>
      </c>
      <c r="K107" s="39">
        <v>104</v>
      </c>
      <c r="L107" s="39">
        <v>104</v>
      </c>
      <c r="M107" s="39">
        <v>102</v>
      </c>
      <c r="N107" s="39">
        <v>101</v>
      </c>
      <c r="O107" s="39">
        <v>101</v>
      </c>
      <c r="P107" s="39">
        <v>104</v>
      </c>
      <c r="Q107" s="39">
        <v>103</v>
      </c>
      <c r="R107" s="39">
        <v>103</v>
      </c>
      <c r="S107" s="39">
        <v>103</v>
      </c>
      <c r="T107" s="39">
        <v>100</v>
      </c>
      <c r="U107" s="39">
        <v>100</v>
      </c>
      <c r="V107" s="39"/>
      <c r="W107" s="39"/>
      <c r="X107" s="39"/>
      <c r="Y107" s="39"/>
      <c r="Z107" s="39"/>
      <c r="AA107" s="39">
        <v>99</v>
      </c>
      <c r="AB107" s="372">
        <f ca="1">Z107+IF(NOT(ISBLANK(OFFSET(AB107,0,6))),N(OFFSET(AB107,0,6)),N(OFFSET(AB107,0,7)))-AA107</f>
        <v>-99</v>
      </c>
      <c r="AD107" s="75"/>
      <c r="AE107" s="75"/>
      <c r="AF107" s="1"/>
      <c r="AG107" s="15"/>
      <c r="AH107" s="41"/>
      <c r="AI107" s="75"/>
      <c r="AJ107" s="75"/>
      <c r="AK107" s="75"/>
      <c r="AL107" s="75"/>
      <c r="AM107" s="75"/>
      <c r="AN107" s="75"/>
      <c r="AO107" s="75"/>
      <c r="AP107" s="75"/>
      <c r="AQ107" s="75"/>
      <c r="AR107" s="75"/>
      <c r="AS107" s="75"/>
      <c r="AT107" s="75"/>
      <c r="AU107" s="75"/>
      <c r="AV107" s="75"/>
      <c r="AW107" s="75"/>
      <c r="AX107" s="75"/>
      <c r="AY107" s="75"/>
      <c r="AZ107" s="75"/>
      <c r="BA107" s="75"/>
      <c r="BB107" s="75"/>
      <c r="BC107" s="75"/>
      <c r="BD107" s="75"/>
      <c r="BE107" s="75"/>
      <c r="BF107" s="75"/>
      <c r="BG107" s="75"/>
      <c r="BH107" s="75"/>
      <c r="BI107" s="75"/>
      <c r="BJ107" s="75"/>
    </row>
    <row r="108" spans="1:62" x14ac:dyDescent="0.3">
      <c r="A108" s="153" t="s">
        <v>156</v>
      </c>
      <c r="B108" s="72">
        <v>100</v>
      </c>
      <c r="C108" s="77">
        <v>792.2</v>
      </c>
      <c r="D108" s="72"/>
      <c r="F108" s="39">
        <v>78</v>
      </c>
      <c r="G108" s="39">
        <v>69</v>
      </c>
      <c r="H108" s="39">
        <v>54</v>
      </c>
      <c r="I108" s="39">
        <v>54</v>
      </c>
      <c r="J108" s="39">
        <v>54</v>
      </c>
      <c r="K108" s="39">
        <v>43</v>
      </c>
      <c r="L108" s="39">
        <v>43</v>
      </c>
      <c r="M108" s="39">
        <v>42</v>
      </c>
      <c r="N108" s="39">
        <v>42</v>
      </c>
      <c r="O108" s="39">
        <v>42</v>
      </c>
      <c r="P108" s="39">
        <v>42</v>
      </c>
      <c r="Q108" s="39">
        <v>41</v>
      </c>
      <c r="R108" s="39">
        <v>40</v>
      </c>
      <c r="S108" s="39">
        <v>40</v>
      </c>
      <c r="T108" s="39">
        <v>40</v>
      </c>
      <c r="U108" s="39">
        <v>40</v>
      </c>
      <c r="V108" s="39"/>
      <c r="W108" s="39"/>
      <c r="X108" s="39"/>
      <c r="Y108" s="39"/>
      <c r="Z108" s="39"/>
      <c r="AA108" s="39">
        <v>40</v>
      </c>
      <c r="AB108" s="372">
        <f ca="1">Z108+IF(NOT(ISBLANK(OFFSET(AB108,0,6))),N(OFFSET(AB108,0,6)),N(OFFSET(AB108,0,7)))-AA108</f>
        <v>-40</v>
      </c>
      <c r="AD108" s="75"/>
      <c r="AE108" s="75"/>
      <c r="AF108" s="1"/>
      <c r="AG108" s="15"/>
      <c r="AH108" s="41"/>
      <c r="AI108" s="75"/>
      <c r="AJ108" s="75"/>
      <c r="AK108" s="75"/>
      <c r="AL108" s="75"/>
      <c r="AM108" s="75"/>
      <c r="AN108" s="75"/>
      <c r="AO108" s="75"/>
      <c r="AP108" s="75"/>
      <c r="AQ108" s="75"/>
      <c r="AR108" s="75"/>
      <c r="AS108" s="75"/>
      <c r="AT108" s="75"/>
      <c r="AU108" s="75"/>
      <c r="AV108" s="75"/>
      <c r="AW108" s="75"/>
      <c r="AX108" s="75"/>
      <c r="AY108" s="75"/>
      <c r="AZ108" s="75"/>
      <c r="BA108" s="75"/>
      <c r="BB108" s="75"/>
      <c r="BC108" s="75"/>
      <c r="BD108" s="75"/>
      <c r="BE108" s="75"/>
      <c r="BF108" s="75"/>
      <c r="BG108" s="75"/>
      <c r="BH108" s="75"/>
      <c r="BI108" s="75"/>
      <c r="BJ108" s="75"/>
    </row>
    <row r="109" spans="1:62" x14ac:dyDescent="0.3">
      <c r="A109" s="153" t="s">
        <v>158</v>
      </c>
      <c r="B109" s="72">
        <v>200</v>
      </c>
      <c r="C109" s="77">
        <v>487.2</v>
      </c>
      <c r="D109" s="72"/>
      <c r="F109" s="39">
        <v>53</v>
      </c>
      <c r="G109" s="39">
        <v>21</v>
      </c>
      <c r="H109" s="39">
        <v>13</v>
      </c>
      <c r="I109" s="39">
        <v>13</v>
      </c>
      <c r="J109" s="39">
        <v>13</v>
      </c>
      <c r="K109" s="39">
        <v>13</v>
      </c>
      <c r="L109" s="39">
        <v>13</v>
      </c>
      <c r="M109" s="39">
        <v>13</v>
      </c>
      <c r="N109" s="39">
        <v>13</v>
      </c>
      <c r="O109" s="39">
        <v>13</v>
      </c>
      <c r="P109" s="39">
        <v>13</v>
      </c>
      <c r="Q109" s="39">
        <v>13</v>
      </c>
      <c r="R109" s="39">
        <v>13</v>
      </c>
      <c r="S109" s="39">
        <v>13</v>
      </c>
      <c r="T109" s="39">
        <v>13</v>
      </c>
      <c r="U109" s="39">
        <v>13</v>
      </c>
      <c r="V109" s="39"/>
      <c r="W109" s="39"/>
      <c r="X109" s="39"/>
      <c r="Y109" s="39"/>
      <c r="Z109" s="39"/>
      <c r="AA109" s="39">
        <v>13</v>
      </c>
      <c r="AB109" s="372">
        <f ca="1">Z109+IF(NOT(ISBLANK(OFFSET(AB109,0,6))),N(OFFSET(AB109,0,6)),N(OFFSET(AB109,0,7)))-AA109</f>
        <v>-13</v>
      </c>
      <c r="AD109" s="75"/>
      <c r="AE109" s="75"/>
      <c r="AF109" s="1"/>
      <c r="AG109" s="15"/>
      <c r="AH109" s="41"/>
      <c r="AI109" s="75"/>
      <c r="AJ109" s="75"/>
      <c r="AK109" s="75"/>
      <c r="AL109" s="75"/>
      <c r="AM109" s="75"/>
      <c r="AN109" s="75"/>
      <c r="AO109" s="75"/>
      <c r="AP109" s="75"/>
      <c r="AQ109" s="75"/>
      <c r="AR109" s="75"/>
      <c r="AS109" s="75"/>
      <c r="AT109" s="75"/>
      <c r="AU109" s="75"/>
      <c r="AV109" s="75"/>
      <c r="AW109" s="75"/>
      <c r="AX109" s="75"/>
      <c r="AY109" s="75"/>
      <c r="AZ109" s="75"/>
      <c r="BA109" s="75"/>
      <c r="BB109" s="75"/>
      <c r="BC109" s="75"/>
      <c r="BD109" s="75"/>
      <c r="BE109" s="75"/>
      <c r="BF109" s="75"/>
      <c r="BG109" s="75"/>
      <c r="BH109" s="75"/>
      <c r="BI109" s="75"/>
      <c r="BJ109" s="75"/>
    </row>
    <row r="110" spans="1:62" x14ac:dyDescent="0.3">
      <c r="A110" s="153" t="s">
        <v>160</v>
      </c>
      <c r="B110" s="72">
        <v>150</v>
      </c>
      <c r="C110" s="77">
        <v>460.35</v>
      </c>
      <c r="D110" s="72"/>
      <c r="F110" s="39">
        <v>119</v>
      </c>
      <c r="G110" s="39">
        <v>98</v>
      </c>
      <c r="H110" s="39">
        <v>80</v>
      </c>
      <c r="I110" s="39">
        <v>80</v>
      </c>
      <c r="J110" s="39">
        <v>80</v>
      </c>
      <c r="K110" s="39">
        <v>53</v>
      </c>
      <c r="L110" s="39">
        <v>51</v>
      </c>
      <c r="M110" s="39">
        <v>51</v>
      </c>
      <c r="N110" s="39">
        <v>51</v>
      </c>
      <c r="O110" s="39">
        <v>51</v>
      </c>
      <c r="P110" s="39">
        <v>51</v>
      </c>
      <c r="Q110" s="39">
        <v>51</v>
      </c>
      <c r="R110" s="39">
        <v>51</v>
      </c>
      <c r="S110" s="39">
        <v>51</v>
      </c>
      <c r="T110" s="39">
        <v>51</v>
      </c>
      <c r="U110" s="39">
        <v>51</v>
      </c>
      <c r="V110" s="39"/>
      <c r="W110" s="39"/>
      <c r="X110" s="39"/>
      <c r="Y110" s="39"/>
      <c r="Z110" s="39"/>
      <c r="AA110" s="39">
        <v>51</v>
      </c>
      <c r="AB110" s="372">
        <f ca="1">Z110+IF(NOT(ISBLANK(OFFSET(AB110,0,6))),N(OFFSET(AB110,0,6)),N(OFFSET(AB110,0,7)))-AA110</f>
        <v>-51</v>
      </c>
      <c r="AD110" s="10"/>
      <c r="AE110" s="75"/>
      <c r="AF110" s="1"/>
      <c r="AG110" s="15"/>
      <c r="AH110" s="41"/>
      <c r="AI110" s="75"/>
      <c r="AJ110" s="75"/>
      <c r="AK110" s="75"/>
      <c r="AL110" s="75"/>
      <c r="AM110" s="75"/>
      <c r="AN110" s="75"/>
      <c r="AO110" s="75"/>
      <c r="AP110" s="75"/>
      <c r="AQ110" s="75"/>
      <c r="AR110" s="75"/>
      <c r="AS110" s="75"/>
      <c r="AT110" s="75"/>
      <c r="AU110" s="75"/>
      <c r="AV110" s="75"/>
      <c r="AW110" s="75"/>
      <c r="AX110" s="75"/>
      <c r="AY110" s="75"/>
      <c r="AZ110" s="75"/>
      <c r="BA110" s="75"/>
      <c r="BB110" s="75"/>
      <c r="BC110" s="75"/>
      <c r="BD110" s="75"/>
      <c r="BE110" s="75"/>
      <c r="BF110" s="75"/>
      <c r="BG110" s="75"/>
      <c r="BH110" s="75"/>
      <c r="BI110" s="75"/>
      <c r="BJ110" s="75"/>
    </row>
    <row r="111" spans="1:62" ht="19.5" customHeight="1" thickBot="1" x14ac:dyDescent="0.35">
      <c r="B111" s="41"/>
      <c r="C111" s="120"/>
      <c r="D111" s="120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D111" s="75"/>
      <c r="AE111" s="75"/>
      <c r="AF111" s="1"/>
      <c r="AG111" s="15"/>
      <c r="AH111" s="41"/>
      <c r="AI111" s="75"/>
      <c r="AJ111" s="75"/>
      <c r="AK111" s="75"/>
      <c r="AL111" s="75"/>
      <c r="AM111" s="75"/>
      <c r="AN111" s="75"/>
      <c r="AO111" s="75"/>
      <c r="AP111" s="75"/>
      <c r="AQ111" s="75"/>
      <c r="AR111" s="75"/>
      <c r="AS111" s="75"/>
      <c r="AT111" s="75"/>
      <c r="AU111" s="75"/>
      <c r="AV111" s="75"/>
      <c r="AW111" s="75"/>
      <c r="AX111" s="75"/>
      <c r="AY111" s="75"/>
      <c r="AZ111" s="75"/>
      <c r="BA111" s="75"/>
      <c r="BB111" s="75"/>
      <c r="BC111" s="75"/>
      <c r="BD111" s="75"/>
      <c r="BE111" s="75"/>
      <c r="BF111" s="75"/>
      <c r="BG111" s="75"/>
      <c r="BH111" s="75"/>
      <c r="BI111" s="75"/>
      <c r="BJ111" s="75"/>
    </row>
    <row r="112" spans="1:62" ht="24" customHeight="1" thickBot="1" x14ac:dyDescent="0.4">
      <c r="A112" s="499">
        <v>2026</v>
      </c>
      <c r="B112" s="497"/>
      <c r="C112" s="497"/>
      <c r="D112" s="497"/>
      <c r="E112" s="497"/>
      <c r="F112" s="497"/>
      <c r="G112" s="497"/>
      <c r="H112" s="497"/>
      <c r="I112" s="497"/>
      <c r="J112" s="497"/>
      <c r="K112" s="497"/>
      <c r="L112" s="497"/>
      <c r="M112" s="497"/>
      <c r="N112" s="497"/>
      <c r="O112" s="497"/>
      <c r="P112" s="497"/>
      <c r="Q112" s="497"/>
      <c r="R112" s="497"/>
      <c r="S112" s="497"/>
      <c r="T112" s="497"/>
      <c r="U112" s="497"/>
      <c r="V112" s="497"/>
      <c r="W112" s="497"/>
      <c r="X112" s="497"/>
      <c r="Y112" s="497"/>
      <c r="Z112" s="497"/>
      <c r="AA112" s="497"/>
      <c r="AB112" s="500"/>
      <c r="AD112" s="75"/>
      <c r="AE112" s="75"/>
      <c r="AF112" s="1"/>
      <c r="AG112" s="15"/>
      <c r="AH112" s="41"/>
      <c r="AI112" s="75"/>
      <c r="AJ112" s="75"/>
      <c r="AK112" s="75"/>
      <c r="AL112" s="75"/>
      <c r="AM112" s="75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75"/>
      <c r="BA112" s="75"/>
      <c r="BB112" s="75"/>
      <c r="BC112" s="75"/>
      <c r="BD112" s="75"/>
      <c r="BE112" s="75"/>
      <c r="BF112" s="75"/>
      <c r="BG112" s="75"/>
      <c r="BH112" s="75"/>
      <c r="BI112" s="75"/>
      <c r="BJ112" s="75"/>
    </row>
    <row r="113" spans="1:62" x14ac:dyDescent="0.3">
      <c r="B113" s="41"/>
      <c r="C113" s="120"/>
      <c r="D113" s="120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D113" s="75"/>
      <c r="AE113" s="75"/>
      <c r="AF113" s="1"/>
      <c r="AG113" s="15"/>
      <c r="AH113" s="41"/>
      <c r="AI113" s="75"/>
      <c r="AJ113" s="75"/>
      <c r="AK113" s="75"/>
      <c r="AL113" s="75"/>
      <c r="AM113" s="75"/>
      <c r="AN113" s="75"/>
      <c r="AO113" s="75"/>
      <c r="AP113" s="75"/>
      <c r="AQ113" s="75"/>
      <c r="AR113" s="75"/>
      <c r="AS113" s="75"/>
      <c r="AT113" s="75"/>
      <c r="AU113" s="75"/>
      <c r="AV113" s="75"/>
      <c r="AW113" s="75"/>
      <c r="AX113" s="75"/>
      <c r="AY113" s="75"/>
      <c r="AZ113" s="75"/>
      <c r="BA113" s="75"/>
      <c r="BB113" s="75"/>
      <c r="BC113" s="75"/>
      <c r="BD113" s="75"/>
      <c r="BE113" s="75"/>
      <c r="BF113" s="75"/>
      <c r="BG113" s="75"/>
      <c r="BH113" s="75"/>
      <c r="BI113" s="75"/>
      <c r="BJ113" s="75"/>
    </row>
    <row r="114" spans="1:62" x14ac:dyDescent="0.3">
      <c r="A114" s="270" t="s">
        <v>485</v>
      </c>
      <c r="B114" s="271" t="s">
        <v>151</v>
      </c>
      <c r="C114" s="271" t="s">
        <v>152</v>
      </c>
      <c r="D114" s="271"/>
      <c r="F114" s="2"/>
      <c r="G114" s="2"/>
      <c r="H114" s="2"/>
      <c r="I114" s="2"/>
      <c r="J114" s="2"/>
      <c r="K114" s="2"/>
      <c r="L114" s="2"/>
      <c r="M114" s="2"/>
      <c r="N114" s="13">
        <v>46062</v>
      </c>
      <c r="O114" s="13">
        <v>46069</v>
      </c>
      <c r="P114" s="13">
        <v>46076</v>
      </c>
      <c r="Q114" s="13">
        <v>46083</v>
      </c>
      <c r="R114" s="13">
        <v>46090</v>
      </c>
      <c r="S114" s="13">
        <v>46097</v>
      </c>
      <c r="T114" s="13">
        <v>46104</v>
      </c>
      <c r="U114" s="13">
        <v>46111</v>
      </c>
      <c r="V114" s="13">
        <v>46118</v>
      </c>
      <c r="W114" s="13">
        <v>46125</v>
      </c>
      <c r="X114" s="13">
        <v>46132</v>
      </c>
      <c r="Y114" s="13">
        <v>46139</v>
      </c>
      <c r="Z114" s="13">
        <v>46146</v>
      </c>
      <c r="AA114" s="13">
        <v>46154</v>
      </c>
      <c r="AB114" s="35" t="s">
        <v>129</v>
      </c>
      <c r="AD114" s="75"/>
      <c r="AE114" s="75"/>
      <c r="AF114" s="1"/>
      <c r="AG114" s="15"/>
      <c r="AH114" s="41"/>
      <c r="AI114" s="75"/>
      <c r="AJ114" s="75"/>
      <c r="AK114" s="75"/>
      <c r="AL114" s="75"/>
      <c r="AM114" s="75"/>
      <c r="AN114" s="75"/>
      <c r="AO114" s="75"/>
      <c r="AP114" s="75"/>
      <c r="AQ114" s="75"/>
      <c r="AR114" s="75"/>
      <c r="AS114" s="75"/>
      <c r="AT114" s="75"/>
      <c r="AU114" s="75"/>
      <c r="AV114" s="75"/>
      <c r="AW114" s="75"/>
      <c r="AX114" s="75"/>
      <c r="AY114" s="75"/>
      <c r="AZ114" s="75"/>
      <c r="BA114" s="75"/>
      <c r="BB114" s="75"/>
      <c r="BC114" s="75"/>
      <c r="BD114" s="75"/>
      <c r="BE114" s="75"/>
      <c r="BF114" s="75"/>
      <c r="BG114" s="75"/>
      <c r="BH114" s="75"/>
      <c r="BI114" s="75"/>
      <c r="BJ114" s="75"/>
    </row>
    <row r="115" spans="1:62" x14ac:dyDescent="0.3">
      <c r="A115" s="25" t="s">
        <v>138</v>
      </c>
      <c r="B115" s="6">
        <v>150</v>
      </c>
      <c r="C115" s="66"/>
      <c r="D115" s="234"/>
      <c r="F115" s="2"/>
      <c r="G115" s="2"/>
      <c r="H115" s="2"/>
      <c r="I115" s="2"/>
      <c r="J115" s="2"/>
      <c r="K115" s="2"/>
      <c r="L115" s="2"/>
      <c r="M115" s="2"/>
      <c r="N115" s="39">
        <v>0</v>
      </c>
      <c r="O115" s="39">
        <v>0</v>
      </c>
      <c r="P115" s="39">
        <v>0</v>
      </c>
      <c r="Q115" s="39">
        <f>AS10</f>
        <v>1200</v>
      </c>
      <c r="R115" s="39">
        <v>1200</v>
      </c>
      <c r="S115" s="39">
        <v>1050</v>
      </c>
      <c r="T115" s="39">
        <v>900</v>
      </c>
      <c r="U115" s="39">
        <v>750</v>
      </c>
      <c r="V115" s="39">
        <v>750</v>
      </c>
      <c r="W115" s="39">
        <v>750</v>
      </c>
      <c r="X115" s="39">
        <v>750</v>
      </c>
      <c r="Y115" s="39">
        <v>600</v>
      </c>
      <c r="Z115" s="39">
        <v>600</v>
      </c>
      <c r="AA115" s="39">
        <v>600</v>
      </c>
      <c r="AB115" s="372">
        <f t="shared" ref="AB115:AB121" ca="1" si="4">Z115+IF(NOT(ISBLANK(OFFSET(AB115,0,6))),N(OFFSET(AB115,0,6)),N(OFFSET(AB115,0,7)))-AA115</f>
        <v>0</v>
      </c>
      <c r="AD115" s="75"/>
      <c r="AE115" s="75"/>
      <c r="AF115" s="1"/>
      <c r="AG115" s="15"/>
      <c r="AH115" s="41"/>
      <c r="AI115" s="75"/>
      <c r="AJ115" s="75"/>
      <c r="AK115" s="75"/>
      <c r="AL115" s="75"/>
      <c r="AM115" s="75"/>
      <c r="AN115" s="75"/>
      <c r="AO115" s="75"/>
      <c r="AP115" s="75"/>
      <c r="AQ115" s="75"/>
      <c r="AR115" s="75"/>
      <c r="AS115" s="75"/>
      <c r="AT115" s="75"/>
      <c r="AU115" s="75"/>
      <c r="AV115" s="75"/>
      <c r="AW115" s="75"/>
      <c r="AX115" s="75"/>
      <c r="AY115" s="75"/>
      <c r="AZ115" s="75"/>
      <c r="BA115" s="75"/>
      <c r="BB115" s="75"/>
      <c r="BC115" s="75"/>
      <c r="BD115" s="75"/>
      <c r="BE115" s="75"/>
      <c r="BF115" s="75"/>
      <c r="BG115" s="75"/>
      <c r="BH115" s="75"/>
      <c r="BI115" s="75"/>
      <c r="BJ115" s="75"/>
    </row>
    <row r="116" spans="1:62" x14ac:dyDescent="0.3">
      <c r="A116" s="25" t="s">
        <v>486</v>
      </c>
      <c r="B116" s="6">
        <v>1000</v>
      </c>
      <c r="C116" s="66"/>
      <c r="D116" s="234"/>
      <c r="F116" s="2"/>
      <c r="G116" s="2"/>
      <c r="H116" s="2"/>
      <c r="I116" s="2"/>
      <c r="J116" s="2"/>
      <c r="K116" s="2"/>
      <c r="L116" s="2"/>
      <c r="M116" s="2"/>
      <c r="N116" s="39">
        <v>0</v>
      </c>
      <c r="O116" s="39">
        <v>0</v>
      </c>
      <c r="P116" s="39">
        <v>0</v>
      </c>
      <c r="Q116" s="39">
        <f>AS17</f>
        <v>2</v>
      </c>
      <c r="R116" s="39">
        <v>2</v>
      </c>
      <c r="S116" s="39">
        <v>1</v>
      </c>
      <c r="T116" s="39">
        <v>0</v>
      </c>
      <c r="U116" s="39">
        <v>0</v>
      </c>
      <c r="V116" s="39">
        <v>0</v>
      </c>
      <c r="W116" s="39">
        <v>0</v>
      </c>
      <c r="X116" s="39">
        <v>0</v>
      </c>
      <c r="Y116" s="39">
        <v>0</v>
      </c>
      <c r="Z116" s="39">
        <v>0</v>
      </c>
      <c r="AA116" s="39">
        <v>0</v>
      </c>
      <c r="AB116" s="372">
        <f t="shared" ca="1" si="4"/>
        <v>0</v>
      </c>
      <c r="AD116" s="75"/>
      <c r="AE116" s="75"/>
      <c r="AF116" s="1"/>
      <c r="AG116" s="15"/>
      <c r="AH116" s="41"/>
      <c r="AI116" s="75"/>
      <c r="AJ116" s="75"/>
      <c r="AK116" s="75"/>
      <c r="AL116" s="75"/>
      <c r="AM116" s="75"/>
      <c r="AN116" s="75"/>
      <c r="AO116" s="75"/>
      <c r="AP116" s="75"/>
      <c r="AQ116" s="75"/>
      <c r="AR116" s="75"/>
      <c r="AS116" s="75"/>
      <c r="AT116" s="75"/>
      <c r="AU116" s="75"/>
      <c r="AV116" s="75"/>
      <c r="AW116" s="75"/>
      <c r="AX116" s="75"/>
      <c r="AY116" s="75"/>
      <c r="AZ116" s="75"/>
      <c r="BA116" s="75"/>
      <c r="BB116" s="75"/>
      <c r="BC116" s="75"/>
      <c r="BD116" s="75"/>
      <c r="BE116" s="75"/>
      <c r="BF116" s="75"/>
      <c r="BG116" s="75"/>
      <c r="BH116" s="75"/>
      <c r="BI116" s="75"/>
      <c r="BJ116" s="75"/>
    </row>
    <row r="117" spans="1:62" x14ac:dyDescent="0.3">
      <c r="A117" s="25" t="s">
        <v>143</v>
      </c>
      <c r="B117" s="6">
        <v>200</v>
      </c>
      <c r="C117" s="66"/>
      <c r="D117" s="234"/>
      <c r="F117" s="2"/>
      <c r="G117" s="2"/>
      <c r="H117" s="2"/>
      <c r="I117" s="2"/>
      <c r="J117" s="2"/>
      <c r="K117" s="2"/>
      <c r="L117" s="2"/>
      <c r="M117" s="2"/>
      <c r="N117" s="39">
        <v>0</v>
      </c>
      <c r="O117" s="39">
        <v>0</v>
      </c>
      <c r="P117" s="39">
        <v>0</v>
      </c>
      <c r="Q117" s="39">
        <f>AS16</f>
        <v>200</v>
      </c>
      <c r="R117" s="39">
        <v>200</v>
      </c>
      <c r="S117" s="39">
        <v>100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72">
        <f t="shared" ca="1" si="4"/>
        <v>0</v>
      </c>
      <c r="AD117" s="75"/>
      <c r="AE117" s="75"/>
      <c r="AF117" s="1"/>
      <c r="AG117" s="15"/>
      <c r="AH117" s="41"/>
      <c r="AI117" s="75"/>
      <c r="AJ117" s="75"/>
      <c r="AK117" s="75"/>
      <c r="AL117" s="75"/>
      <c r="AM117" s="75"/>
      <c r="AN117" s="75"/>
      <c r="AO117" s="75"/>
      <c r="AP117" s="75"/>
      <c r="AQ117" s="75"/>
      <c r="AR117" s="75"/>
      <c r="AS117" s="75"/>
      <c r="AT117" s="75"/>
      <c r="AU117" s="75"/>
      <c r="AV117" s="75"/>
      <c r="AW117" s="75"/>
      <c r="AX117" s="75"/>
      <c r="AY117" s="75"/>
      <c r="AZ117" s="75"/>
      <c r="BA117" s="75"/>
      <c r="BB117" s="75"/>
      <c r="BC117" s="75"/>
      <c r="BD117" s="75"/>
      <c r="BE117" s="75"/>
      <c r="BF117" s="75"/>
      <c r="BG117" s="75"/>
      <c r="BH117" s="75"/>
      <c r="BI117" s="75"/>
      <c r="BJ117" s="75"/>
    </row>
    <row r="118" spans="1:62" x14ac:dyDescent="0.3">
      <c r="A118" s="25" t="s">
        <v>487</v>
      </c>
      <c r="B118" s="6">
        <v>150</v>
      </c>
      <c r="C118" s="66"/>
      <c r="D118" s="234"/>
      <c r="F118" s="2"/>
      <c r="G118" s="2"/>
      <c r="H118" s="2"/>
      <c r="I118" s="2"/>
      <c r="J118" s="2"/>
      <c r="K118" s="2"/>
      <c r="L118" s="2"/>
      <c r="M118" s="2"/>
      <c r="N118" s="39">
        <v>0</v>
      </c>
      <c r="O118" s="39">
        <v>0</v>
      </c>
      <c r="P118" s="39">
        <v>0</v>
      </c>
      <c r="Q118" s="39">
        <f>AS29</f>
        <v>600</v>
      </c>
      <c r="R118" s="39">
        <v>441</v>
      </c>
      <c r="S118" s="39">
        <v>351</v>
      </c>
      <c r="T118" s="39">
        <v>246</v>
      </c>
      <c r="U118" s="39">
        <v>159</v>
      </c>
      <c r="V118" s="39"/>
      <c r="W118" s="39"/>
      <c r="X118" s="39"/>
      <c r="Y118" s="39"/>
      <c r="Z118" s="39"/>
      <c r="AA118" s="39">
        <v>0</v>
      </c>
      <c r="AB118" s="372">
        <f t="shared" ca="1" si="4"/>
        <v>0</v>
      </c>
      <c r="AD118" s="75"/>
      <c r="AE118" s="75"/>
      <c r="AF118" s="1"/>
      <c r="AG118" s="15"/>
      <c r="AH118" s="41"/>
      <c r="AI118" s="75"/>
      <c r="AJ118" s="75"/>
      <c r="AK118" s="75"/>
      <c r="AL118" s="75"/>
      <c r="AM118" s="75"/>
      <c r="AN118" s="75"/>
      <c r="AO118" s="75"/>
      <c r="AP118" s="75"/>
      <c r="AQ118" s="75"/>
      <c r="AR118" s="75"/>
      <c r="AS118" s="75"/>
      <c r="AT118" s="75"/>
      <c r="AU118" s="75"/>
      <c r="AV118" s="75"/>
      <c r="AW118" s="75"/>
      <c r="AX118" s="75"/>
      <c r="AY118" s="75"/>
      <c r="AZ118" s="75"/>
      <c r="BA118" s="75"/>
      <c r="BB118" s="75"/>
      <c r="BC118" s="75"/>
      <c r="BD118" s="75"/>
      <c r="BE118" s="75"/>
      <c r="BF118" s="75"/>
      <c r="BG118" s="75"/>
      <c r="BH118" s="75"/>
      <c r="BI118" s="75"/>
      <c r="BJ118" s="75"/>
    </row>
    <row r="119" spans="1:62" x14ac:dyDescent="0.3">
      <c r="A119" s="25" t="s">
        <v>479</v>
      </c>
      <c r="B119" s="6">
        <v>200</v>
      </c>
      <c r="C119" s="66"/>
      <c r="D119" s="234"/>
      <c r="F119" s="2"/>
      <c r="G119" s="2"/>
      <c r="H119" s="2"/>
      <c r="I119" s="2"/>
      <c r="J119" s="2"/>
      <c r="K119" s="2"/>
      <c r="L119" s="2"/>
      <c r="M119" s="2"/>
      <c r="N119" s="39">
        <v>0</v>
      </c>
      <c r="O119" s="39">
        <v>0</v>
      </c>
      <c r="P119" s="39">
        <v>0</v>
      </c>
      <c r="Q119" s="39">
        <v>0</v>
      </c>
      <c r="R119" s="206">
        <v>3</v>
      </c>
      <c r="S119" s="39">
        <v>3</v>
      </c>
      <c r="T119" s="39">
        <v>3</v>
      </c>
      <c r="U119" s="39">
        <v>8</v>
      </c>
      <c r="V119" s="39"/>
      <c r="W119" s="39"/>
      <c r="X119" s="39"/>
      <c r="Y119" s="39"/>
      <c r="Z119" s="39"/>
      <c r="AA119" s="39">
        <v>8</v>
      </c>
      <c r="AB119" s="372">
        <f t="shared" ca="1" si="4"/>
        <v>-8</v>
      </c>
      <c r="AD119" s="75"/>
      <c r="AE119" s="75"/>
      <c r="AF119" s="1"/>
      <c r="AG119" s="15"/>
      <c r="AH119" s="41"/>
      <c r="AI119" s="75"/>
      <c r="AJ119" s="75"/>
      <c r="AK119" s="75"/>
      <c r="AL119" s="75"/>
      <c r="AM119" s="75"/>
      <c r="AN119" s="75"/>
      <c r="AO119" s="75"/>
      <c r="AP119" s="75"/>
      <c r="AQ119" s="75"/>
      <c r="AR119" s="75"/>
      <c r="AS119" s="75"/>
      <c r="AT119" s="75"/>
      <c r="AU119" s="75"/>
      <c r="AV119" s="75"/>
      <c r="AW119" s="75"/>
      <c r="AX119" s="75"/>
      <c r="AY119" s="75"/>
      <c r="AZ119" s="75"/>
      <c r="BA119" s="75"/>
      <c r="BB119" s="75"/>
      <c r="BC119" s="75"/>
      <c r="BD119" s="75"/>
      <c r="BE119" s="75"/>
      <c r="BF119" s="75"/>
      <c r="BG119" s="75"/>
      <c r="BH119" s="75"/>
      <c r="BI119" s="75"/>
      <c r="BJ119" s="75"/>
    </row>
    <row r="120" spans="1:62" x14ac:dyDescent="0.3">
      <c r="A120" s="153" t="s">
        <v>156</v>
      </c>
      <c r="B120" s="72">
        <v>100</v>
      </c>
      <c r="C120" s="77"/>
      <c r="D120" s="72"/>
      <c r="F120" s="2"/>
      <c r="G120" s="2"/>
      <c r="H120" s="2"/>
      <c r="I120" s="2"/>
      <c r="J120" s="2"/>
      <c r="K120" s="2"/>
      <c r="L120" s="2"/>
      <c r="M120" s="2"/>
      <c r="N120" s="39">
        <v>0</v>
      </c>
      <c r="O120" s="39">
        <v>0</v>
      </c>
      <c r="P120" s="39">
        <v>0</v>
      </c>
      <c r="Q120" s="39">
        <f>AS38</f>
        <v>100</v>
      </c>
      <c r="R120" s="206">
        <v>50</v>
      </c>
      <c r="S120" s="39">
        <v>50</v>
      </c>
      <c r="T120" s="39">
        <v>48</v>
      </c>
      <c r="U120" s="39">
        <v>48</v>
      </c>
      <c r="V120" s="39"/>
      <c r="W120" s="39"/>
      <c r="X120" s="39"/>
      <c r="Y120" s="39"/>
      <c r="Z120" s="39"/>
      <c r="AA120" s="39">
        <v>40</v>
      </c>
      <c r="AB120" s="372">
        <f t="shared" ca="1" si="4"/>
        <v>-40</v>
      </c>
      <c r="AD120" s="75"/>
      <c r="AE120" s="75"/>
      <c r="AF120" s="1"/>
      <c r="AG120" s="15"/>
      <c r="AH120" s="41"/>
      <c r="AI120" s="75"/>
      <c r="AJ120" s="75"/>
      <c r="AK120" s="75"/>
      <c r="AL120" s="75"/>
      <c r="AM120" s="75"/>
      <c r="AN120" s="75"/>
      <c r="AO120" s="75"/>
      <c r="AP120" s="75"/>
      <c r="AQ120" s="75"/>
      <c r="AR120" s="75"/>
      <c r="AS120" s="75"/>
      <c r="AT120" s="75"/>
      <c r="AU120" s="75"/>
      <c r="AV120" s="75"/>
      <c r="AW120" s="75"/>
      <c r="AX120" s="75"/>
      <c r="AY120" s="75"/>
      <c r="AZ120" s="75"/>
      <c r="BA120" s="75"/>
      <c r="BB120" s="75"/>
      <c r="BC120" s="75"/>
      <c r="BD120" s="75"/>
      <c r="BE120" s="75"/>
      <c r="BF120" s="75"/>
      <c r="BG120" s="75"/>
      <c r="BH120" s="75"/>
      <c r="BI120" s="75"/>
      <c r="BJ120" s="75"/>
    </row>
    <row r="121" spans="1:62" x14ac:dyDescent="0.3">
      <c r="A121" s="153" t="s">
        <v>158</v>
      </c>
      <c r="B121" s="72">
        <v>200</v>
      </c>
      <c r="C121" s="77"/>
      <c r="D121" s="72"/>
      <c r="F121" s="2"/>
      <c r="G121" s="2"/>
      <c r="H121" s="2"/>
      <c r="I121" s="2"/>
      <c r="J121" s="2"/>
      <c r="K121" s="2"/>
      <c r="L121" s="2"/>
      <c r="M121" s="2"/>
      <c r="N121" s="39">
        <v>0</v>
      </c>
      <c r="O121" s="39">
        <v>0</v>
      </c>
      <c r="P121" s="39">
        <v>0</v>
      </c>
      <c r="Q121" s="39">
        <f>AS42</f>
        <v>200</v>
      </c>
      <c r="R121" s="206">
        <v>100</v>
      </c>
      <c r="S121" s="39">
        <v>95</v>
      </c>
      <c r="T121" s="39">
        <v>86</v>
      </c>
      <c r="U121" s="39">
        <v>86</v>
      </c>
      <c r="V121" s="39"/>
      <c r="W121" s="39"/>
      <c r="X121" s="39"/>
      <c r="Y121" s="39"/>
      <c r="Z121" s="39"/>
      <c r="AA121" s="39">
        <v>66</v>
      </c>
      <c r="AB121" s="372">
        <f t="shared" ca="1" si="4"/>
        <v>-66</v>
      </c>
      <c r="AD121" s="75"/>
      <c r="AE121" s="75"/>
      <c r="AF121" s="1"/>
      <c r="AG121" s="15"/>
      <c r="AH121" s="41"/>
      <c r="AI121" s="75"/>
      <c r="AJ121" s="75"/>
      <c r="AK121" s="75"/>
      <c r="AL121" s="75"/>
      <c r="AM121" s="75"/>
      <c r="AN121" s="75"/>
      <c r="AO121" s="75"/>
      <c r="AP121" s="75"/>
      <c r="AQ121" s="75"/>
      <c r="AR121" s="75"/>
      <c r="AS121" s="75"/>
      <c r="AT121" s="75"/>
      <c r="AU121" s="75"/>
      <c r="AV121" s="75"/>
      <c r="AW121" s="75"/>
      <c r="AX121" s="75"/>
      <c r="AY121" s="75"/>
      <c r="AZ121" s="75"/>
      <c r="BA121" s="75"/>
      <c r="BB121" s="75"/>
      <c r="BC121" s="75"/>
      <c r="BD121" s="75"/>
      <c r="BE121" s="75"/>
      <c r="BF121" s="75"/>
      <c r="BG121" s="75"/>
      <c r="BH121" s="75"/>
      <c r="BI121" s="75"/>
      <c r="BJ121" s="75"/>
    </row>
    <row r="122" spans="1:62" x14ac:dyDescent="0.3">
      <c r="F122" s="2"/>
      <c r="G122" s="2"/>
      <c r="H122" s="2"/>
      <c r="I122" s="2"/>
      <c r="J122" s="2"/>
      <c r="K122" s="2"/>
      <c r="L122" s="2"/>
      <c r="M122" s="2"/>
      <c r="AD122" s="75"/>
      <c r="AE122" s="75"/>
      <c r="AF122" s="1"/>
      <c r="AG122" s="15"/>
      <c r="AH122" s="41"/>
      <c r="AI122" s="75"/>
      <c r="AJ122" s="75"/>
      <c r="AK122" s="75"/>
      <c r="AL122" s="75"/>
      <c r="AM122" s="75"/>
      <c r="AN122" s="75"/>
      <c r="AO122" s="75"/>
      <c r="AP122" s="75"/>
      <c r="AQ122" s="75"/>
      <c r="AR122" s="75"/>
      <c r="AS122" s="75"/>
      <c r="AT122" s="75"/>
      <c r="AU122" s="75"/>
      <c r="AV122" s="75"/>
      <c r="AW122" s="75"/>
      <c r="AX122" s="75"/>
      <c r="AY122" s="75"/>
      <c r="AZ122" s="75"/>
      <c r="BA122" s="75"/>
      <c r="BB122" s="75"/>
      <c r="BC122" s="75"/>
      <c r="BD122" s="75"/>
      <c r="BE122" s="75"/>
      <c r="BF122" s="75"/>
      <c r="BG122" s="75"/>
      <c r="BH122" s="75"/>
      <c r="BI122" s="75"/>
      <c r="BJ122" s="75"/>
    </row>
    <row r="123" spans="1:62" x14ac:dyDescent="0.3">
      <c r="A123" s="272" t="s">
        <v>488</v>
      </c>
      <c r="B123" s="248" t="s">
        <v>151</v>
      </c>
      <c r="C123" s="248" t="s">
        <v>152</v>
      </c>
      <c r="D123" s="248"/>
      <c r="F123" s="2"/>
      <c r="G123" s="2"/>
      <c r="H123" s="2"/>
      <c r="I123" s="2"/>
      <c r="J123" s="2"/>
      <c r="K123" s="2"/>
      <c r="L123" s="2"/>
      <c r="M123" s="2"/>
      <c r="N123" s="13">
        <v>46062</v>
      </c>
      <c r="O123" s="13">
        <v>46069</v>
      </c>
      <c r="P123" s="13">
        <v>46076</v>
      </c>
      <c r="Q123" s="13">
        <v>46083</v>
      </c>
      <c r="R123" s="13">
        <v>46090</v>
      </c>
      <c r="S123" s="13">
        <v>46097</v>
      </c>
      <c r="T123" s="13">
        <v>46104</v>
      </c>
      <c r="U123" s="13">
        <v>46111</v>
      </c>
      <c r="V123" s="13">
        <v>46118</v>
      </c>
      <c r="W123" s="13">
        <v>46125</v>
      </c>
      <c r="X123" s="13">
        <v>46132</v>
      </c>
      <c r="Y123" s="13">
        <v>46139</v>
      </c>
      <c r="Z123" s="13">
        <v>46146</v>
      </c>
      <c r="AA123" s="13">
        <v>46154</v>
      </c>
      <c r="AB123" s="35" t="s">
        <v>129</v>
      </c>
      <c r="AD123" s="75"/>
      <c r="AE123" s="75"/>
      <c r="AF123" s="1"/>
      <c r="AG123" s="15"/>
      <c r="AH123" s="41"/>
      <c r="AI123" s="75"/>
      <c r="AJ123" s="75"/>
      <c r="AK123" s="75"/>
      <c r="AL123" s="75"/>
      <c r="AM123" s="75"/>
      <c r="AN123" s="75"/>
      <c r="AO123" s="75"/>
      <c r="AP123" s="75"/>
      <c r="AQ123" s="75"/>
      <c r="AR123" s="75"/>
      <c r="AS123" s="75"/>
      <c r="AT123" s="75"/>
      <c r="AU123" s="75"/>
      <c r="AV123" s="75"/>
      <c r="AW123" s="75"/>
      <c r="AX123" s="75"/>
      <c r="AY123" s="75"/>
      <c r="AZ123" s="75"/>
      <c r="BA123" s="75"/>
      <c r="BB123" s="75"/>
      <c r="BC123" s="75"/>
      <c r="BD123" s="75"/>
      <c r="BE123" s="75"/>
      <c r="BF123" s="75"/>
      <c r="BG123" s="75"/>
      <c r="BH123" s="75"/>
      <c r="BI123" s="75"/>
      <c r="BJ123" s="75"/>
    </row>
    <row r="124" spans="1:62" x14ac:dyDescent="0.3">
      <c r="A124" s="25" t="s">
        <v>419</v>
      </c>
      <c r="B124" s="6">
        <v>200</v>
      </c>
      <c r="C124" s="66"/>
      <c r="D124" s="234"/>
      <c r="F124" s="2"/>
      <c r="G124" s="2"/>
      <c r="H124" s="2"/>
      <c r="I124" s="2"/>
      <c r="J124" s="2"/>
      <c r="K124" s="2"/>
      <c r="L124" s="2"/>
      <c r="M124" s="2"/>
      <c r="N124" s="39">
        <v>0</v>
      </c>
      <c r="O124" s="39">
        <v>0</v>
      </c>
      <c r="P124" s="39">
        <v>0</v>
      </c>
      <c r="Q124" s="39">
        <v>0</v>
      </c>
      <c r="R124" s="39">
        <v>0</v>
      </c>
      <c r="S124" s="39">
        <v>0</v>
      </c>
      <c r="T124" s="39">
        <f>AO9</f>
        <v>3000</v>
      </c>
      <c r="U124" s="39">
        <v>3000</v>
      </c>
      <c r="V124" s="39">
        <v>3000</v>
      </c>
      <c r="W124" s="39">
        <v>2400</v>
      </c>
      <c r="X124" s="39">
        <v>2400</v>
      </c>
      <c r="Y124" s="39">
        <v>1000</v>
      </c>
      <c r="Z124" s="39">
        <v>400</v>
      </c>
      <c r="AA124" s="206">
        <v>0</v>
      </c>
      <c r="AB124" s="372">
        <f t="shared" ref="AB124:AB132" ca="1" si="5">Z124+IF(NOT(ISBLANK(OFFSET(AB124,0,6))),N(OFFSET(AB124,0,6)),N(OFFSET(AB124,0,7)))-AA124</f>
        <v>400</v>
      </c>
      <c r="AD124" s="75"/>
      <c r="AE124" s="75"/>
      <c r="AF124" s="1"/>
      <c r="AG124" s="15"/>
      <c r="AH124" s="41"/>
      <c r="AI124" s="75"/>
      <c r="AJ124" s="75"/>
      <c r="AK124" s="75"/>
      <c r="AL124" s="75"/>
      <c r="AM124" s="75"/>
      <c r="AN124" s="75"/>
      <c r="AO124" s="75"/>
      <c r="AP124" s="75"/>
      <c r="AQ124" s="75"/>
      <c r="AR124" s="75"/>
      <c r="AS124" s="75"/>
      <c r="AT124" s="75"/>
      <c r="AU124" s="75"/>
      <c r="AV124" s="75"/>
      <c r="AW124" s="75"/>
      <c r="AX124" s="75"/>
      <c r="AY124" s="75"/>
      <c r="AZ124" s="75"/>
      <c r="BA124" s="75"/>
      <c r="BB124" s="75"/>
      <c r="BC124" s="75"/>
      <c r="BD124" s="75"/>
      <c r="BE124" s="75"/>
      <c r="BF124" s="75"/>
      <c r="BG124" s="75"/>
      <c r="BH124" s="75"/>
      <c r="BI124" s="75"/>
      <c r="BJ124" s="75"/>
    </row>
    <row r="125" spans="1:62" x14ac:dyDescent="0.3">
      <c r="A125" s="25" t="s">
        <v>421</v>
      </c>
      <c r="B125" s="6">
        <v>200</v>
      </c>
      <c r="C125" s="66"/>
      <c r="D125" s="234"/>
      <c r="F125" s="2"/>
      <c r="G125" s="2"/>
      <c r="H125" s="2"/>
      <c r="I125" s="2"/>
      <c r="J125" s="2"/>
      <c r="K125" s="2"/>
      <c r="L125" s="2"/>
      <c r="M125" s="2"/>
      <c r="N125" s="39">
        <v>0</v>
      </c>
      <c r="O125" s="39">
        <v>0</v>
      </c>
      <c r="P125" s="39">
        <v>0</v>
      </c>
      <c r="Q125" s="39">
        <v>0</v>
      </c>
      <c r="R125" s="39">
        <v>0</v>
      </c>
      <c r="S125" s="39">
        <v>0</v>
      </c>
      <c r="T125" s="39">
        <f>AO10</f>
        <v>1400</v>
      </c>
      <c r="U125" s="39">
        <v>1400</v>
      </c>
      <c r="V125" s="39">
        <v>1400</v>
      </c>
      <c r="W125" s="39">
        <v>1200</v>
      </c>
      <c r="X125" s="39">
        <v>1200</v>
      </c>
      <c r="Y125" s="39">
        <v>600</v>
      </c>
      <c r="Z125" s="39">
        <v>400</v>
      </c>
      <c r="AA125" s="206">
        <v>1200</v>
      </c>
      <c r="AB125" s="372">
        <f t="shared" ca="1" si="5"/>
        <v>-800</v>
      </c>
      <c r="AD125" s="75"/>
      <c r="AE125" s="75"/>
      <c r="AF125" s="1"/>
      <c r="AG125" s="15"/>
      <c r="AH125" s="41"/>
      <c r="AI125" s="75"/>
      <c r="AJ125" s="75"/>
      <c r="AK125" s="75"/>
      <c r="AL125" s="75"/>
      <c r="AM125" s="75"/>
      <c r="AN125" s="75"/>
      <c r="AO125" s="75"/>
      <c r="AP125" s="75"/>
      <c r="AQ125" s="75"/>
      <c r="AR125" s="75"/>
      <c r="AS125" s="75"/>
      <c r="AT125" s="75"/>
      <c r="AU125" s="75"/>
      <c r="AV125" s="75"/>
      <c r="AW125" s="75"/>
      <c r="AX125" s="75"/>
      <c r="AY125" s="75"/>
      <c r="AZ125" s="75"/>
      <c r="BA125" s="75"/>
      <c r="BB125" s="75"/>
      <c r="BC125" s="75"/>
      <c r="BD125" s="75"/>
      <c r="BE125" s="75"/>
      <c r="BF125" s="75"/>
      <c r="BG125" s="75"/>
      <c r="BH125" s="75"/>
      <c r="BI125" s="75"/>
      <c r="BJ125" s="75"/>
    </row>
    <row r="126" spans="1:62" x14ac:dyDescent="0.3">
      <c r="A126" s="25" t="s">
        <v>422</v>
      </c>
      <c r="B126" s="6">
        <v>100</v>
      </c>
      <c r="C126" s="66"/>
      <c r="D126" s="234"/>
      <c r="N126" s="39">
        <v>0</v>
      </c>
      <c r="O126" s="39">
        <v>0</v>
      </c>
      <c r="P126" s="39">
        <v>0</v>
      </c>
      <c r="Q126" s="39">
        <v>0</v>
      </c>
      <c r="R126" s="39">
        <v>0</v>
      </c>
      <c r="S126" s="39">
        <v>0</v>
      </c>
      <c r="T126" s="39">
        <f>AO11</f>
        <v>500</v>
      </c>
      <c r="U126" s="39">
        <v>500</v>
      </c>
      <c r="V126" s="39">
        <v>500</v>
      </c>
      <c r="W126" s="39">
        <v>500</v>
      </c>
      <c r="X126" s="39">
        <v>500</v>
      </c>
      <c r="Y126" s="39">
        <v>400</v>
      </c>
      <c r="Z126" s="39">
        <v>200</v>
      </c>
      <c r="AA126" s="206">
        <v>100</v>
      </c>
      <c r="AB126" s="372">
        <f t="shared" ca="1" si="5"/>
        <v>100</v>
      </c>
    </row>
    <row r="127" spans="1:62" x14ac:dyDescent="0.3">
      <c r="A127" s="25" t="s">
        <v>489</v>
      </c>
      <c r="B127" s="6">
        <v>200</v>
      </c>
      <c r="C127" s="66"/>
      <c r="D127" s="234"/>
      <c r="N127" s="39">
        <v>0</v>
      </c>
      <c r="O127" s="39">
        <v>0</v>
      </c>
      <c r="P127" s="39">
        <v>0</v>
      </c>
      <c r="Q127" s="39">
        <f>AR28</f>
        <v>400</v>
      </c>
      <c r="R127" s="39">
        <v>400</v>
      </c>
      <c r="S127" s="39">
        <v>400</v>
      </c>
      <c r="T127" s="39">
        <v>387</v>
      </c>
      <c r="U127" s="39">
        <v>252</v>
      </c>
      <c r="V127" s="39"/>
      <c r="W127" s="39"/>
      <c r="X127" s="39"/>
      <c r="Y127" s="39"/>
      <c r="Z127" s="39"/>
      <c r="AA127" s="39">
        <v>134</v>
      </c>
      <c r="AB127" s="372">
        <f t="shared" ca="1" si="5"/>
        <v>-134</v>
      </c>
    </row>
    <row r="128" spans="1:62" x14ac:dyDescent="0.3">
      <c r="A128" s="25" t="s">
        <v>487</v>
      </c>
      <c r="B128" s="6">
        <v>200</v>
      </c>
      <c r="C128" s="66"/>
      <c r="D128" s="234"/>
      <c r="F128" s="2"/>
      <c r="G128" s="2"/>
      <c r="H128" s="2"/>
      <c r="I128" s="2"/>
      <c r="J128" s="2"/>
      <c r="K128" s="2"/>
      <c r="L128" s="2"/>
      <c r="M128" s="2"/>
      <c r="N128" s="39">
        <v>0</v>
      </c>
      <c r="O128" s="39">
        <v>0</v>
      </c>
      <c r="P128" s="39">
        <v>0</v>
      </c>
      <c r="Q128" s="39">
        <f>AR29</f>
        <v>200</v>
      </c>
      <c r="R128" s="39">
        <v>200</v>
      </c>
      <c r="S128" s="39">
        <v>200</v>
      </c>
      <c r="T128" s="39">
        <v>180</v>
      </c>
      <c r="U128" s="39">
        <v>51</v>
      </c>
      <c r="V128" s="39"/>
      <c r="W128" s="39"/>
      <c r="X128" s="39"/>
      <c r="Y128" s="39"/>
      <c r="Z128" s="39"/>
      <c r="AA128" s="39">
        <v>0</v>
      </c>
      <c r="AB128" s="372">
        <f t="shared" ca="1" si="5"/>
        <v>0</v>
      </c>
      <c r="AD128" s="75"/>
      <c r="AE128" s="75"/>
      <c r="AF128" s="1"/>
      <c r="AG128" s="15"/>
      <c r="AH128" s="41"/>
      <c r="AI128" s="75"/>
      <c r="AJ128" s="75"/>
      <c r="AK128" s="75"/>
      <c r="AL128" s="75"/>
      <c r="AM128" s="75"/>
      <c r="AN128" s="75"/>
      <c r="AO128" s="75"/>
      <c r="AP128" s="75"/>
      <c r="AQ128" s="75"/>
      <c r="AR128" s="75"/>
      <c r="AS128" s="75"/>
      <c r="AT128" s="75"/>
      <c r="AU128" s="75"/>
      <c r="AV128" s="75"/>
      <c r="AW128" s="75"/>
      <c r="AX128" s="75"/>
      <c r="AY128" s="75"/>
      <c r="AZ128" s="75"/>
      <c r="BA128" s="75"/>
      <c r="BB128" s="75"/>
      <c r="BC128" s="75"/>
      <c r="BD128" s="75"/>
      <c r="BE128" s="75"/>
      <c r="BF128" s="75"/>
      <c r="BG128" s="75"/>
      <c r="BH128" s="75"/>
      <c r="BI128" s="75"/>
      <c r="BJ128" s="75"/>
    </row>
    <row r="129" spans="1:28" x14ac:dyDescent="0.3">
      <c r="A129" s="153" t="s">
        <v>481</v>
      </c>
      <c r="B129" s="72">
        <v>200</v>
      </c>
      <c r="C129" s="77"/>
      <c r="D129" s="72"/>
      <c r="N129" s="39">
        <v>0</v>
      </c>
      <c r="O129" s="39">
        <v>0</v>
      </c>
      <c r="P129" s="39">
        <v>0</v>
      </c>
      <c r="Q129" s="39">
        <v>0</v>
      </c>
      <c r="R129" s="39">
        <v>0</v>
      </c>
      <c r="S129" s="39">
        <v>0</v>
      </c>
      <c r="T129" s="39">
        <v>0</v>
      </c>
      <c r="U129" s="206">
        <v>3</v>
      </c>
      <c r="V129" s="39"/>
      <c r="W129" s="39"/>
      <c r="X129" s="39"/>
      <c r="Y129" s="39"/>
      <c r="Z129" s="39"/>
      <c r="AA129" s="39">
        <v>0</v>
      </c>
      <c r="AB129" s="372">
        <f t="shared" ca="1" si="5"/>
        <v>0</v>
      </c>
    </row>
    <row r="130" spans="1:28" x14ac:dyDescent="0.3">
      <c r="A130" s="153" t="s">
        <v>154</v>
      </c>
      <c r="B130" s="72">
        <v>150</v>
      </c>
      <c r="C130" s="77"/>
      <c r="D130" s="72"/>
      <c r="N130" s="39">
        <v>0</v>
      </c>
      <c r="O130" s="39">
        <v>0</v>
      </c>
      <c r="P130" s="39">
        <v>0</v>
      </c>
      <c r="Q130" s="39">
        <v>0</v>
      </c>
      <c r="R130" s="39">
        <v>0</v>
      </c>
      <c r="S130" s="39">
        <v>0</v>
      </c>
      <c r="T130" s="39">
        <v>0</v>
      </c>
      <c r="U130" s="39">
        <v>48</v>
      </c>
      <c r="V130" s="39"/>
      <c r="W130" s="39"/>
      <c r="X130" s="39"/>
      <c r="Y130" s="39"/>
      <c r="Z130" s="39"/>
      <c r="AA130" s="39">
        <v>77</v>
      </c>
      <c r="AB130" s="372">
        <f t="shared" ca="1" si="5"/>
        <v>-77</v>
      </c>
    </row>
    <row r="131" spans="1:28" x14ac:dyDescent="0.3">
      <c r="A131" s="153" t="s">
        <v>156</v>
      </c>
      <c r="B131" s="72">
        <v>100</v>
      </c>
      <c r="C131" s="77"/>
      <c r="D131" s="72"/>
      <c r="N131" s="39">
        <v>0</v>
      </c>
      <c r="O131" s="39">
        <v>0</v>
      </c>
      <c r="P131" s="39">
        <v>0</v>
      </c>
      <c r="Q131" s="39">
        <v>0</v>
      </c>
      <c r="R131" s="39">
        <v>0</v>
      </c>
      <c r="S131" s="39">
        <v>0</v>
      </c>
      <c r="T131" s="39">
        <v>0</v>
      </c>
      <c r="U131" s="39">
        <v>78</v>
      </c>
      <c r="V131" s="39"/>
      <c r="W131" s="39"/>
      <c r="X131" s="39"/>
      <c r="Y131" s="39"/>
      <c r="Z131" s="39"/>
      <c r="AA131" s="39">
        <v>82</v>
      </c>
      <c r="AB131" s="372">
        <f t="shared" ca="1" si="5"/>
        <v>-82</v>
      </c>
    </row>
    <row r="132" spans="1:28" x14ac:dyDescent="0.3">
      <c r="A132" s="153" t="s">
        <v>160</v>
      </c>
      <c r="B132" s="72">
        <v>150</v>
      </c>
      <c r="C132" s="77"/>
      <c r="D132" s="72"/>
      <c r="N132" s="39">
        <v>0</v>
      </c>
      <c r="O132" s="39">
        <v>0</v>
      </c>
      <c r="P132" s="39">
        <v>0</v>
      </c>
      <c r="Q132" s="39">
        <f>AR43</f>
        <v>150</v>
      </c>
      <c r="R132" s="39">
        <v>150</v>
      </c>
      <c r="S132" s="39">
        <v>150</v>
      </c>
      <c r="T132" s="39">
        <v>146</v>
      </c>
      <c r="U132" s="39">
        <v>87</v>
      </c>
      <c r="V132" s="39"/>
      <c r="W132" s="39"/>
      <c r="X132" s="39"/>
      <c r="Y132" s="39"/>
      <c r="Z132" s="39"/>
      <c r="AA132" s="39">
        <v>43</v>
      </c>
      <c r="AB132" s="372">
        <f t="shared" ca="1" si="5"/>
        <v>-43</v>
      </c>
    </row>
    <row r="133" spans="1:28" x14ac:dyDescent="0.3">
      <c r="B133" s="41"/>
      <c r="C133" s="120"/>
      <c r="D133" s="120"/>
    </row>
  </sheetData>
  <mergeCells count="9">
    <mergeCell ref="A5:A6"/>
    <mergeCell ref="B3:D3"/>
    <mergeCell ref="A1:AC1"/>
    <mergeCell ref="A112:AB112"/>
    <mergeCell ref="C5:C6"/>
    <mergeCell ref="F5:AB5"/>
    <mergeCell ref="B5:B6"/>
    <mergeCell ref="B2:D2"/>
    <mergeCell ref="D5:D6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48" orientation="landscape" horizontalDpi="4294967295" verticalDpi="4294967295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ilha52">
    <tabColor theme="8"/>
    <pageSetUpPr fitToPage="1"/>
  </sheetPr>
  <dimension ref="A1:BJ125"/>
  <sheetViews>
    <sheetView showGridLines="0" topLeftCell="A94" zoomScale="80" zoomScaleNormal="80" zoomScaleSheetLayoutView="50" workbookViewId="0">
      <selection activeCell="AH127" sqref="AH127"/>
    </sheetView>
  </sheetViews>
  <sheetFormatPr defaultColWidth="9.140625" defaultRowHeight="15" x14ac:dyDescent="0.25"/>
  <cols>
    <col min="1" max="1" width="38.42578125" customWidth="1"/>
    <col min="2" max="2" width="8.140625" customWidth="1"/>
    <col min="3" max="3" width="16.85546875" customWidth="1"/>
    <col min="5" max="5" width="2" customWidth="1"/>
    <col min="6" max="6" width="8.28515625" hidden="1" customWidth="1"/>
    <col min="7" max="26" width="13" hidden="1" customWidth="1"/>
    <col min="27" max="27" width="8.28515625" hidden="1" customWidth="1"/>
    <col min="28" max="30" width="13" hidden="1" customWidth="1"/>
    <col min="31" max="32" width="13" customWidth="1"/>
    <col min="33" max="33" width="9.5703125" customWidth="1"/>
    <col min="34" max="34" width="1.42578125" customWidth="1"/>
    <col min="35" max="35" width="14.28515625" customWidth="1"/>
    <col min="37" max="37" width="1.7109375" customWidth="1"/>
    <col min="38" max="38" width="15.85546875" customWidth="1"/>
    <col min="39" max="39" width="1.28515625" customWidth="1"/>
    <col min="40" max="40" width="9.140625" customWidth="1"/>
    <col min="41" max="41" width="13" customWidth="1"/>
    <col min="42" max="46" width="13" hidden="1" customWidth="1"/>
    <col min="47" max="47" width="9.140625" hidden="1" customWidth="1"/>
    <col min="48" max="55" width="13" hidden="1" customWidth="1"/>
    <col min="56" max="56" width="13.5703125" hidden="1" customWidth="1"/>
    <col min="57" max="57" width="13" hidden="1" customWidth="1"/>
    <col min="58" max="58" width="14.28515625" hidden="1" customWidth="1"/>
    <col min="59" max="59" width="12.28515625" hidden="1" customWidth="1"/>
    <col min="60" max="60" width="13" hidden="1" customWidth="1"/>
    <col min="61" max="61" width="14.28515625" hidden="1" customWidth="1"/>
    <col min="62" max="62" width="18.85546875" hidden="1" customWidth="1"/>
    <col min="63" max="63" width="9.140625" customWidth="1"/>
  </cols>
  <sheetData>
    <row r="1" spans="1:62" ht="23.25" customHeight="1" x14ac:dyDescent="0.3">
      <c r="A1" s="498" t="s">
        <v>117</v>
      </c>
      <c r="B1" s="478"/>
      <c r="C1" s="478"/>
      <c r="D1" s="478"/>
      <c r="E1" s="478"/>
      <c r="F1" s="478"/>
      <c r="G1" s="478"/>
      <c r="H1" s="478"/>
      <c r="I1" s="478"/>
      <c r="J1" s="478"/>
      <c r="K1" s="478"/>
      <c r="L1" s="478"/>
      <c r="M1" s="478"/>
      <c r="N1" s="478"/>
      <c r="O1" s="478"/>
      <c r="P1" s="478"/>
      <c r="Q1" s="478"/>
      <c r="R1" s="478"/>
      <c r="S1" s="478"/>
      <c r="T1" s="478"/>
      <c r="U1" s="478"/>
      <c r="V1" s="478"/>
      <c r="W1" s="478"/>
      <c r="X1" s="478"/>
      <c r="Y1" s="478"/>
      <c r="Z1" s="478"/>
      <c r="AA1" s="478"/>
      <c r="AB1" s="478"/>
      <c r="AC1" s="478"/>
      <c r="AH1" s="133"/>
      <c r="AK1" s="34"/>
      <c r="AL1" s="11"/>
      <c r="AM1" s="34"/>
    </row>
    <row r="2" spans="1:62" ht="18.75" x14ac:dyDescent="0.3">
      <c r="A2" s="63" t="s">
        <v>118</v>
      </c>
      <c r="B2" s="473" t="s">
        <v>490</v>
      </c>
      <c r="C2" s="463"/>
      <c r="D2" s="464"/>
      <c r="AK2" s="34"/>
      <c r="AL2" s="11"/>
      <c r="AM2" s="34"/>
    </row>
    <row r="3" spans="1:62" ht="18.75" x14ac:dyDescent="0.3">
      <c r="A3" s="63" t="s">
        <v>120</v>
      </c>
      <c r="B3" s="465" t="s">
        <v>324</v>
      </c>
      <c r="C3" s="463"/>
      <c r="D3" s="464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442"/>
      <c r="AD3" s="442"/>
      <c r="AE3" s="442"/>
      <c r="AF3" s="442"/>
      <c r="AG3" s="7"/>
      <c r="AH3" s="7"/>
      <c r="AK3" s="34"/>
    </row>
    <row r="4" spans="1:62" ht="18.75" x14ac:dyDescent="0.3">
      <c r="AI4" s="41"/>
      <c r="AJ4" s="4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203"/>
      <c r="BE4" s="203"/>
      <c r="BF4" s="203"/>
      <c r="BG4" s="11"/>
      <c r="BH4" s="11"/>
      <c r="BI4" s="203"/>
      <c r="BJ4" s="11"/>
    </row>
    <row r="5" spans="1:62" ht="24.75" customHeight="1" x14ac:dyDescent="0.25">
      <c r="A5" s="460" t="s">
        <v>122</v>
      </c>
      <c r="B5" s="471" t="s">
        <v>123</v>
      </c>
      <c r="C5" s="471" t="s">
        <v>124</v>
      </c>
      <c r="D5" s="474" t="s">
        <v>125</v>
      </c>
      <c r="F5" s="502"/>
      <c r="G5" s="467"/>
      <c r="H5" s="467"/>
      <c r="I5" s="467"/>
      <c r="J5" s="467"/>
      <c r="K5" s="467"/>
      <c r="L5" s="467"/>
      <c r="M5" s="467"/>
      <c r="N5" s="467"/>
      <c r="O5" s="467"/>
      <c r="P5" s="467"/>
      <c r="Q5" s="467"/>
      <c r="R5" s="467"/>
      <c r="S5" s="467"/>
      <c r="T5" s="467"/>
      <c r="U5" s="467"/>
      <c r="V5" s="467"/>
      <c r="W5" s="467"/>
      <c r="X5" s="467"/>
      <c r="Y5" s="467"/>
      <c r="Z5" s="467"/>
      <c r="AA5" s="467"/>
      <c r="AB5" s="467"/>
      <c r="AC5" s="444"/>
      <c r="AD5" s="444"/>
      <c r="AE5" s="444"/>
      <c r="AF5" s="444"/>
      <c r="AG5" s="417"/>
      <c r="AI5" s="29" t="s">
        <v>126</v>
      </c>
      <c r="AJ5" s="29" t="s">
        <v>126</v>
      </c>
      <c r="AL5" s="9" t="s">
        <v>127</v>
      </c>
      <c r="AM5" s="17">
        <v>46161.483294914571</v>
      </c>
      <c r="AN5" s="17">
        <v>46149</v>
      </c>
      <c r="AO5" s="17">
        <v>46142</v>
      </c>
      <c r="AP5" s="17">
        <v>46114</v>
      </c>
      <c r="AQ5" s="17">
        <v>46099</v>
      </c>
      <c r="AR5" s="294">
        <v>46065</v>
      </c>
      <c r="AS5" s="17">
        <v>46077</v>
      </c>
      <c r="AT5" s="292">
        <v>46045</v>
      </c>
      <c r="AU5" s="17">
        <v>46056</v>
      </c>
      <c r="AV5" s="17">
        <v>46017</v>
      </c>
      <c r="AW5" s="17">
        <v>46007</v>
      </c>
      <c r="AX5" s="17">
        <v>46001</v>
      </c>
      <c r="AY5" s="17">
        <v>45994</v>
      </c>
      <c r="AZ5" s="17">
        <v>45986</v>
      </c>
      <c r="BA5" s="17">
        <v>45980</v>
      </c>
      <c r="BB5" s="17">
        <v>45980</v>
      </c>
      <c r="BC5" s="17">
        <v>45973</v>
      </c>
      <c r="BD5" s="207" t="s">
        <v>128</v>
      </c>
      <c r="BE5" s="207" t="s">
        <v>128</v>
      </c>
      <c r="BF5" s="268" t="s">
        <v>128</v>
      </c>
      <c r="BG5" s="268" t="s">
        <v>128</v>
      </c>
      <c r="BH5" s="258" t="s">
        <v>128</v>
      </c>
      <c r="BI5" s="207" t="s">
        <v>128</v>
      </c>
      <c r="BJ5" s="274" t="s">
        <v>128</v>
      </c>
    </row>
    <row r="6" spans="1:62" s="3" customFormat="1" ht="18.75" x14ac:dyDescent="0.3">
      <c r="A6" s="461"/>
      <c r="B6" s="461"/>
      <c r="C6" s="461"/>
      <c r="D6" s="461"/>
      <c r="E6" s="30"/>
      <c r="F6" s="13">
        <v>46006</v>
      </c>
      <c r="G6" s="13">
        <v>46013</v>
      </c>
      <c r="H6" s="13">
        <v>46020</v>
      </c>
      <c r="I6" s="13">
        <v>46027</v>
      </c>
      <c r="J6" s="13">
        <v>46034</v>
      </c>
      <c r="K6" s="13">
        <v>46041</v>
      </c>
      <c r="L6" s="13">
        <v>46048</v>
      </c>
      <c r="M6" s="13">
        <v>46055</v>
      </c>
      <c r="N6" s="13">
        <v>46062</v>
      </c>
      <c r="O6" s="13">
        <v>46069</v>
      </c>
      <c r="P6" s="13">
        <v>46076</v>
      </c>
      <c r="Q6" s="13">
        <v>46083</v>
      </c>
      <c r="R6" s="13">
        <v>46090</v>
      </c>
      <c r="S6" s="13">
        <v>46097</v>
      </c>
      <c r="T6" s="13">
        <v>46104</v>
      </c>
      <c r="U6" s="13">
        <v>46111</v>
      </c>
      <c r="V6" s="13">
        <v>46118</v>
      </c>
      <c r="W6" s="13">
        <v>46125</v>
      </c>
      <c r="X6" s="13">
        <v>46132</v>
      </c>
      <c r="Y6" s="13">
        <v>46139</v>
      </c>
      <c r="Z6" s="13">
        <v>46146</v>
      </c>
      <c r="AA6" s="13">
        <v>46154</v>
      </c>
      <c r="AB6" s="13">
        <v>46160</v>
      </c>
      <c r="AC6" s="13">
        <v>46161.480136331018</v>
      </c>
      <c r="AD6" s="13">
        <v>46161.48080996528</v>
      </c>
      <c r="AE6" s="13">
        <v>46161.482967465279</v>
      </c>
      <c r="AF6" s="13">
        <v>46161.48329554683</v>
      </c>
      <c r="AG6" s="149" t="s">
        <v>129</v>
      </c>
      <c r="AH6" s="30"/>
      <c r="AI6" s="18"/>
      <c r="AJ6" s="18">
        <v>46149</v>
      </c>
      <c r="AK6" s="31"/>
      <c r="AL6" s="179">
        <v>46155</v>
      </c>
      <c r="AM6" s="17">
        <v>46161.48329491484</v>
      </c>
      <c r="AN6" s="17">
        <v>46154</v>
      </c>
      <c r="AO6" s="17">
        <v>46149</v>
      </c>
      <c r="AP6" s="17">
        <v>46125</v>
      </c>
      <c r="AQ6" s="17">
        <v>46104</v>
      </c>
      <c r="AR6" s="294">
        <v>46104</v>
      </c>
      <c r="AS6" s="17">
        <v>46086</v>
      </c>
      <c r="AT6" s="292">
        <v>46094</v>
      </c>
      <c r="AU6" s="17">
        <v>46062</v>
      </c>
      <c r="AV6" s="17">
        <v>46027</v>
      </c>
      <c r="AW6" s="17">
        <v>46010</v>
      </c>
      <c r="AX6" s="17">
        <v>46010</v>
      </c>
      <c r="AY6" s="17">
        <v>46001</v>
      </c>
      <c r="AZ6" s="17">
        <v>45996</v>
      </c>
      <c r="BA6" s="17">
        <v>45992</v>
      </c>
      <c r="BB6" s="17">
        <v>45988</v>
      </c>
      <c r="BC6" s="17">
        <v>45986</v>
      </c>
      <c r="BD6" s="207">
        <v>45982</v>
      </c>
      <c r="BE6" s="207">
        <v>45979</v>
      </c>
      <c r="BF6" s="269">
        <v>45974</v>
      </c>
      <c r="BG6" s="269">
        <v>45972</v>
      </c>
      <c r="BH6" s="258">
        <v>45968</v>
      </c>
      <c r="BI6" s="207">
        <v>45967</v>
      </c>
      <c r="BJ6" s="274">
        <v>45964</v>
      </c>
    </row>
    <row r="7" spans="1:62" s="3" customFormat="1" ht="21.75" customHeight="1" x14ac:dyDescent="0.3">
      <c r="A7" s="20" t="s">
        <v>426</v>
      </c>
      <c r="B7" s="4"/>
      <c r="C7" s="5"/>
      <c r="D7" s="233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1"/>
      <c r="AI7" s="84"/>
      <c r="AJ7" s="84"/>
      <c r="AK7" s="11"/>
      <c r="AL7" s="111"/>
      <c r="AM7" s="114"/>
      <c r="AN7" s="114"/>
      <c r="AO7" s="114"/>
      <c r="AP7" s="114"/>
      <c r="AQ7" s="114"/>
      <c r="AR7" s="114" t="s">
        <v>131</v>
      </c>
      <c r="AS7" s="114"/>
      <c r="AT7" s="114" t="s">
        <v>131</v>
      </c>
      <c r="AU7" s="114"/>
      <c r="AV7" s="114"/>
      <c r="AW7" s="114"/>
      <c r="AX7" s="114"/>
      <c r="AY7" s="114"/>
      <c r="AZ7" s="114"/>
      <c r="BA7" s="114"/>
      <c r="BB7" s="114"/>
      <c r="BC7" s="114"/>
      <c r="BD7" s="114"/>
      <c r="BE7" s="114"/>
      <c r="BF7" s="114" t="s">
        <v>491</v>
      </c>
      <c r="BG7" s="114"/>
      <c r="BH7" s="114" t="s">
        <v>492</v>
      </c>
      <c r="BI7" s="114"/>
      <c r="BJ7" s="114" t="s">
        <v>493</v>
      </c>
    </row>
    <row r="8" spans="1:62" s="3" customFormat="1" ht="18.75" x14ac:dyDescent="0.3">
      <c r="A8" s="21" t="s">
        <v>132</v>
      </c>
      <c r="B8" s="6">
        <v>300</v>
      </c>
      <c r="C8" s="82">
        <v>178.21</v>
      </c>
      <c r="D8" s="234"/>
      <c r="E8" s="11"/>
      <c r="F8" s="39">
        <v>370</v>
      </c>
      <c r="G8" s="39">
        <v>791</v>
      </c>
      <c r="H8" s="39">
        <v>753</v>
      </c>
      <c r="I8" s="39">
        <f>736+AR8</f>
        <v>736</v>
      </c>
      <c r="J8" s="39">
        <v>1212</v>
      </c>
      <c r="K8" s="39">
        <v>1171</v>
      </c>
      <c r="L8" s="39">
        <v>878</v>
      </c>
      <c r="M8" s="39">
        <v>508</v>
      </c>
      <c r="N8" s="39">
        <f>501+AQ8</f>
        <v>801</v>
      </c>
      <c r="O8" s="122">
        <v>1056</v>
      </c>
      <c r="P8" s="122">
        <v>733</v>
      </c>
      <c r="Q8" s="122">
        <f>646+AO8</f>
        <v>946</v>
      </c>
      <c r="R8" s="122">
        <v>694</v>
      </c>
      <c r="S8" s="122">
        <v>484</v>
      </c>
      <c r="T8" s="122">
        <f>411+AM8</f>
        <v>411</v>
      </c>
      <c r="U8" s="122">
        <v>526</v>
      </c>
      <c r="V8" s="122">
        <v>412</v>
      </c>
      <c r="W8" s="122">
        <v>0</v>
      </c>
      <c r="X8" s="122">
        <v>0</v>
      </c>
      <c r="Y8" s="122">
        <v>0</v>
      </c>
      <c r="Z8" s="122">
        <f>0+AK8</f>
        <v>0</v>
      </c>
      <c r="AA8" s="122">
        <v>100</v>
      </c>
      <c r="AB8" s="122"/>
      <c r="AC8" s="83"/>
      <c r="AD8" s="83"/>
      <c r="AE8" s="83"/>
      <c r="AF8" s="83"/>
      <c r="AG8" s="372">
        <f ca="1">AE8+IF(NOT(ISBLANK(OFFSET(AG8,0,6))),N(OFFSET(AG8,0,6)),N(OFFSET(AG8,0,7)))-AF8</f>
        <v>0</v>
      </c>
      <c r="AH8" s="11"/>
      <c r="AI8" s="78"/>
      <c r="AJ8" s="78"/>
      <c r="AK8" s="11"/>
      <c r="AL8" s="32">
        <v>300</v>
      </c>
      <c r="AM8" s="445">
        <v>0</v>
      </c>
      <c r="AN8" s="19">
        <v>0</v>
      </c>
      <c r="AO8" s="19">
        <v>300</v>
      </c>
      <c r="AP8" s="19">
        <v>0</v>
      </c>
      <c r="AQ8" s="19">
        <v>300</v>
      </c>
      <c r="AR8" s="19"/>
      <c r="AS8" s="19">
        <v>300</v>
      </c>
      <c r="AT8" s="19"/>
      <c r="AU8" s="19">
        <v>600</v>
      </c>
      <c r="AV8" s="19">
        <v>600</v>
      </c>
      <c r="AW8" s="19">
        <v>300</v>
      </c>
      <c r="AX8" s="19">
        <v>300</v>
      </c>
      <c r="AY8" s="19">
        <v>300</v>
      </c>
      <c r="AZ8" s="19"/>
      <c r="BA8" s="19">
        <v>300</v>
      </c>
      <c r="BB8" s="19"/>
      <c r="BC8" s="19">
        <v>300</v>
      </c>
      <c r="BD8" s="117"/>
      <c r="BE8" s="117"/>
      <c r="BF8" s="117"/>
      <c r="BG8" s="19"/>
      <c r="BH8" s="19"/>
      <c r="BI8" s="117"/>
      <c r="BJ8" s="117"/>
    </row>
    <row r="9" spans="1:62" s="3" customFormat="1" ht="18.75" x14ac:dyDescent="0.3">
      <c r="A9" s="21" t="s">
        <v>134</v>
      </c>
      <c r="B9" s="6">
        <v>200</v>
      </c>
      <c r="C9" s="82">
        <v>183.89</v>
      </c>
      <c r="D9" s="234"/>
      <c r="E9" s="11"/>
      <c r="F9" s="122">
        <v>936</v>
      </c>
      <c r="G9" s="122">
        <v>1164</v>
      </c>
      <c r="H9" s="122">
        <v>1148</v>
      </c>
      <c r="I9" s="122">
        <f>1003+AR9</f>
        <v>1403</v>
      </c>
      <c r="J9" s="122">
        <v>1699</v>
      </c>
      <c r="K9" s="122">
        <v>1533</v>
      </c>
      <c r="L9" s="122">
        <v>1388</v>
      </c>
      <c r="M9" s="122">
        <v>1175</v>
      </c>
      <c r="N9" s="122">
        <v>1008</v>
      </c>
      <c r="O9" s="122">
        <v>880</v>
      </c>
      <c r="P9" s="122">
        <v>767</v>
      </c>
      <c r="Q9" s="122">
        <f>580+AO9</f>
        <v>1180</v>
      </c>
      <c r="R9" s="122">
        <v>592</v>
      </c>
      <c r="S9" s="122">
        <v>478</v>
      </c>
      <c r="T9" s="122">
        <v>340</v>
      </c>
      <c r="U9" s="122">
        <v>190</v>
      </c>
      <c r="V9" s="122">
        <v>85</v>
      </c>
      <c r="W9" s="122">
        <v>600</v>
      </c>
      <c r="X9" s="122">
        <v>462</v>
      </c>
      <c r="Y9" s="122">
        <v>244</v>
      </c>
      <c r="Z9" s="122">
        <f>20+AK9</f>
        <v>20</v>
      </c>
      <c r="AA9" s="122">
        <v>435</v>
      </c>
      <c r="AB9" s="122"/>
      <c r="AC9" s="83"/>
      <c r="AD9" s="83"/>
      <c r="AE9" s="83"/>
      <c r="AF9" s="83"/>
      <c r="AG9" s="372">
        <f ca="1">AE9+IF(NOT(ISBLANK(OFFSET(AG9,0,6))),N(OFFSET(AG9,0,6)),N(OFFSET(AG9,0,7)))-AF9</f>
        <v>0</v>
      </c>
      <c r="AH9" s="11"/>
      <c r="AI9" s="78"/>
      <c r="AJ9" s="78"/>
      <c r="AK9" s="11"/>
      <c r="AL9" s="32"/>
      <c r="AM9" s="445">
        <v>0</v>
      </c>
      <c r="AN9" s="19">
        <v>0</v>
      </c>
      <c r="AO9" s="19">
        <v>600</v>
      </c>
      <c r="AP9" s="19">
        <v>600</v>
      </c>
      <c r="AQ9" s="19"/>
      <c r="AR9" s="244">
        <v>400</v>
      </c>
      <c r="AS9" s="19">
        <v>200</v>
      </c>
      <c r="AT9" s="19"/>
      <c r="AU9" s="19"/>
      <c r="AV9" s="19">
        <v>800</v>
      </c>
      <c r="AW9" s="19">
        <v>400</v>
      </c>
      <c r="AX9" s="19"/>
      <c r="AY9" s="19">
        <v>600</v>
      </c>
      <c r="AZ9" s="19"/>
      <c r="BA9" s="19">
        <v>400</v>
      </c>
      <c r="BB9" s="19"/>
      <c r="BC9" s="19">
        <v>400</v>
      </c>
      <c r="BD9" s="253" t="s">
        <v>494</v>
      </c>
      <c r="BE9" s="117"/>
      <c r="BF9" s="244" t="s">
        <v>495</v>
      </c>
      <c r="BG9" s="19"/>
      <c r="BH9" s="19"/>
      <c r="BI9" s="253" t="s">
        <v>496</v>
      </c>
      <c r="BJ9" s="117"/>
    </row>
    <row r="10" spans="1:62" s="3" customFormat="1" ht="18.75" x14ac:dyDescent="0.3">
      <c r="A10" s="21" t="s">
        <v>137</v>
      </c>
      <c r="B10" s="6">
        <v>200</v>
      </c>
      <c r="C10" s="82">
        <v>241.74</v>
      </c>
      <c r="D10" s="234"/>
      <c r="E10" s="11"/>
      <c r="F10" s="122">
        <v>329</v>
      </c>
      <c r="G10" s="122">
        <v>471</v>
      </c>
      <c r="H10" s="122">
        <v>400</v>
      </c>
      <c r="I10" s="122">
        <f>391+AR10</f>
        <v>591</v>
      </c>
      <c r="J10" s="122">
        <v>733</v>
      </c>
      <c r="K10" s="122">
        <v>679</v>
      </c>
      <c r="L10" s="122">
        <v>601</v>
      </c>
      <c r="M10" s="122">
        <v>450</v>
      </c>
      <c r="N10" s="122">
        <v>542</v>
      </c>
      <c r="O10" s="122">
        <v>539</v>
      </c>
      <c r="P10" s="122">
        <v>167</v>
      </c>
      <c r="Q10" s="122">
        <f>8+AO10</f>
        <v>208</v>
      </c>
      <c r="R10" s="122">
        <v>110</v>
      </c>
      <c r="S10" s="122">
        <v>46</v>
      </c>
      <c r="T10" s="122">
        <f>5+AM10</f>
        <v>5</v>
      </c>
      <c r="U10" s="122">
        <v>400</v>
      </c>
      <c r="V10" s="122">
        <v>499</v>
      </c>
      <c r="W10" s="122">
        <v>340</v>
      </c>
      <c r="X10" s="122">
        <v>200</v>
      </c>
      <c r="Y10" s="122">
        <v>163</v>
      </c>
      <c r="Z10" s="122">
        <f>0+AK10</f>
        <v>0</v>
      </c>
      <c r="AA10" s="122">
        <v>80</v>
      </c>
      <c r="AB10" s="122"/>
      <c r="AC10" s="83"/>
      <c r="AD10" s="83"/>
      <c r="AE10" s="83"/>
      <c r="AF10" s="83"/>
      <c r="AG10" s="372">
        <f ca="1">AE10+IF(NOT(ISBLANK(OFFSET(AG10,0,6))),N(OFFSET(AG10,0,6)),N(OFFSET(AG10,0,7)))-AF10</f>
        <v>0</v>
      </c>
      <c r="AH10" s="11"/>
      <c r="AI10" s="78"/>
      <c r="AJ10" s="78"/>
      <c r="AK10" s="11"/>
      <c r="AL10" s="32">
        <v>200</v>
      </c>
      <c r="AM10" s="445">
        <v>0</v>
      </c>
      <c r="AN10" s="19">
        <v>0</v>
      </c>
      <c r="AO10" s="19">
        <v>200</v>
      </c>
      <c r="AP10" s="19">
        <v>0</v>
      </c>
      <c r="AQ10" s="19">
        <v>400</v>
      </c>
      <c r="AR10" s="244">
        <v>200</v>
      </c>
      <c r="AS10" s="19">
        <v>200</v>
      </c>
      <c r="AT10" s="293">
        <v>150</v>
      </c>
      <c r="AU10" s="19"/>
      <c r="AV10" s="19">
        <v>400</v>
      </c>
      <c r="AW10" s="19">
        <v>400</v>
      </c>
      <c r="AX10" s="19"/>
      <c r="AY10" s="19">
        <v>200</v>
      </c>
      <c r="AZ10" s="19"/>
      <c r="BA10" s="19">
        <v>200</v>
      </c>
      <c r="BB10" s="19"/>
      <c r="BC10" s="19">
        <v>200</v>
      </c>
      <c r="BD10" s="117"/>
      <c r="BE10" s="117"/>
      <c r="BF10" s="244" t="s">
        <v>495</v>
      </c>
      <c r="BG10" s="19"/>
      <c r="BH10" s="19"/>
      <c r="BI10" s="253" t="s">
        <v>495</v>
      </c>
      <c r="BJ10" s="251" t="s">
        <v>495</v>
      </c>
    </row>
    <row r="11" spans="1:62" s="3" customFormat="1" ht="19.5" customHeight="1" x14ac:dyDescent="0.3">
      <c r="A11" s="22" t="s">
        <v>139</v>
      </c>
      <c r="B11" s="6">
        <v>100</v>
      </c>
      <c r="C11" s="82">
        <v>175.78</v>
      </c>
      <c r="D11" s="234"/>
      <c r="E11" s="11"/>
      <c r="F11" s="39">
        <v>0</v>
      </c>
      <c r="G11" s="39">
        <v>300</v>
      </c>
      <c r="H11" s="39">
        <v>281</v>
      </c>
      <c r="I11" s="39">
        <f>279+AR11</f>
        <v>379</v>
      </c>
      <c r="J11" s="39">
        <v>533</v>
      </c>
      <c r="K11" s="39">
        <v>503</v>
      </c>
      <c r="L11" s="39">
        <v>474</v>
      </c>
      <c r="M11" s="39">
        <v>432</v>
      </c>
      <c r="N11" s="39">
        <v>402</v>
      </c>
      <c r="O11" s="39">
        <v>350</v>
      </c>
      <c r="P11" s="39">
        <v>262</v>
      </c>
      <c r="Q11" s="39">
        <f>221+AO11</f>
        <v>321</v>
      </c>
      <c r="R11" s="39">
        <v>262</v>
      </c>
      <c r="S11" s="39">
        <v>209</v>
      </c>
      <c r="T11" s="39">
        <v>190</v>
      </c>
      <c r="U11" s="39">
        <v>190</v>
      </c>
      <c r="V11" s="39">
        <v>267</v>
      </c>
      <c r="W11" s="39">
        <v>220</v>
      </c>
      <c r="X11" s="39">
        <v>178</v>
      </c>
      <c r="Y11" s="39">
        <v>133</v>
      </c>
      <c r="Z11" s="39">
        <f>0+AK11</f>
        <v>0</v>
      </c>
      <c r="AA11" s="39">
        <v>100</v>
      </c>
      <c r="AB11" s="39"/>
      <c r="AC11" s="6"/>
      <c r="AD11" s="6"/>
      <c r="AE11" s="6"/>
      <c r="AF11" s="6"/>
      <c r="AG11" s="372">
        <f ca="1">AE11+IF(NOT(ISBLANK(OFFSET(AG11,0,6))),N(OFFSET(AG11,0,6)),N(OFFSET(AG11,0,7)))-AF11</f>
        <v>0</v>
      </c>
      <c r="AH11" s="11"/>
      <c r="AI11" s="78"/>
      <c r="AJ11" s="78"/>
      <c r="AK11" s="11"/>
      <c r="AL11" s="32"/>
      <c r="AM11" s="445">
        <v>0</v>
      </c>
      <c r="AN11" s="19">
        <v>0</v>
      </c>
      <c r="AO11" s="19">
        <v>100</v>
      </c>
      <c r="AP11" s="19">
        <v>0</v>
      </c>
      <c r="AQ11" s="19"/>
      <c r="AR11" s="244">
        <v>100</v>
      </c>
      <c r="AS11" s="19">
        <v>100</v>
      </c>
      <c r="AT11" s="19"/>
      <c r="AU11" s="19"/>
      <c r="AV11" s="19">
        <v>300</v>
      </c>
      <c r="AW11" s="19">
        <v>300</v>
      </c>
      <c r="AX11" s="19"/>
      <c r="AY11" s="19"/>
      <c r="AZ11" s="19"/>
      <c r="BA11" s="19">
        <v>100</v>
      </c>
      <c r="BB11" s="19"/>
      <c r="BC11" s="19"/>
      <c r="BD11" s="117"/>
      <c r="BE11" s="117"/>
      <c r="BF11" s="117"/>
      <c r="BG11" s="244" t="s">
        <v>497</v>
      </c>
      <c r="BH11" s="19"/>
      <c r="BI11" s="253" t="s">
        <v>498</v>
      </c>
      <c r="BJ11" s="19"/>
    </row>
    <row r="12" spans="1:62" s="3" customFormat="1" ht="19.5" hidden="1" customHeight="1" x14ac:dyDescent="0.3">
      <c r="A12" s="140" t="s">
        <v>499</v>
      </c>
      <c r="B12" s="141">
        <v>200</v>
      </c>
      <c r="C12" s="142">
        <v>144.12</v>
      </c>
      <c r="D12" s="234"/>
      <c r="E12" s="11"/>
      <c r="F12" s="39">
        <v>0</v>
      </c>
      <c r="G12" s="39">
        <v>0</v>
      </c>
      <c r="H12" s="39">
        <v>0</v>
      </c>
      <c r="I12" s="39">
        <v>0</v>
      </c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>
        <v>0</v>
      </c>
      <c r="AA12" s="39"/>
      <c r="AB12" s="39"/>
      <c r="AC12" s="6"/>
      <c r="AD12" s="6"/>
      <c r="AE12" s="6"/>
      <c r="AF12" s="6"/>
      <c r="AG12" s="123"/>
      <c r="AH12" s="11"/>
      <c r="AI12" s="243"/>
      <c r="AJ12" s="243"/>
      <c r="AK12" s="11"/>
      <c r="AL12" s="32"/>
      <c r="AM12" s="445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17"/>
      <c r="BE12" s="117"/>
      <c r="BF12" s="117"/>
      <c r="BG12" s="19"/>
      <c r="BH12" s="19"/>
      <c r="BI12" s="117"/>
      <c r="BJ12" s="19"/>
    </row>
    <row r="13" spans="1:62" s="3" customFormat="1" ht="19.5" hidden="1" customHeight="1" x14ac:dyDescent="0.3">
      <c r="A13" s="140" t="s">
        <v>500</v>
      </c>
      <c r="B13" s="141">
        <v>100</v>
      </c>
      <c r="C13" s="142">
        <v>115.12</v>
      </c>
      <c r="D13" s="234"/>
      <c r="E13" s="11"/>
      <c r="F13" s="39">
        <v>0</v>
      </c>
      <c r="G13" s="39">
        <v>0</v>
      </c>
      <c r="H13" s="39">
        <v>0</v>
      </c>
      <c r="I13" s="39">
        <v>0</v>
      </c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>
        <v>0</v>
      </c>
      <c r="AA13" s="39"/>
      <c r="AB13" s="39"/>
      <c r="AC13" s="6"/>
      <c r="AD13" s="6"/>
      <c r="AE13" s="6"/>
      <c r="AF13" s="6"/>
      <c r="AG13" s="123"/>
      <c r="AH13" s="11"/>
      <c r="AI13" s="243"/>
      <c r="AJ13" s="243"/>
      <c r="AK13" s="11"/>
      <c r="AL13" s="32"/>
      <c r="AM13" s="445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17"/>
      <c r="BE13" s="117"/>
      <c r="BF13" s="117"/>
      <c r="BG13" s="19"/>
      <c r="BH13" s="19"/>
      <c r="BI13" s="117"/>
      <c r="BJ13" s="19"/>
    </row>
    <row r="14" spans="1:62" ht="15" customHeight="1" x14ac:dyDescent="0.25">
      <c r="BD14" s="204"/>
      <c r="BE14" s="204"/>
      <c r="BF14" s="204"/>
      <c r="BI14" s="204"/>
    </row>
    <row r="15" spans="1:62" ht="18.75" x14ac:dyDescent="0.3">
      <c r="A15" s="24" t="s">
        <v>141</v>
      </c>
      <c r="B15" s="12"/>
      <c r="C15" s="65"/>
      <c r="D15" s="65"/>
      <c r="F15" s="13">
        <v>46006</v>
      </c>
      <c r="G15" s="13">
        <v>46013</v>
      </c>
      <c r="H15" s="13">
        <v>46020</v>
      </c>
      <c r="I15" s="13">
        <v>46027</v>
      </c>
      <c r="J15" s="13">
        <v>46034</v>
      </c>
      <c r="K15" s="13">
        <v>46041</v>
      </c>
      <c r="L15" s="13">
        <v>46048</v>
      </c>
      <c r="M15" s="13">
        <v>46055</v>
      </c>
      <c r="N15" s="13">
        <v>46062</v>
      </c>
      <c r="O15" s="13">
        <v>46069</v>
      </c>
      <c r="P15" s="13">
        <v>46076</v>
      </c>
      <c r="Q15" s="13">
        <v>46083</v>
      </c>
      <c r="R15" s="13">
        <v>46090</v>
      </c>
      <c r="S15" s="13">
        <v>46097</v>
      </c>
      <c r="T15" s="13">
        <v>46104</v>
      </c>
      <c r="U15" s="13">
        <v>46111</v>
      </c>
      <c r="V15" s="13">
        <v>46118</v>
      </c>
      <c r="W15" s="13">
        <v>46125</v>
      </c>
      <c r="X15" s="13">
        <v>46132</v>
      </c>
      <c r="Y15" s="13">
        <v>46139</v>
      </c>
      <c r="Z15" s="13">
        <v>46146</v>
      </c>
      <c r="AA15" s="13">
        <v>46154</v>
      </c>
      <c r="AB15" s="13">
        <v>46160</v>
      </c>
      <c r="AC15" s="13">
        <v>46161.480136331018</v>
      </c>
      <c r="AD15" s="13">
        <v>46161.48080996528</v>
      </c>
      <c r="AE15" s="13">
        <v>46161.482967465279</v>
      </c>
      <c r="AF15" s="13">
        <v>46161.483295547208</v>
      </c>
      <c r="AG15" s="149" t="s">
        <v>129</v>
      </c>
      <c r="AI15" s="29" t="s">
        <v>126</v>
      </c>
      <c r="AJ15" s="29" t="s">
        <v>126</v>
      </c>
      <c r="AK15" s="11"/>
      <c r="AL15" s="9" t="s">
        <v>127</v>
      </c>
      <c r="AM15" s="17">
        <v>46161.48329491527</v>
      </c>
      <c r="AN15" s="17">
        <v>46149</v>
      </c>
      <c r="AO15" s="17">
        <v>46142</v>
      </c>
      <c r="AP15" s="17">
        <v>46114</v>
      </c>
      <c r="AQ15" s="17">
        <v>46099</v>
      </c>
      <c r="AR15" s="294">
        <v>46065</v>
      </c>
      <c r="AS15" s="17">
        <v>46077</v>
      </c>
      <c r="AT15" s="292">
        <v>46045</v>
      </c>
      <c r="AU15" s="17">
        <v>46056</v>
      </c>
      <c r="AV15" s="17">
        <v>46017</v>
      </c>
      <c r="AW15" s="17">
        <v>46007</v>
      </c>
      <c r="AX15" s="17">
        <v>46001</v>
      </c>
      <c r="AY15" s="17">
        <v>45994</v>
      </c>
      <c r="AZ15" s="17">
        <v>45986</v>
      </c>
      <c r="BA15" s="17">
        <v>45980</v>
      </c>
      <c r="BB15" s="17">
        <v>45980</v>
      </c>
      <c r="BC15" s="17">
        <v>45973</v>
      </c>
      <c r="BD15" s="207">
        <v>45982</v>
      </c>
      <c r="BE15" s="207">
        <v>45979</v>
      </c>
      <c r="BF15" s="269">
        <v>45974</v>
      </c>
      <c r="BG15" s="269">
        <v>45972</v>
      </c>
      <c r="BH15" s="258">
        <v>45968</v>
      </c>
      <c r="BI15" s="207">
        <v>45967</v>
      </c>
      <c r="BJ15" s="274">
        <v>45964</v>
      </c>
    </row>
    <row r="16" spans="1:62" ht="18.75" x14ac:dyDescent="0.25">
      <c r="A16" s="25" t="s">
        <v>224</v>
      </c>
      <c r="B16" s="6">
        <v>500</v>
      </c>
      <c r="C16" s="66">
        <v>95.9</v>
      </c>
      <c r="D16" s="234"/>
      <c r="F16" s="6">
        <v>2</v>
      </c>
      <c r="G16" s="6">
        <v>3</v>
      </c>
      <c r="H16" s="6">
        <v>3</v>
      </c>
      <c r="I16" s="6">
        <f>3+AR16</f>
        <v>3</v>
      </c>
      <c r="J16" s="6">
        <v>5</v>
      </c>
      <c r="K16" s="6">
        <v>5</v>
      </c>
      <c r="L16" s="6">
        <v>5</v>
      </c>
      <c r="M16" s="6">
        <v>5</v>
      </c>
      <c r="N16" s="6">
        <v>4</v>
      </c>
      <c r="O16" s="6">
        <v>4</v>
      </c>
      <c r="P16" s="6">
        <v>4</v>
      </c>
      <c r="Q16" s="6">
        <v>4</v>
      </c>
      <c r="R16" s="6">
        <v>4</v>
      </c>
      <c r="S16" s="6">
        <v>4</v>
      </c>
      <c r="T16" s="6">
        <v>3</v>
      </c>
      <c r="U16" s="6">
        <v>3</v>
      </c>
      <c r="V16" s="6">
        <v>3</v>
      </c>
      <c r="W16" s="6">
        <v>3</v>
      </c>
      <c r="X16" s="6">
        <v>3</v>
      </c>
      <c r="Y16" s="6">
        <v>3</v>
      </c>
      <c r="Z16" s="6">
        <v>3</v>
      </c>
      <c r="AA16" s="6">
        <v>2</v>
      </c>
      <c r="AB16" s="6"/>
      <c r="AC16" s="6"/>
      <c r="AD16" s="6"/>
      <c r="AE16" s="6"/>
      <c r="AF16" s="6"/>
      <c r="AG16" s="372">
        <f ca="1">AE16+IF(NOT(ISBLANK(OFFSET(AG16,0,6))),N(OFFSET(AG16,0,6)),N(OFFSET(AG16,0,7)))-AF16</f>
        <v>0</v>
      </c>
      <c r="AI16" s="134"/>
      <c r="AJ16" s="134"/>
      <c r="AL16" s="32"/>
      <c r="AM16" s="445">
        <v>0</v>
      </c>
      <c r="AN16" s="19">
        <v>0</v>
      </c>
      <c r="AO16" s="19">
        <v>0</v>
      </c>
      <c r="AP16" s="19">
        <v>0</v>
      </c>
      <c r="AQ16" s="19"/>
      <c r="AR16" s="19"/>
      <c r="AS16" s="19"/>
      <c r="AT16" s="293">
        <v>200</v>
      </c>
      <c r="AU16" s="19"/>
      <c r="AV16" s="19">
        <v>2</v>
      </c>
      <c r="AW16" s="19"/>
      <c r="AX16" s="19">
        <v>1</v>
      </c>
      <c r="AY16" s="19"/>
      <c r="AZ16" s="19"/>
      <c r="BA16" s="19">
        <v>3</v>
      </c>
      <c r="BB16" s="19"/>
      <c r="BC16" s="19"/>
      <c r="BD16" s="117"/>
      <c r="BE16" s="117"/>
      <c r="BF16" s="117"/>
      <c r="BG16" s="19"/>
      <c r="BH16" s="19"/>
      <c r="BI16" s="117"/>
      <c r="BJ16" s="19"/>
    </row>
    <row r="17" spans="1:62" ht="18.75" x14ac:dyDescent="0.25">
      <c r="A17" s="25" t="s">
        <v>225</v>
      </c>
      <c r="B17" s="6">
        <v>2000</v>
      </c>
      <c r="C17" s="66">
        <v>53.49</v>
      </c>
      <c r="D17" s="234"/>
      <c r="F17" s="6">
        <v>1</v>
      </c>
      <c r="G17" s="6">
        <v>0</v>
      </c>
      <c r="H17" s="6">
        <v>0</v>
      </c>
      <c r="I17" s="6">
        <f>0+AR17</f>
        <v>0</v>
      </c>
      <c r="J17" s="6">
        <v>4</v>
      </c>
      <c r="K17" s="6">
        <v>4</v>
      </c>
      <c r="L17" s="6">
        <v>4</v>
      </c>
      <c r="M17" s="6">
        <v>8</v>
      </c>
      <c r="N17" s="6">
        <v>8</v>
      </c>
      <c r="O17" s="6">
        <v>7</v>
      </c>
      <c r="P17" s="6">
        <v>7</v>
      </c>
      <c r="Q17" s="6">
        <v>7</v>
      </c>
      <c r="R17" s="6">
        <v>7</v>
      </c>
      <c r="S17" s="6">
        <v>7</v>
      </c>
      <c r="T17" s="6">
        <v>6</v>
      </c>
      <c r="U17" s="6">
        <v>6</v>
      </c>
      <c r="V17" s="6">
        <v>5</v>
      </c>
      <c r="W17" s="6">
        <v>4</v>
      </c>
      <c r="X17" s="6">
        <v>3</v>
      </c>
      <c r="Y17" s="6">
        <v>2</v>
      </c>
      <c r="Z17" s="6">
        <v>2</v>
      </c>
      <c r="AA17" s="6">
        <v>0</v>
      </c>
      <c r="AB17" s="6"/>
      <c r="AC17" s="6"/>
      <c r="AD17" s="6"/>
      <c r="AE17" s="6"/>
      <c r="AF17" s="6"/>
      <c r="AG17" s="372">
        <f ca="1">AE17+IF(NOT(ISBLANK(OFFSET(AG17,0,6))),N(OFFSET(AG17,0,6)),N(OFFSET(AG17,0,7)))-AF17</f>
        <v>0</v>
      </c>
      <c r="AI17" s="134" t="s">
        <v>541</v>
      </c>
      <c r="AJ17" s="134"/>
      <c r="AL17" s="32"/>
      <c r="AM17" s="445">
        <v>0</v>
      </c>
      <c r="AN17" s="19">
        <v>0</v>
      </c>
      <c r="AO17" s="19">
        <v>0</v>
      </c>
      <c r="AP17" s="19">
        <v>0</v>
      </c>
      <c r="AQ17" s="19"/>
      <c r="AR17" s="19"/>
      <c r="AS17" s="19"/>
      <c r="AT17" s="293">
        <v>1</v>
      </c>
      <c r="AU17" s="19"/>
      <c r="AV17" s="19">
        <v>4</v>
      </c>
      <c r="AW17" s="19"/>
      <c r="AX17" s="19">
        <v>3</v>
      </c>
      <c r="AY17" s="19"/>
      <c r="AZ17" s="19"/>
      <c r="BA17" s="19">
        <v>3</v>
      </c>
      <c r="BB17" s="19"/>
      <c r="BC17" s="19"/>
      <c r="BD17" s="117"/>
      <c r="BE17" s="117"/>
      <c r="BF17" s="117"/>
      <c r="BG17" s="19"/>
      <c r="BH17" s="19"/>
      <c r="BI17" s="117"/>
      <c r="BJ17" s="19"/>
    </row>
    <row r="18" spans="1:62" ht="18.75" x14ac:dyDescent="0.25">
      <c r="A18" s="25" t="s">
        <v>147</v>
      </c>
      <c r="B18" s="6">
        <v>200</v>
      </c>
      <c r="C18" s="66">
        <v>9.93</v>
      </c>
      <c r="D18" s="234"/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v>0</v>
      </c>
      <c r="W18" s="6">
        <v>0</v>
      </c>
      <c r="X18" s="6">
        <v>0</v>
      </c>
      <c r="Y18" s="6">
        <v>0</v>
      </c>
      <c r="Z18" s="6">
        <v>0</v>
      </c>
      <c r="AA18" s="6">
        <v>0</v>
      </c>
      <c r="AB18" s="6"/>
      <c r="AC18" s="6"/>
      <c r="AD18" s="6"/>
      <c r="AE18" s="6"/>
      <c r="AF18" s="6"/>
      <c r="AG18" s="372">
        <f ca="1">AE18+IF(NOT(ISBLANK(OFFSET(AG18,0,6))),N(OFFSET(AG18,0,6)),N(OFFSET(AG18,0,7)))-AF18</f>
        <v>0</v>
      </c>
      <c r="AI18" s="134" t="s">
        <v>340</v>
      </c>
      <c r="AJ18" s="134"/>
      <c r="AL18" s="32"/>
      <c r="AM18" s="445">
        <v>0</v>
      </c>
      <c r="AN18" s="19">
        <v>0</v>
      </c>
      <c r="AO18" s="19">
        <v>0</v>
      </c>
      <c r="AP18" s="19">
        <v>0</v>
      </c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17"/>
      <c r="BE18" s="117"/>
      <c r="BF18" s="117"/>
      <c r="BG18" s="19"/>
      <c r="BH18" s="19"/>
      <c r="BI18" s="117"/>
      <c r="BJ18" s="19"/>
    </row>
    <row r="19" spans="1:62" ht="18.75" x14ac:dyDescent="0.25">
      <c r="A19" s="25" t="s">
        <v>148</v>
      </c>
      <c r="B19" s="6">
        <v>3000</v>
      </c>
      <c r="C19" s="66">
        <v>69.37</v>
      </c>
      <c r="D19" s="234"/>
      <c r="F19" s="83">
        <v>3</v>
      </c>
      <c r="G19" s="83">
        <v>3</v>
      </c>
      <c r="H19" s="83">
        <v>3</v>
      </c>
      <c r="I19" s="83">
        <v>3</v>
      </c>
      <c r="J19" s="83">
        <v>3</v>
      </c>
      <c r="K19" s="83">
        <v>3</v>
      </c>
      <c r="L19" s="83">
        <v>3</v>
      </c>
      <c r="M19" s="83">
        <v>3</v>
      </c>
      <c r="N19" s="83">
        <v>3</v>
      </c>
      <c r="O19" s="83">
        <v>3</v>
      </c>
      <c r="P19" s="83">
        <v>3</v>
      </c>
      <c r="Q19" s="83">
        <v>2</v>
      </c>
      <c r="R19" s="83">
        <v>2</v>
      </c>
      <c r="S19" s="83">
        <v>2</v>
      </c>
      <c r="T19" s="83">
        <v>2</v>
      </c>
      <c r="U19" s="83">
        <v>2</v>
      </c>
      <c r="V19" s="83">
        <v>2</v>
      </c>
      <c r="W19" s="83">
        <v>2</v>
      </c>
      <c r="X19" s="83">
        <v>2</v>
      </c>
      <c r="Y19" s="83">
        <v>2</v>
      </c>
      <c r="Z19" s="83">
        <v>2</v>
      </c>
      <c r="AA19" s="83">
        <v>2</v>
      </c>
      <c r="AB19" s="83"/>
      <c r="AC19" s="83"/>
      <c r="AD19" s="83"/>
      <c r="AE19" s="83"/>
      <c r="AF19" s="83"/>
      <c r="AG19" s="372">
        <f ca="1">AE19+IF(NOT(ISBLANK(OFFSET(AG19,0,6))),N(OFFSET(AG19,0,6)),N(OFFSET(AG19,0,7)))-AF19</f>
        <v>0</v>
      </c>
      <c r="AI19" s="134"/>
      <c r="AJ19" s="134"/>
      <c r="AL19" s="32"/>
      <c r="AM19" s="445">
        <v>0</v>
      </c>
      <c r="AN19" s="19">
        <v>0</v>
      </c>
      <c r="AO19" s="19">
        <v>0</v>
      </c>
      <c r="AP19" s="19">
        <v>0</v>
      </c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>
        <v>3</v>
      </c>
      <c r="BB19" s="19"/>
      <c r="BC19" s="19"/>
      <c r="BD19" s="117"/>
      <c r="BE19" s="117"/>
      <c r="BF19" s="117"/>
      <c r="BG19" s="19"/>
      <c r="BH19" s="19"/>
      <c r="BI19" s="117"/>
      <c r="BJ19" s="19"/>
    </row>
    <row r="20" spans="1:62" s="3" customFormat="1" ht="19.5" customHeight="1" x14ac:dyDescent="0.3">
      <c r="A20" s="129"/>
      <c r="B20" s="130"/>
      <c r="C20" s="67"/>
      <c r="D20" s="67"/>
      <c r="E20" s="11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1"/>
      <c r="AD20" s="1"/>
      <c r="AE20" s="1"/>
      <c r="AF20" s="1"/>
      <c r="AG20" s="2"/>
      <c r="AH20" s="11"/>
      <c r="AI20" s="10"/>
      <c r="AJ20" s="10"/>
      <c r="AK20" s="11"/>
      <c r="AL20" s="33"/>
      <c r="AM20" s="388"/>
      <c r="AN20" s="75"/>
      <c r="AO20" s="75"/>
      <c r="AP20" s="75"/>
      <c r="AQ20" s="75"/>
      <c r="AR20" s="75"/>
      <c r="AS20" s="75"/>
      <c r="AT20" s="75"/>
      <c r="AU20" s="75"/>
      <c r="AV20" s="75"/>
      <c r="AW20" s="75"/>
      <c r="AX20" s="75"/>
      <c r="AY20" s="75"/>
      <c r="AZ20" s="75"/>
      <c r="BA20" s="75"/>
      <c r="BB20" s="75"/>
      <c r="BC20" s="75"/>
      <c r="BD20" s="201"/>
      <c r="BE20" s="201"/>
      <c r="BF20" s="201"/>
      <c r="BG20" s="75"/>
      <c r="BH20" s="75"/>
      <c r="BI20" s="201"/>
      <c r="BJ20" s="75"/>
    </row>
    <row r="21" spans="1:62" s="3" customFormat="1" ht="18.75" x14ac:dyDescent="0.3">
      <c r="A21" s="24" t="s">
        <v>428</v>
      </c>
      <c r="B21" s="12" t="s">
        <v>151</v>
      </c>
      <c r="C21" s="65" t="s">
        <v>152</v>
      </c>
      <c r="D21" s="12" t="s">
        <v>125</v>
      </c>
      <c r="E21" s="7"/>
      <c r="F21" s="13">
        <v>46006</v>
      </c>
      <c r="G21" s="13">
        <v>46013</v>
      </c>
      <c r="H21" s="13">
        <v>46020</v>
      </c>
      <c r="I21" s="13">
        <v>46027</v>
      </c>
      <c r="J21" s="13">
        <v>46034</v>
      </c>
      <c r="K21" s="13">
        <v>46041</v>
      </c>
      <c r="L21" s="13">
        <v>46048</v>
      </c>
      <c r="M21" s="13">
        <v>46055</v>
      </c>
      <c r="N21" s="13">
        <v>46062</v>
      </c>
      <c r="O21" s="13">
        <v>46069</v>
      </c>
      <c r="P21" s="13">
        <v>46076</v>
      </c>
      <c r="Q21" s="13">
        <v>46083</v>
      </c>
      <c r="R21" s="13">
        <v>46090</v>
      </c>
      <c r="S21" s="13">
        <v>46097</v>
      </c>
      <c r="T21" s="13">
        <v>46104</v>
      </c>
      <c r="U21" s="13">
        <v>46111</v>
      </c>
      <c r="V21" s="13">
        <v>46118</v>
      </c>
      <c r="W21" s="13">
        <v>46125</v>
      </c>
      <c r="X21" s="13">
        <v>46132</v>
      </c>
      <c r="Y21" s="13">
        <v>46139</v>
      </c>
      <c r="Z21" s="13">
        <v>46146</v>
      </c>
      <c r="AA21" s="13">
        <v>46154</v>
      </c>
      <c r="AB21" s="13">
        <v>46160</v>
      </c>
      <c r="AC21" s="13">
        <v>46161.480136331018</v>
      </c>
      <c r="AD21" s="13">
        <v>46161.48080996528</v>
      </c>
      <c r="AE21" s="13">
        <v>46161.482967465279</v>
      </c>
      <c r="AF21" s="13">
        <v>46161.483295547383</v>
      </c>
      <c r="AG21" s="149" t="s">
        <v>129</v>
      </c>
      <c r="AH21" s="11"/>
      <c r="AI21" s="29" t="s">
        <v>126</v>
      </c>
      <c r="AJ21" s="29" t="s">
        <v>126</v>
      </c>
      <c r="AL21" s="9" t="s">
        <v>127</v>
      </c>
      <c r="AM21" s="17">
        <v>46161.483294915568</v>
      </c>
      <c r="AN21" s="17">
        <v>46149</v>
      </c>
      <c r="AO21" s="17">
        <v>46142</v>
      </c>
      <c r="AP21" s="17">
        <v>46114</v>
      </c>
      <c r="AQ21" s="17">
        <v>46099</v>
      </c>
      <c r="AR21" s="294">
        <v>46065</v>
      </c>
      <c r="AS21" s="17">
        <v>46077</v>
      </c>
      <c r="AT21" s="292">
        <v>46045</v>
      </c>
      <c r="AU21" s="17">
        <v>46056</v>
      </c>
      <c r="AV21" s="17">
        <v>46017</v>
      </c>
      <c r="AW21" s="17">
        <v>46007</v>
      </c>
      <c r="AX21" s="17">
        <v>46001</v>
      </c>
      <c r="AY21" s="17">
        <v>45994</v>
      </c>
      <c r="AZ21" s="17">
        <v>45986</v>
      </c>
      <c r="BA21" s="17">
        <v>45980</v>
      </c>
      <c r="BB21" s="17">
        <v>45980</v>
      </c>
      <c r="BC21" s="17">
        <v>45973</v>
      </c>
      <c r="BD21" s="207">
        <v>45982</v>
      </c>
      <c r="BE21" s="207">
        <v>45979</v>
      </c>
      <c r="BF21" s="269">
        <v>45974</v>
      </c>
      <c r="BG21" s="269">
        <v>45972</v>
      </c>
      <c r="BH21" s="258">
        <v>45968</v>
      </c>
      <c r="BI21" s="207">
        <v>45967</v>
      </c>
      <c r="BJ21" s="274">
        <v>45964</v>
      </c>
    </row>
    <row r="22" spans="1:62" s="3" customFormat="1" ht="18.75" x14ac:dyDescent="0.3">
      <c r="A22" s="25" t="s">
        <v>429</v>
      </c>
      <c r="B22" s="6">
        <v>300</v>
      </c>
      <c r="C22" s="66">
        <v>216</v>
      </c>
      <c r="D22" s="234"/>
      <c r="E22" s="127"/>
      <c r="F22" s="128">
        <v>65</v>
      </c>
      <c r="G22" s="128">
        <v>65</v>
      </c>
      <c r="H22" s="128">
        <v>65</v>
      </c>
      <c r="I22" s="128">
        <v>65</v>
      </c>
      <c r="J22" s="128">
        <v>65</v>
      </c>
      <c r="K22" s="128">
        <v>65</v>
      </c>
      <c r="L22" s="128">
        <v>65</v>
      </c>
      <c r="M22" s="128">
        <v>65</v>
      </c>
      <c r="N22" s="128">
        <v>65</v>
      </c>
      <c r="O22" s="128">
        <v>65</v>
      </c>
      <c r="P22" s="128">
        <v>65</v>
      </c>
      <c r="Q22" s="128">
        <v>65</v>
      </c>
      <c r="R22" s="128">
        <v>65</v>
      </c>
      <c r="S22" s="128">
        <v>61</v>
      </c>
      <c r="T22" s="128">
        <v>61</v>
      </c>
      <c r="U22" s="128">
        <v>61</v>
      </c>
      <c r="V22" s="128"/>
      <c r="W22" s="128"/>
      <c r="X22" s="128"/>
      <c r="Y22" s="128"/>
      <c r="Z22" s="128"/>
      <c r="AA22" s="128">
        <v>40</v>
      </c>
      <c r="AB22" s="128">
        <v>40</v>
      </c>
      <c r="AC22" s="456">
        <v>40</v>
      </c>
      <c r="AD22" s="456">
        <v>40</v>
      </c>
      <c r="AE22" s="456">
        <v>40</v>
      </c>
      <c r="AF22" s="456">
        <v>40</v>
      </c>
      <c r="AG22" s="372">
        <f ca="1">AE22+IF(NOT(ISBLANK(OFFSET(AG22,0,6))),N(OFFSET(AG22,0,6)),N(OFFSET(AG22,0,7)))-AF22</f>
        <v>0</v>
      </c>
      <c r="AH22" s="125"/>
      <c r="AI22" s="78"/>
      <c r="AJ22" s="78"/>
      <c r="AK22" s="126"/>
      <c r="AL22" s="32"/>
      <c r="AM22" s="445">
        <v>0</v>
      </c>
      <c r="AN22" s="19">
        <v>0</v>
      </c>
      <c r="AO22" s="19">
        <v>0</v>
      </c>
      <c r="AP22" s="19">
        <v>0</v>
      </c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17"/>
      <c r="BE22" s="253" t="s">
        <v>501</v>
      </c>
      <c r="BF22" s="117"/>
      <c r="BG22" s="19"/>
      <c r="BH22" s="19"/>
      <c r="BI22" s="117"/>
      <c r="BJ22" s="19"/>
    </row>
    <row r="23" spans="1:62" s="3" customFormat="1" ht="18.75" x14ac:dyDescent="0.3">
      <c r="A23" s="25" t="s">
        <v>430</v>
      </c>
      <c r="B23" s="6">
        <v>200</v>
      </c>
      <c r="C23" s="66">
        <v>246.28</v>
      </c>
      <c r="D23" s="234"/>
      <c r="E23" s="1"/>
      <c r="F23" s="39">
        <v>0</v>
      </c>
      <c r="G23" s="39">
        <v>0</v>
      </c>
      <c r="H23" s="39">
        <v>0</v>
      </c>
      <c r="I23" s="39">
        <v>0</v>
      </c>
      <c r="J23" s="39">
        <v>0</v>
      </c>
      <c r="K23" s="39">
        <v>0</v>
      </c>
      <c r="L23" s="39">
        <v>0</v>
      </c>
      <c r="M23" s="39">
        <v>0</v>
      </c>
      <c r="N23" s="39">
        <v>0</v>
      </c>
      <c r="O23" s="39">
        <v>0</v>
      </c>
      <c r="P23" s="39">
        <v>0</v>
      </c>
      <c r="Q23" s="39">
        <v>0</v>
      </c>
      <c r="R23" s="39">
        <v>0</v>
      </c>
      <c r="S23" s="39">
        <v>0</v>
      </c>
      <c r="T23" s="39">
        <v>0</v>
      </c>
      <c r="U23" s="39">
        <v>0</v>
      </c>
      <c r="V23" s="39"/>
      <c r="W23" s="39"/>
      <c r="X23" s="39"/>
      <c r="Y23" s="39"/>
      <c r="Z23" s="39"/>
      <c r="AA23" s="39">
        <v>0</v>
      </c>
      <c r="AB23" s="39">
        <v>0</v>
      </c>
      <c r="AC23" s="6">
        <v>0</v>
      </c>
      <c r="AD23" s="6">
        <v>0</v>
      </c>
      <c r="AE23" s="6">
        <v>0</v>
      </c>
      <c r="AF23" s="6">
        <v>0</v>
      </c>
      <c r="AG23" s="372">
        <f ca="1">AE23+IF(NOT(ISBLANK(OFFSET(AG23,0,6))),N(OFFSET(AG23,0,6)),N(OFFSET(AG23,0,7)))-AF23</f>
        <v>0</v>
      </c>
      <c r="AH23" s="125"/>
      <c r="AI23" s="78" t="s">
        <v>498</v>
      </c>
      <c r="AJ23" s="78"/>
      <c r="AK23" s="126"/>
      <c r="AL23" s="32"/>
      <c r="AM23" s="445">
        <v>0</v>
      </c>
      <c r="AN23" s="19">
        <v>0</v>
      </c>
      <c r="AO23" s="19">
        <v>0</v>
      </c>
      <c r="AP23" s="19">
        <v>0</v>
      </c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17"/>
      <c r="BE23" s="117"/>
      <c r="BF23" s="117"/>
      <c r="BG23" s="19"/>
      <c r="BH23" s="19"/>
      <c r="BI23" s="117"/>
      <c r="BJ23" s="19"/>
    </row>
    <row r="24" spans="1:62" s="3" customFormat="1" ht="18.75" x14ac:dyDescent="0.3">
      <c r="A24" s="25" t="s">
        <v>431</v>
      </c>
      <c r="B24" s="6">
        <v>200</v>
      </c>
      <c r="C24" s="66">
        <v>316.91000000000003</v>
      </c>
      <c r="D24" s="234"/>
      <c r="E24" s="1"/>
      <c r="F24" s="39">
        <v>0</v>
      </c>
      <c r="G24" s="39">
        <v>0</v>
      </c>
      <c r="H24" s="39">
        <v>0</v>
      </c>
      <c r="I24" s="39">
        <v>0</v>
      </c>
      <c r="J24" s="39">
        <v>0</v>
      </c>
      <c r="K24" s="39">
        <v>0</v>
      </c>
      <c r="L24" s="39">
        <v>0</v>
      </c>
      <c r="M24" s="39">
        <v>0</v>
      </c>
      <c r="N24" s="39">
        <v>0</v>
      </c>
      <c r="O24" s="39">
        <v>0</v>
      </c>
      <c r="P24" s="39">
        <v>0</v>
      </c>
      <c r="Q24" s="39">
        <v>0</v>
      </c>
      <c r="R24" s="39">
        <v>0</v>
      </c>
      <c r="S24" s="39">
        <v>0</v>
      </c>
      <c r="T24" s="39">
        <v>0</v>
      </c>
      <c r="U24" s="39">
        <v>0</v>
      </c>
      <c r="V24" s="39"/>
      <c r="W24" s="39"/>
      <c r="X24" s="39"/>
      <c r="Y24" s="39"/>
      <c r="Z24" s="39"/>
      <c r="AA24" s="39">
        <v>0</v>
      </c>
      <c r="AB24" s="39">
        <v>0</v>
      </c>
      <c r="AC24" s="6">
        <v>0</v>
      </c>
      <c r="AD24" s="6">
        <v>0</v>
      </c>
      <c r="AE24" s="6">
        <v>0</v>
      </c>
      <c r="AF24" s="6">
        <v>0</v>
      </c>
      <c r="AG24" s="372">
        <f ca="1">AE24+IF(NOT(ISBLANK(OFFSET(AG24,0,6))),N(OFFSET(AG24,0,6)),N(OFFSET(AG24,0,7)))-AF24</f>
        <v>0</v>
      </c>
      <c r="AH24" s="125"/>
      <c r="AI24" s="78" t="s">
        <v>498</v>
      </c>
      <c r="AJ24" s="78"/>
      <c r="AK24" s="126"/>
      <c r="AL24" s="32"/>
      <c r="AM24" s="445">
        <v>0</v>
      </c>
      <c r="AN24" s="19">
        <v>0</v>
      </c>
      <c r="AO24" s="19">
        <v>0</v>
      </c>
      <c r="AP24" s="19">
        <v>0</v>
      </c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17"/>
      <c r="BE24" s="117"/>
      <c r="BF24" s="117"/>
      <c r="BG24" s="19"/>
      <c r="BH24" s="19"/>
      <c r="BI24" s="117"/>
      <c r="BJ24" s="19"/>
    </row>
    <row r="25" spans="1:62" s="3" customFormat="1" ht="16.5" customHeight="1" x14ac:dyDescent="0.3">
      <c r="A25" s="23"/>
      <c r="B25" s="1"/>
      <c r="C25" s="64"/>
      <c r="D25" s="64"/>
      <c r="E25" s="11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1"/>
      <c r="AD25" s="1"/>
      <c r="AE25" s="1"/>
      <c r="AF25" s="1"/>
      <c r="AG25" s="2"/>
      <c r="AH25" s="11"/>
      <c r="AI25" s="10"/>
      <c r="AJ25" s="10"/>
      <c r="AK25" s="11"/>
      <c r="AL25" s="33"/>
      <c r="AM25" s="16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201"/>
      <c r="BE25" s="201"/>
      <c r="BF25" s="201"/>
      <c r="BG25" s="15"/>
      <c r="BH25" s="15"/>
      <c r="BI25" s="201"/>
      <c r="BJ25" s="15"/>
    </row>
    <row r="26" spans="1:62" s="3" customFormat="1" ht="18.75" x14ac:dyDescent="0.3">
      <c r="A26" s="24" t="s">
        <v>432</v>
      </c>
      <c r="B26" s="12"/>
      <c r="C26" s="65"/>
      <c r="D26" s="65"/>
      <c r="E26" s="7"/>
      <c r="F26" s="13">
        <v>46006</v>
      </c>
      <c r="G26" s="13">
        <v>46013</v>
      </c>
      <c r="H26" s="13">
        <v>46020</v>
      </c>
      <c r="I26" s="13">
        <v>46027</v>
      </c>
      <c r="J26" s="13">
        <v>46034</v>
      </c>
      <c r="K26" s="13">
        <v>46041</v>
      </c>
      <c r="L26" s="13">
        <v>46048</v>
      </c>
      <c r="M26" s="13">
        <v>46055</v>
      </c>
      <c r="N26" s="13">
        <v>46062</v>
      </c>
      <c r="O26" s="13">
        <v>46069</v>
      </c>
      <c r="P26" s="13">
        <v>46076</v>
      </c>
      <c r="Q26" s="13">
        <v>46083</v>
      </c>
      <c r="R26" s="13">
        <v>46090</v>
      </c>
      <c r="S26" s="13">
        <v>46097</v>
      </c>
      <c r="T26" s="13">
        <v>46104</v>
      </c>
      <c r="U26" s="13">
        <v>46111</v>
      </c>
      <c r="V26" s="13">
        <v>46118</v>
      </c>
      <c r="W26" s="13">
        <v>46125</v>
      </c>
      <c r="X26" s="13">
        <v>46132</v>
      </c>
      <c r="Y26" s="13">
        <v>46139</v>
      </c>
      <c r="Z26" s="13">
        <v>46146</v>
      </c>
      <c r="AA26" s="13">
        <v>46154</v>
      </c>
      <c r="AB26" s="13">
        <v>46160</v>
      </c>
      <c r="AC26" s="13">
        <v>46161.480136331018</v>
      </c>
      <c r="AD26" s="13">
        <v>46161.48080996528</v>
      </c>
      <c r="AE26" s="13">
        <v>46161.482967465279</v>
      </c>
      <c r="AF26" s="13">
        <v>46161.483295547601</v>
      </c>
      <c r="AG26" s="35" t="s">
        <v>129</v>
      </c>
      <c r="AH26" s="7"/>
      <c r="AI26" s="29" t="s">
        <v>126</v>
      </c>
      <c r="AJ26" s="29" t="s">
        <v>126</v>
      </c>
      <c r="AK26" s="11"/>
      <c r="AL26" s="9" t="s">
        <v>127</v>
      </c>
      <c r="AM26" s="457">
        <v>46161.483294915823</v>
      </c>
      <c r="AN26" s="17">
        <v>46149</v>
      </c>
      <c r="AO26" s="17">
        <v>46142</v>
      </c>
      <c r="AP26" s="17">
        <v>46114</v>
      </c>
      <c r="AQ26" s="17">
        <v>46099</v>
      </c>
      <c r="AR26" s="294">
        <v>46065</v>
      </c>
      <c r="AS26" s="17">
        <v>46077</v>
      </c>
      <c r="AT26" s="292">
        <v>46045</v>
      </c>
      <c r="AU26" s="17">
        <v>46056</v>
      </c>
      <c r="AV26" s="17">
        <v>46017</v>
      </c>
      <c r="AW26" s="17">
        <v>46007</v>
      </c>
      <c r="AX26" s="17">
        <v>46001</v>
      </c>
      <c r="AY26" s="17">
        <v>45994</v>
      </c>
      <c r="AZ26" s="17">
        <v>45986</v>
      </c>
      <c r="BA26" s="17">
        <v>45980</v>
      </c>
      <c r="BB26" s="17">
        <v>45980</v>
      </c>
      <c r="BC26" s="17">
        <v>45973</v>
      </c>
      <c r="BD26" s="207">
        <v>45982</v>
      </c>
      <c r="BE26" s="207">
        <v>45979</v>
      </c>
      <c r="BF26" s="269">
        <v>45974</v>
      </c>
      <c r="BG26" s="269">
        <v>45972</v>
      </c>
      <c r="BH26" s="258">
        <v>45968</v>
      </c>
      <c r="BI26" s="207">
        <v>45967</v>
      </c>
      <c r="BJ26" s="274">
        <v>45964</v>
      </c>
    </row>
    <row r="27" spans="1:62" s="3" customFormat="1" ht="18.75" x14ac:dyDescent="0.3">
      <c r="A27" s="25" t="s">
        <v>142</v>
      </c>
      <c r="B27" s="6">
        <v>200</v>
      </c>
      <c r="C27" s="66">
        <v>38</v>
      </c>
      <c r="D27" s="234"/>
      <c r="E27" s="7"/>
      <c r="F27" s="39">
        <v>77</v>
      </c>
      <c r="G27" s="39">
        <v>77</v>
      </c>
      <c r="H27" s="39">
        <v>77</v>
      </c>
      <c r="I27" s="39">
        <v>77</v>
      </c>
      <c r="J27" s="39">
        <v>77</v>
      </c>
      <c r="K27" s="39">
        <v>77</v>
      </c>
      <c r="L27" s="39">
        <v>77</v>
      </c>
      <c r="M27" s="39">
        <v>77</v>
      </c>
      <c r="N27" s="39">
        <v>77</v>
      </c>
      <c r="O27" s="39">
        <v>77</v>
      </c>
      <c r="P27" s="39">
        <v>77</v>
      </c>
      <c r="Q27" s="39">
        <v>77</v>
      </c>
      <c r="R27" s="39">
        <v>77</v>
      </c>
      <c r="S27" s="39">
        <v>38</v>
      </c>
      <c r="T27" s="39">
        <v>38</v>
      </c>
      <c r="U27" s="39">
        <v>38</v>
      </c>
      <c r="V27" s="39"/>
      <c r="W27" s="39"/>
      <c r="X27" s="39"/>
      <c r="Y27" s="39"/>
      <c r="Z27" s="39"/>
      <c r="AA27" s="39">
        <v>38</v>
      </c>
      <c r="AB27" s="39">
        <v>38</v>
      </c>
      <c r="AC27" s="6">
        <v>38</v>
      </c>
      <c r="AD27" s="6">
        <v>38</v>
      </c>
      <c r="AE27" s="6">
        <v>38</v>
      </c>
      <c r="AF27" s="6">
        <v>38</v>
      </c>
      <c r="AG27" s="372">
        <f ca="1">AE27+IF(NOT(ISBLANK(OFFSET(AG27,0,6))),N(OFFSET(AG27,0,6)),N(OFFSET(AG27,0,7)))-AF27</f>
        <v>0</v>
      </c>
      <c r="AH27" s="7"/>
      <c r="AI27" s="78"/>
      <c r="AJ27" s="78"/>
      <c r="AK27" s="7"/>
      <c r="AL27" s="76"/>
      <c r="AM27" s="112">
        <v>0</v>
      </c>
      <c r="AN27" s="19">
        <v>0</v>
      </c>
      <c r="AO27" s="19">
        <v>0</v>
      </c>
      <c r="AP27" s="19">
        <v>0</v>
      </c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17"/>
      <c r="BE27" s="117"/>
      <c r="BF27" s="244" t="s">
        <v>495</v>
      </c>
      <c r="BG27" s="19"/>
      <c r="BH27" s="19"/>
      <c r="BI27" s="253" t="s">
        <v>501</v>
      </c>
      <c r="BJ27" s="251" t="s">
        <v>495</v>
      </c>
    </row>
    <row r="28" spans="1:62" s="3" customFormat="1" ht="18.75" x14ac:dyDescent="0.3">
      <c r="A28" s="25" t="s">
        <v>433</v>
      </c>
      <c r="B28" s="6">
        <v>2500</v>
      </c>
      <c r="C28" s="66">
        <v>66.87</v>
      </c>
      <c r="D28" s="234"/>
      <c r="E28" s="7"/>
      <c r="F28" s="206">
        <v>0</v>
      </c>
      <c r="G28" s="39">
        <v>0</v>
      </c>
      <c r="H28" s="39">
        <v>9</v>
      </c>
      <c r="I28" s="39">
        <v>9</v>
      </c>
      <c r="J28" s="39">
        <v>9</v>
      </c>
      <c r="K28" s="39">
        <v>4</v>
      </c>
      <c r="L28" s="39">
        <v>3</v>
      </c>
      <c r="M28" s="39">
        <v>3</v>
      </c>
      <c r="N28" s="39">
        <v>2</v>
      </c>
      <c r="O28" s="39">
        <v>2</v>
      </c>
      <c r="P28" s="39">
        <v>2</v>
      </c>
      <c r="Q28" s="39">
        <v>2</v>
      </c>
      <c r="R28" s="39">
        <v>2</v>
      </c>
      <c r="S28" s="39">
        <v>2</v>
      </c>
      <c r="T28" s="39">
        <v>1</v>
      </c>
      <c r="U28" s="39">
        <v>1</v>
      </c>
      <c r="V28" s="39"/>
      <c r="W28" s="39"/>
      <c r="X28" s="39"/>
      <c r="Y28" s="39"/>
      <c r="Z28" s="39"/>
      <c r="AA28" s="39">
        <v>0</v>
      </c>
      <c r="AB28" s="39">
        <v>0</v>
      </c>
      <c r="AC28" s="6">
        <v>0</v>
      </c>
      <c r="AD28" s="6">
        <v>0</v>
      </c>
      <c r="AE28" s="6">
        <v>0</v>
      </c>
      <c r="AF28" s="6">
        <v>0</v>
      </c>
      <c r="AG28" s="372">
        <f ca="1">AE28+IF(NOT(ISBLANK(OFFSET(AG28,0,6))),N(OFFSET(AG28,0,6)),N(OFFSET(AG28,0,7)))-AF28</f>
        <v>0</v>
      </c>
      <c r="AH28" s="7"/>
      <c r="AI28" s="78"/>
      <c r="AJ28" s="78"/>
      <c r="AK28" s="7"/>
      <c r="AL28" s="76"/>
      <c r="AM28" s="112">
        <v>0</v>
      </c>
      <c r="AN28" s="19">
        <v>0</v>
      </c>
      <c r="AO28" s="19">
        <v>0</v>
      </c>
      <c r="AP28" s="19">
        <v>0</v>
      </c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17"/>
      <c r="BE28" s="117"/>
      <c r="BF28" s="117"/>
      <c r="BG28" s="19"/>
      <c r="BH28" s="19"/>
      <c r="BI28" s="253" t="s">
        <v>502</v>
      </c>
      <c r="BJ28" s="19"/>
    </row>
    <row r="29" spans="1:62" s="3" customFormat="1" ht="18.75" x14ac:dyDescent="0.25">
      <c r="A29" s="25" t="s">
        <v>434</v>
      </c>
      <c r="B29" s="6">
        <v>1050</v>
      </c>
      <c r="C29" s="66">
        <v>52.14</v>
      </c>
      <c r="D29" s="234"/>
      <c r="E29" s="1"/>
      <c r="F29" s="39">
        <v>8</v>
      </c>
      <c r="G29" s="39">
        <v>8</v>
      </c>
      <c r="H29" s="39">
        <v>0</v>
      </c>
      <c r="I29" s="39">
        <v>0</v>
      </c>
      <c r="J29" s="39">
        <v>0</v>
      </c>
      <c r="K29" s="39">
        <v>0</v>
      </c>
      <c r="L29" s="39">
        <v>0</v>
      </c>
      <c r="M29" s="39">
        <v>0</v>
      </c>
      <c r="N29" s="39">
        <v>0</v>
      </c>
      <c r="O29" s="39">
        <v>0</v>
      </c>
      <c r="P29" s="39">
        <v>0</v>
      </c>
      <c r="Q29" s="39">
        <v>0</v>
      </c>
      <c r="R29" s="39">
        <v>0</v>
      </c>
      <c r="S29" s="39">
        <v>0</v>
      </c>
      <c r="T29" s="39">
        <v>0</v>
      </c>
      <c r="U29" s="39">
        <v>0</v>
      </c>
      <c r="V29" s="39"/>
      <c r="W29" s="39"/>
      <c r="X29" s="39"/>
      <c r="Y29" s="39"/>
      <c r="Z29" s="39"/>
      <c r="AA29" s="39">
        <v>0</v>
      </c>
      <c r="AB29" s="39">
        <v>0</v>
      </c>
      <c r="AC29" s="6">
        <v>0</v>
      </c>
      <c r="AD29" s="6">
        <v>0</v>
      </c>
      <c r="AE29" s="6">
        <v>0</v>
      </c>
      <c r="AF29" s="6">
        <v>0</v>
      </c>
      <c r="AG29" s="372">
        <f ca="1">AE29+IF(NOT(ISBLANK(OFFSET(AG29,0,6))),N(OFFSET(AG29,0,6)),N(OFFSET(AG29,0,7)))-AF29</f>
        <v>0</v>
      </c>
      <c r="AH29" s="1"/>
      <c r="AI29" s="78"/>
      <c r="AJ29" s="78"/>
      <c r="AK29" s="1"/>
      <c r="AL29" s="76"/>
      <c r="AM29" s="445">
        <v>0</v>
      </c>
      <c r="AN29" s="19">
        <v>0</v>
      </c>
      <c r="AO29" s="19">
        <v>0</v>
      </c>
      <c r="AP29" s="19">
        <v>0</v>
      </c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17"/>
      <c r="BE29" s="117"/>
      <c r="BF29" s="117"/>
      <c r="BG29" s="19"/>
      <c r="BH29" s="19"/>
      <c r="BI29" s="253" t="s">
        <v>503</v>
      </c>
      <c r="BJ29" s="251" t="s">
        <v>504</v>
      </c>
    </row>
    <row r="30" spans="1:62" s="3" customFormat="1" ht="17.25" customHeight="1" x14ac:dyDescent="0.25">
      <c r="A30" s="23"/>
      <c r="B30" s="1"/>
      <c r="C30" s="64"/>
      <c r="D30" s="64"/>
      <c r="E30" s="1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1"/>
      <c r="AD30" s="1"/>
      <c r="AE30" s="1"/>
      <c r="AF30" s="1"/>
      <c r="AH30" s="1"/>
      <c r="AI30" s="10"/>
      <c r="AJ30" s="10"/>
      <c r="AK30" s="1"/>
      <c r="AL30" s="205"/>
      <c r="AM30" s="388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5"/>
      <c r="BA30" s="75"/>
      <c r="BB30" s="75"/>
      <c r="BC30" s="75"/>
      <c r="BD30" s="201"/>
      <c r="BE30" s="201"/>
      <c r="BF30" s="201"/>
      <c r="BG30" s="75"/>
      <c r="BH30" s="75"/>
      <c r="BI30" s="201"/>
      <c r="BJ30" s="75"/>
    </row>
    <row r="31" spans="1:62" s="3" customFormat="1" ht="18.75" x14ac:dyDescent="0.3">
      <c r="A31" s="24" t="s">
        <v>435</v>
      </c>
      <c r="B31" s="12"/>
      <c r="C31" s="65"/>
      <c r="D31" s="65"/>
      <c r="E31" s="1"/>
      <c r="F31" s="13">
        <v>46006</v>
      </c>
      <c r="G31" s="13">
        <v>46013</v>
      </c>
      <c r="H31" s="13">
        <v>46020</v>
      </c>
      <c r="I31" s="13">
        <v>46027</v>
      </c>
      <c r="J31" s="13">
        <v>46034</v>
      </c>
      <c r="K31" s="13">
        <v>46041</v>
      </c>
      <c r="L31" s="13">
        <v>46048</v>
      </c>
      <c r="M31" s="13">
        <v>46055</v>
      </c>
      <c r="N31" s="13">
        <v>46062</v>
      </c>
      <c r="O31" s="13">
        <v>46069</v>
      </c>
      <c r="P31" s="13">
        <v>46076</v>
      </c>
      <c r="Q31" s="13">
        <v>46083</v>
      </c>
      <c r="R31" s="13">
        <v>46090</v>
      </c>
      <c r="S31" s="13">
        <v>46097</v>
      </c>
      <c r="T31" s="13">
        <v>46104</v>
      </c>
      <c r="U31" s="13">
        <v>46111</v>
      </c>
      <c r="V31" s="13">
        <v>46118</v>
      </c>
      <c r="W31" s="13">
        <v>46125</v>
      </c>
      <c r="X31" s="13">
        <v>46132</v>
      </c>
      <c r="Y31" s="13">
        <v>46139</v>
      </c>
      <c r="Z31" s="13">
        <v>46146</v>
      </c>
      <c r="AA31" s="13">
        <v>46154</v>
      </c>
      <c r="AB31" s="13">
        <v>46160</v>
      </c>
      <c r="AC31" s="13">
        <v>46161.480136331018</v>
      </c>
      <c r="AD31" s="13">
        <v>46161.48080996528</v>
      </c>
      <c r="AE31" s="13">
        <v>46161.482967465279</v>
      </c>
      <c r="AF31" s="13">
        <v>46161.483295547783</v>
      </c>
      <c r="AG31" s="35" t="s">
        <v>129</v>
      </c>
      <c r="AH31" s="11"/>
      <c r="AI31" s="29" t="s">
        <v>126</v>
      </c>
      <c r="AJ31" s="29" t="s">
        <v>126</v>
      </c>
      <c r="AK31" s="11"/>
      <c r="AL31" s="9" t="s">
        <v>127</v>
      </c>
      <c r="AM31" s="17">
        <v>46161.483294916077</v>
      </c>
      <c r="AN31" s="17">
        <v>46149</v>
      </c>
      <c r="AO31" s="17">
        <v>46142</v>
      </c>
      <c r="AP31" s="17">
        <v>46114</v>
      </c>
      <c r="AQ31" s="17">
        <v>46099</v>
      </c>
      <c r="AR31" s="294">
        <v>46065</v>
      </c>
      <c r="AS31" s="17">
        <v>46077</v>
      </c>
      <c r="AT31" s="292">
        <v>46045</v>
      </c>
      <c r="AU31" s="17">
        <v>46056</v>
      </c>
      <c r="AV31" s="17">
        <v>46017</v>
      </c>
      <c r="AW31" s="17">
        <v>46007</v>
      </c>
      <c r="AX31" s="17">
        <v>46001</v>
      </c>
      <c r="AY31" s="17">
        <v>45994</v>
      </c>
      <c r="AZ31" s="17">
        <v>45986</v>
      </c>
      <c r="BA31" s="17">
        <v>45980</v>
      </c>
      <c r="BB31" s="17">
        <v>45980</v>
      </c>
      <c r="BC31" s="17">
        <v>45973</v>
      </c>
      <c r="BD31" s="207">
        <v>45982</v>
      </c>
      <c r="BE31" s="207">
        <v>45979</v>
      </c>
      <c r="BF31" s="269">
        <v>45974</v>
      </c>
      <c r="BG31" s="269">
        <v>45972</v>
      </c>
      <c r="BH31" s="258">
        <v>45968</v>
      </c>
      <c r="BI31" s="207">
        <v>45967</v>
      </c>
      <c r="BJ31" s="274">
        <v>45942</v>
      </c>
    </row>
    <row r="32" spans="1:62" s="3" customFormat="1" ht="18.75" x14ac:dyDescent="0.3">
      <c r="A32" s="25" t="s">
        <v>436</v>
      </c>
      <c r="B32" s="135">
        <v>75</v>
      </c>
      <c r="C32" s="81">
        <v>225.67</v>
      </c>
      <c r="D32" s="234"/>
      <c r="E32" s="1"/>
      <c r="F32" s="39">
        <v>5</v>
      </c>
      <c r="G32" s="39">
        <v>5</v>
      </c>
      <c r="H32" s="39">
        <v>5</v>
      </c>
      <c r="I32" s="39">
        <v>5</v>
      </c>
      <c r="J32" s="39">
        <v>5</v>
      </c>
      <c r="K32" s="39">
        <v>5</v>
      </c>
      <c r="L32" s="39">
        <v>5</v>
      </c>
      <c r="M32" s="39">
        <v>5</v>
      </c>
      <c r="N32" s="39">
        <v>5</v>
      </c>
      <c r="O32" s="39">
        <v>5</v>
      </c>
      <c r="P32" s="39">
        <v>5</v>
      </c>
      <c r="Q32" s="39">
        <v>5</v>
      </c>
      <c r="R32" s="39">
        <v>5</v>
      </c>
      <c r="S32" s="39">
        <v>5</v>
      </c>
      <c r="T32" s="39">
        <v>5</v>
      </c>
      <c r="U32" s="39">
        <v>5</v>
      </c>
      <c r="V32" s="39"/>
      <c r="W32" s="39"/>
      <c r="X32" s="39"/>
      <c r="Y32" s="39"/>
      <c r="Z32" s="39"/>
      <c r="AA32" s="39">
        <v>5</v>
      </c>
      <c r="AB32" s="39">
        <v>5</v>
      </c>
      <c r="AC32" s="6">
        <v>5</v>
      </c>
      <c r="AD32" s="6">
        <v>5</v>
      </c>
      <c r="AE32" s="6">
        <v>5</v>
      </c>
      <c r="AF32" s="6">
        <v>5</v>
      </c>
      <c r="AG32" s="372">
        <f ca="1">AE32+IF(NOT(ISBLANK(OFFSET(AG32,0,6))),N(OFFSET(AG32,0,6)),N(OFFSET(AG32,0,7)))-AF32</f>
        <v>0</v>
      </c>
      <c r="AH32" s="11"/>
      <c r="AI32" s="78"/>
      <c r="AJ32" s="78"/>
      <c r="AK32" s="1"/>
      <c r="AL32" s="32"/>
      <c r="AM32" s="445">
        <v>0</v>
      </c>
      <c r="AN32" s="19">
        <v>0</v>
      </c>
      <c r="AO32" s="19">
        <v>0</v>
      </c>
      <c r="AP32" s="19">
        <v>0</v>
      </c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17"/>
      <c r="BE32" s="117"/>
      <c r="BF32" s="244" t="s">
        <v>505</v>
      </c>
      <c r="BG32" s="19"/>
      <c r="BH32" s="19"/>
      <c r="BI32" s="253" t="s">
        <v>506</v>
      </c>
      <c r="BJ32" s="19"/>
    </row>
    <row r="33" spans="1:62" s="3" customFormat="1" ht="18.75" x14ac:dyDescent="0.3">
      <c r="A33" s="25" t="s">
        <v>437</v>
      </c>
      <c r="B33" s="135">
        <v>75</v>
      </c>
      <c r="C33" s="66">
        <v>294.58999999999997</v>
      </c>
      <c r="D33" s="234"/>
      <c r="E33" s="1"/>
      <c r="F33" s="39">
        <v>0</v>
      </c>
      <c r="G33" s="39">
        <v>0</v>
      </c>
      <c r="H33" s="39">
        <v>0</v>
      </c>
      <c r="I33" s="39">
        <v>0</v>
      </c>
      <c r="J33" s="39">
        <v>0</v>
      </c>
      <c r="K33" s="39">
        <v>0</v>
      </c>
      <c r="L33" s="39">
        <v>0</v>
      </c>
      <c r="M33" s="39">
        <v>0</v>
      </c>
      <c r="N33" s="39">
        <v>0</v>
      </c>
      <c r="O33" s="39">
        <v>0</v>
      </c>
      <c r="P33" s="39">
        <v>0</v>
      </c>
      <c r="Q33" s="39">
        <v>0</v>
      </c>
      <c r="R33" s="39">
        <v>0</v>
      </c>
      <c r="S33" s="39">
        <v>0</v>
      </c>
      <c r="T33" s="39">
        <v>0</v>
      </c>
      <c r="U33" s="39">
        <v>0</v>
      </c>
      <c r="V33" s="39"/>
      <c r="W33" s="39"/>
      <c r="X33" s="39"/>
      <c r="Y33" s="39"/>
      <c r="Z33" s="39"/>
      <c r="AA33" s="39">
        <v>0</v>
      </c>
      <c r="AB33" s="39">
        <v>0</v>
      </c>
      <c r="AC33" s="6">
        <v>0</v>
      </c>
      <c r="AD33" s="6">
        <v>0</v>
      </c>
      <c r="AE33" s="6">
        <v>0</v>
      </c>
      <c r="AF33" s="6">
        <v>0</v>
      </c>
      <c r="AG33" s="372">
        <f ca="1">AE33+IF(NOT(ISBLANK(OFFSET(AG33,0,6))),N(OFFSET(AG33,0,6)),N(OFFSET(AG33,0,7)))-AF33</f>
        <v>0</v>
      </c>
      <c r="AH33" s="11"/>
      <c r="AI33" s="78"/>
      <c r="AJ33" s="78"/>
      <c r="AL33" s="32"/>
      <c r="AM33" s="445">
        <v>0</v>
      </c>
      <c r="AN33" s="19">
        <v>0</v>
      </c>
      <c r="AO33" s="19">
        <v>0</v>
      </c>
      <c r="AP33" s="19">
        <v>0</v>
      </c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17"/>
      <c r="BE33" s="117"/>
      <c r="BF33" s="244" t="s">
        <v>507</v>
      </c>
      <c r="BG33" s="19"/>
      <c r="BH33" s="19"/>
      <c r="BI33" s="117"/>
      <c r="BJ33" s="251" t="s">
        <v>508</v>
      </c>
    </row>
    <row r="34" spans="1:62" ht="18.75" x14ac:dyDescent="0.25">
      <c r="A34" s="25" t="s">
        <v>438</v>
      </c>
      <c r="B34" s="135">
        <v>50</v>
      </c>
      <c r="C34" s="66">
        <v>346.84</v>
      </c>
      <c r="D34" s="234"/>
      <c r="F34" s="39">
        <v>3</v>
      </c>
      <c r="G34" s="39">
        <v>3</v>
      </c>
      <c r="H34" s="39">
        <v>3</v>
      </c>
      <c r="I34" s="39">
        <v>3</v>
      </c>
      <c r="J34" s="39">
        <v>3</v>
      </c>
      <c r="K34" s="39">
        <v>3</v>
      </c>
      <c r="L34" s="39">
        <v>3</v>
      </c>
      <c r="M34" s="39">
        <v>3</v>
      </c>
      <c r="N34" s="39">
        <v>3</v>
      </c>
      <c r="O34" s="39">
        <v>3</v>
      </c>
      <c r="P34" s="39">
        <v>3</v>
      </c>
      <c r="Q34" s="39">
        <v>3</v>
      </c>
      <c r="R34" s="39">
        <v>3</v>
      </c>
      <c r="S34" s="39">
        <v>2</v>
      </c>
      <c r="T34" s="39">
        <v>2</v>
      </c>
      <c r="U34" s="39">
        <v>2</v>
      </c>
      <c r="V34" s="39"/>
      <c r="W34" s="39"/>
      <c r="X34" s="39"/>
      <c r="Y34" s="39"/>
      <c r="Z34" s="39"/>
      <c r="AA34" s="39">
        <v>2</v>
      </c>
      <c r="AB34" s="39">
        <v>2</v>
      </c>
      <c r="AC34" s="6">
        <v>2</v>
      </c>
      <c r="AD34" s="6">
        <v>2</v>
      </c>
      <c r="AE34" s="6">
        <v>2</v>
      </c>
      <c r="AF34" s="6">
        <v>2</v>
      </c>
      <c r="AG34" s="372">
        <f ca="1">AE34+IF(NOT(ISBLANK(OFFSET(AG34,0,6))),N(OFFSET(AG34,0,6)),N(OFFSET(AG34,0,7)))-AF34</f>
        <v>0</v>
      </c>
      <c r="AI34" s="78"/>
      <c r="AJ34" s="78"/>
      <c r="AK34" s="1"/>
      <c r="AL34" s="32"/>
      <c r="AM34" s="445">
        <v>0</v>
      </c>
      <c r="AN34" s="19">
        <v>0</v>
      </c>
      <c r="AO34" s="19">
        <v>0</v>
      </c>
      <c r="AP34" s="19">
        <v>0</v>
      </c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17"/>
      <c r="BE34" s="117"/>
      <c r="BF34" s="244" t="s">
        <v>509</v>
      </c>
      <c r="BG34" s="19"/>
      <c r="BH34" s="275" t="s">
        <v>502</v>
      </c>
      <c r="BI34" s="253" t="s">
        <v>510</v>
      </c>
      <c r="BJ34" s="251" t="s">
        <v>511</v>
      </c>
    </row>
    <row r="35" spans="1:62" ht="18.75" hidden="1" x14ac:dyDescent="0.25">
      <c r="A35" s="23"/>
      <c r="B35" s="1"/>
      <c r="C35" s="64"/>
      <c r="D35" s="64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1"/>
      <c r="AD35" s="1"/>
      <c r="AE35" s="1"/>
      <c r="AF35" s="1"/>
      <c r="AK35" s="1"/>
      <c r="AL35" s="33"/>
      <c r="AM35" s="388"/>
      <c r="AN35" s="75"/>
      <c r="AO35" s="75"/>
      <c r="AP35" s="75"/>
      <c r="AQ35" s="75"/>
      <c r="AR35" s="75"/>
      <c r="AS35" s="75"/>
      <c r="AT35" s="75"/>
      <c r="AU35" s="75"/>
      <c r="AV35" s="75"/>
      <c r="AW35" s="75"/>
      <c r="AX35" s="75"/>
      <c r="AY35" s="75"/>
      <c r="AZ35" s="75"/>
      <c r="BA35" s="75"/>
      <c r="BB35" s="75"/>
      <c r="BC35" s="75"/>
      <c r="BD35" s="201"/>
      <c r="BE35" s="201"/>
      <c r="BF35" s="244" t="s">
        <v>507</v>
      </c>
      <c r="BG35" s="75"/>
      <c r="BH35" s="75"/>
      <c r="BI35" s="201"/>
      <c r="BJ35" s="75"/>
    </row>
    <row r="36" spans="1:62" ht="18.75" hidden="1" x14ac:dyDescent="0.3">
      <c r="A36" s="24" t="s">
        <v>439</v>
      </c>
      <c r="B36" s="12" t="s">
        <v>151</v>
      </c>
      <c r="C36" s="12"/>
      <c r="D36" s="12" t="s">
        <v>125</v>
      </c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35" t="s">
        <v>129</v>
      </c>
      <c r="AI36" s="29" t="s">
        <v>126</v>
      </c>
      <c r="AJ36" s="29" t="s">
        <v>126</v>
      </c>
      <c r="AK36" s="1"/>
      <c r="AL36" s="9" t="s">
        <v>127</v>
      </c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>
        <v>45994</v>
      </c>
      <c r="AZ36" s="17">
        <v>45986</v>
      </c>
      <c r="BA36" s="17">
        <v>45980</v>
      </c>
      <c r="BB36" s="17">
        <v>45980</v>
      </c>
      <c r="BC36" s="17">
        <v>45973</v>
      </c>
      <c r="BD36" s="207">
        <v>45982</v>
      </c>
      <c r="BE36" s="207">
        <v>45979</v>
      </c>
      <c r="BF36" s="269">
        <v>45974</v>
      </c>
      <c r="BG36" s="269">
        <v>45972</v>
      </c>
      <c r="BH36" s="258">
        <v>45968</v>
      </c>
      <c r="BI36" s="207">
        <v>45967</v>
      </c>
      <c r="BJ36" s="274">
        <v>45964</v>
      </c>
    </row>
    <row r="37" spans="1:62" ht="18.75" hidden="1" x14ac:dyDescent="0.3">
      <c r="A37" s="25" t="s">
        <v>440</v>
      </c>
      <c r="B37" s="6">
        <v>25</v>
      </c>
      <c r="C37" s="66">
        <v>41.75</v>
      </c>
      <c r="D37" s="234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  <c r="AA37" s="72"/>
      <c r="AB37" s="72"/>
      <c r="AC37" s="72"/>
      <c r="AD37" s="72"/>
      <c r="AE37" s="72"/>
      <c r="AF37" s="72"/>
      <c r="AG37" s="26">
        <f ca="1">AE37+IF(NOT(ISBLANK(OFFSET(AG37,0,6))),N(OFFSET(AG37,0,6)),N(OFFSET(AG37,0,7)))-AF37</f>
        <v>0</v>
      </c>
      <c r="AI37" s="78"/>
      <c r="AJ37" s="78"/>
      <c r="AK37" s="1"/>
      <c r="AL37" s="32"/>
      <c r="AM37" s="445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17"/>
      <c r="BE37" s="117"/>
      <c r="BF37" s="117"/>
      <c r="BG37" s="19"/>
      <c r="BH37" s="19"/>
      <c r="BI37" s="117"/>
      <c r="BJ37" s="19"/>
    </row>
    <row r="38" spans="1:62" ht="18.75" hidden="1" x14ac:dyDescent="0.3">
      <c r="A38" s="25" t="s">
        <v>441</v>
      </c>
      <c r="B38" s="6">
        <v>25</v>
      </c>
      <c r="C38" s="66">
        <v>57</v>
      </c>
      <c r="D38" s="234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72"/>
      <c r="AC38" s="72"/>
      <c r="AD38" s="72"/>
      <c r="AE38" s="72"/>
      <c r="AF38" s="72"/>
      <c r="AG38" s="26">
        <f ca="1">AE38+IF(NOT(ISBLANK(OFFSET(AG38,0,6))),N(OFFSET(AG38,0,6)),N(OFFSET(AG38,0,7)))-AF38</f>
        <v>0</v>
      </c>
      <c r="AI38" s="78"/>
      <c r="AJ38" s="78"/>
      <c r="AK38" s="1"/>
      <c r="AL38" s="32"/>
      <c r="AM38" s="445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17"/>
      <c r="BE38" s="117"/>
      <c r="BF38" s="117"/>
      <c r="BG38" s="19"/>
      <c r="BH38" s="19"/>
      <c r="BI38" s="117"/>
      <c r="BJ38" s="19"/>
    </row>
    <row r="39" spans="1:62" ht="18.75" x14ac:dyDescent="0.25">
      <c r="A39" s="23"/>
      <c r="B39" s="1"/>
      <c r="C39" s="64"/>
      <c r="D39" s="64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1"/>
      <c r="AD39" s="1"/>
      <c r="AE39" s="1"/>
      <c r="AF39" s="1"/>
      <c r="AI39" s="10"/>
      <c r="AJ39" s="10"/>
      <c r="AK39" s="1"/>
      <c r="AL39" s="33"/>
      <c r="AM39" s="388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5"/>
      <c r="BA39" s="75"/>
      <c r="BB39" s="75"/>
      <c r="BC39" s="75"/>
      <c r="BD39" s="201"/>
      <c r="BE39" s="201"/>
      <c r="BF39" s="201"/>
      <c r="BG39" s="75"/>
      <c r="BH39" s="75"/>
      <c r="BI39" s="201"/>
      <c r="BJ39" s="75"/>
    </row>
    <row r="40" spans="1:62" ht="18.75" x14ac:dyDescent="0.3">
      <c r="A40" s="143" t="s">
        <v>442</v>
      </c>
      <c r="B40" s="144"/>
      <c r="C40" s="144"/>
      <c r="D40" s="144"/>
      <c r="E40" s="1"/>
      <c r="F40" s="13">
        <v>46006</v>
      </c>
      <c r="G40" s="13">
        <v>46013</v>
      </c>
      <c r="H40" s="13">
        <v>46020</v>
      </c>
      <c r="I40" s="13">
        <v>46027</v>
      </c>
      <c r="J40" s="13">
        <v>46034</v>
      </c>
      <c r="K40" s="13">
        <v>46041</v>
      </c>
      <c r="L40" s="13">
        <v>46048</v>
      </c>
      <c r="M40" s="13">
        <v>46055</v>
      </c>
      <c r="N40" s="13">
        <v>46062</v>
      </c>
      <c r="O40" s="13">
        <v>46069</v>
      </c>
      <c r="P40" s="13">
        <v>46076</v>
      </c>
      <c r="Q40" s="13">
        <v>46083</v>
      </c>
      <c r="R40" s="13">
        <v>46090</v>
      </c>
      <c r="S40" s="13">
        <v>46097</v>
      </c>
      <c r="T40" s="13">
        <v>46104</v>
      </c>
      <c r="U40" s="13">
        <v>46111</v>
      </c>
      <c r="V40" s="13">
        <v>46118</v>
      </c>
      <c r="W40" s="13">
        <v>46125</v>
      </c>
      <c r="X40" s="13">
        <v>46132</v>
      </c>
      <c r="Y40" s="13">
        <v>46139</v>
      </c>
      <c r="Z40" s="13">
        <v>46146</v>
      </c>
      <c r="AA40" s="13">
        <v>46154</v>
      </c>
      <c r="AB40" s="13">
        <v>46160</v>
      </c>
      <c r="AC40" s="13">
        <v>46161.480136331018</v>
      </c>
      <c r="AD40" s="13">
        <v>46161.48080996528</v>
      </c>
      <c r="AE40" s="13">
        <v>46161.482967465279</v>
      </c>
      <c r="AF40" s="13">
        <v>46161.483295548009</v>
      </c>
      <c r="AG40" s="35" t="s">
        <v>129</v>
      </c>
      <c r="AH40" s="41"/>
      <c r="AI40" s="29" t="s">
        <v>126</v>
      </c>
      <c r="AJ40" s="29" t="s">
        <v>126</v>
      </c>
      <c r="AL40" s="9" t="s">
        <v>127</v>
      </c>
      <c r="AM40" s="17">
        <v>46161.483294916463</v>
      </c>
      <c r="AN40" s="17">
        <v>46149</v>
      </c>
      <c r="AO40" s="17">
        <v>46142</v>
      </c>
      <c r="AP40" s="17">
        <v>46114</v>
      </c>
      <c r="AQ40" s="17">
        <v>46099</v>
      </c>
      <c r="AR40" s="294">
        <v>46065</v>
      </c>
      <c r="AS40" s="17">
        <v>46077</v>
      </c>
      <c r="AT40" s="292">
        <v>46045</v>
      </c>
      <c r="AU40" s="17">
        <v>46056</v>
      </c>
      <c r="AV40" s="17">
        <v>46017</v>
      </c>
      <c r="AW40" s="17">
        <v>46007</v>
      </c>
      <c r="AX40" s="17">
        <v>46001</v>
      </c>
      <c r="AY40" s="17">
        <v>45994</v>
      </c>
      <c r="AZ40" s="17">
        <v>45986</v>
      </c>
      <c r="BA40" s="17">
        <v>45980</v>
      </c>
      <c r="BB40" s="17">
        <v>45980</v>
      </c>
      <c r="BC40" s="17">
        <v>45973</v>
      </c>
      <c r="BD40" s="207">
        <v>45982</v>
      </c>
      <c r="BE40" s="207">
        <v>45979</v>
      </c>
      <c r="BF40" s="269">
        <v>45974</v>
      </c>
      <c r="BG40" s="269">
        <v>45972</v>
      </c>
      <c r="BH40" s="258">
        <v>45968</v>
      </c>
      <c r="BI40" s="207">
        <v>45967</v>
      </c>
      <c r="BJ40" s="274">
        <v>45964</v>
      </c>
    </row>
    <row r="41" spans="1:62" ht="18.75" x14ac:dyDescent="0.3">
      <c r="A41" s="25" t="s">
        <v>443</v>
      </c>
      <c r="B41" s="72">
        <v>150</v>
      </c>
      <c r="C41" s="77">
        <v>453.38</v>
      </c>
      <c r="D41" s="234"/>
      <c r="E41" s="41"/>
      <c r="F41" s="72">
        <v>3</v>
      </c>
      <c r="G41" s="72">
        <v>3</v>
      </c>
      <c r="H41" s="72">
        <v>3</v>
      </c>
      <c r="I41" s="72">
        <v>3</v>
      </c>
      <c r="J41" s="72">
        <v>3</v>
      </c>
      <c r="K41" s="72">
        <v>3</v>
      </c>
      <c r="L41" s="72">
        <v>3</v>
      </c>
      <c r="M41" s="72">
        <v>3</v>
      </c>
      <c r="N41" s="72">
        <v>3</v>
      </c>
      <c r="O41" s="72">
        <v>3</v>
      </c>
      <c r="P41" s="72">
        <v>3</v>
      </c>
      <c r="Q41" s="72">
        <v>3</v>
      </c>
      <c r="R41" s="72">
        <v>3</v>
      </c>
      <c r="S41" s="72">
        <v>3</v>
      </c>
      <c r="T41" s="72">
        <v>3</v>
      </c>
      <c r="U41" s="72">
        <v>3</v>
      </c>
      <c r="V41" s="72"/>
      <c r="W41" s="72"/>
      <c r="X41" s="72"/>
      <c r="Y41" s="72"/>
      <c r="Z41" s="72"/>
      <c r="AA41" s="72">
        <v>2</v>
      </c>
      <c r="AB41" s="72">
        <v>2</v>
      </c>
      <c r="AC41" s="72">
        <v>2</v>
      </c>
      <c r="AD41" s="72">
        <v>2</v>
      </c>
      <c r="AE41" s="72">
        <v>2</v>
      </c>
      <c r="AF41" s="72">
        <v>2</v>
      </c>
      <c r="AG41" s="372">
        <f t="shared" ref="AG41:AG47" ca="1" si="0">AE41+IF(NOT(ISBLANK(OFFSET(AG41,0,6))),N(OFFSET(AG41,0,6)),N(OFFSET(AG41,0,7)))-AF41</f>
        <v>0</v>
      </c>
      <c r="AH41" s="41"/>
      <c r="AI41" s="134"/>
      <c r="AJ41" s="134"/>
      <c r="AK41" s="1"/>
      <c r="AL41" s="32"/>
      <c r="AM41" s="445">
        <v>0</v>
      </c>
      <c r="AN41" s="19">
        <v>0</v>
      </c>
      <c r="AO41" s="19">
        <v>0</v>
      </c>
      <c r="AP41" s="19">
        <v>0</v>
      </c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17"/>
      <c r="BE41" s="117"/>
      <c r="BF41" s="117"/>
      <c r="BG41" s="19"/>
      <c r="BH41" s="19"/>
      <c r="BI41" s="253" t="s">
        <v>512</v>
      </c>
      <c r="BJ41" s="19"/>
    </row>
    <row r="42" spans="1:62" ht="18.75" x14ac:dyDescent="0.3">
      <c r="A42" s="25" t="s">
        <v>444</v>
      </c>
      <c r="B42" s="72">
        <v>100</v>
      </c>
      <c r="C42" s="77">
        <v>355.78</v>
      </c>
      <c r="D42" s="234"/>
      <c r="E42" s="41"/>
      <c r="F42" s="72">
        <v>0</v>
      </c>
      <c r="G42" s="72">
        <v>0</v>
      </c>
      <c r="H42" s="72">
        <v>0</v>
      </c>
      <c r="I42" s="72">
        <v>0</v>
      </c>
      <c r="J42" s="72">
        <v>0</v>
      </c>
      <c r="K42" s="72">
        <v>0</v>
      </c>
      <c r="L42" s="72">
        <v>0</v>
      </c>
      <c r="M42" s="72">
        <v>0</v>
      </c>
      <c r="N42" s="72">
        <v>0</v>
      </c>
      <c r="O42" s="72">
        <v>0</v>
      </c>
      <c r="P42" s="72">
        <v>0</v>
      </c>
      <c r="Q42" s="72">
        <v>0</v>
      </c>
      <c r="R42" s="72">
        <v>0</v>
      </c>
      <c r="S42" s="72">
        <v>0</v>
      </c>
      <c r="T42" s="72">
        <v>0</v>
      </c>
      <c r="U42" s="72">
        <v>0</v>
      </c>
      <c r="V42" s="72"/>
      <c r="W42" s="72"/>
      <c r="X42" s="72"/>
      <c r="Y42" s="72"/>
      <c r="Z42" s="72"/>
      <c r="AA42" s="72">
        <v>0</v>
      </c>
      <c r="AB42" s="72">
        <v>0</v>
      </c>
      <c r="AC42" s="72">
        <v>0</v>
      </c>
      <c r="AD42" s="72">
        <v>0</v>
      </c>
      <c r="AE42" s="72">
        <v>0</v>
      </c>
      <c r="AF42" s="72">
        <v>0</v>
      </c>
      <c r="AG42" s="372">
        <f t="shared" ca="1" si="0"/>
        <v>0</v>
      </c>
      <c r="AH42" s="41"/>
      <c r="AI42" s="78"/>
      <c r="AJ42" s="78"/>
      <c r="AK42" s="1"/>
      <c r="AL42" s="32"/>
      <c r="AM42" s="445">
        <v>0</v>
      </c>
      <c r="AN42" s="19">
        <v>0</v>
      </c>
      <c r="AO42" s="19">
        <v>0</v>
      </c>
      <c r="AP42" s="19">
        <v>0</v>
      </c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17"/>
      <c r="BE42" s="117"/>
      <c r="BF42" s="117"/>
      <c r="BG42" s="19"/>
      <c r="BH42" s="19"/>
      <c r="BI42" s="253" t="s">
        <v>506</v>
      </c>
      <c r="BJ42" s="19"/>
    </row>
    <row r="43" spans="1:62" ht="18.75" x14ac:dyDescent="0.3">
      <c r="A43" s="25" t="s">
        <v>445</v>
      </c>
      <c r="B43" s="72">
        <v>50</v>
      </c>
      <c r="C43" s="77">
        <v>249.26</v>
      </c>
      <c r="D43" s="234"/>
      <c r="E43" s="41"/>
      <c r="F43" s="72">
        <v>5</v>
      </c>
      <c r="G43" s="72">
        <v>5</v>
      </c>
      <c r="H43" s="72">
        <v>5</v>
      </c>
      <c r="I43" s="72">
        <v>5</v>
      </c>
      <c r="J43" s="72">
        <v>5</v>
      </c>
      <c r="K43" s="72">
        <v>5</v>
      </c>
      <c r="L43" s="72">
        <v>5</v>
      </c>
      <c r="M43" s="72">
        <v>5</v>
      </c>
      <c r="N43" s="72">
        <v>5</v>
      </c>
      <c r="O43" s="72">
        <v>5</v>
      </c>
      <c r="P43" s="72">
        <v>5</v>
      </c>
      <c r="Q43" s="72">
        <v>5</v>
      </c>
      <c r="R43" s="72">
        <v>5</v>
      </c>
      <c r="S43" s="72">
        <v>5</v>
      </c>
      <c r="T43" s="72">
        <v>4</v>
      </c>
      <c r="U43" s="72">
        <v>4</v>
      </c>
      <c r="V43" s="72"/>
      <c r="W43" s="72"/>
      <c r="X43" s="72"/>
      <c r="Y43" s="72"/>
      <c r="Z43" s="72"/>
      <c r="AA43" s="72">
        <v>3</v>
      </c>
      <c r="AB43" s="72">
        <v>3</v>
      </c>
      <c r="AC43" s="72">
        <v>3</v>
      </c>
      <c r="AD43" s="72">
        <v>3</v>
      </c>
      <c r="AE43" s="72">
        <v>3</v>
      </c>
      <c r="AF43" s="72">
        <v>3</v>
      </c>
      <c r="AG43" s="372">
        <f t="shared" ca="1" si="0"/>
        <v>0</v>
      </c>
      <c r="AH43" s="41"/>
      <c r="AI43" s="134"/>
      <c r="AJ43" s="134"/>
      <c r="AK43" s="3"/>
      <c r="AL43" s="32"/>
      <c r="AM43" s="445">
        <v>0</v>
      </c>
      <c r="AN43" s="19">
        <v>0</v>
      </c>
      <c r="AO43" s="19">
        <v>0</v>
      </c>
      <c r="AP43" s="19">
        <v>0</v>
      </c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17"/>
      <c r="BE43" s="117"/>
      <c r="BF43" s="117"/>
      <c r="BG43" s="19"/>
      <c r="BH43" s="19"/>
      <c r="BI43" s="253" t="s">
        <v>506</v>
      </c>
      <c r="BJ43" s="19"/>
    </row>
    <row r="44" spans="1:62" ht="18.75" x14ac:dyDescent="0.3">
      <c r="A44" s="25" t="s">
        <v>513</v>
      </c>
      <c r="B44" s="6">
        <v>500</v>
      </c>
      <c r="C44" s="66">
        <v>138.53</v>
      </c>
      <c r="D44" s="234"/>
      <c r="E44" s="1"/>
      <c r="F44" s="72">
        <v>0</v>
      </c>
      <c r="G44" s="72">
        <v>1</v>
      </c>
      <c r="H44" s="72">
        <v>1</v>
      </c>
      <c r="I44" s="72">
        <v>1</v>
      </c>
      <c r="J44" s="72">
        <v>1</v>
      </c>
      <c r="K44" s="72">
        <v>1</v>
      </c>
      <c r="L44" s="72">
        <v>1</v>
      </c>
      <c r="M44" s="72">
        <v>1</v>
      </c>
      <c r="N44" s="72">
        <v>1</v>
      </c>
      <c r="O44" s="72">
        <v>1</v>
      </c>
      <c r="P44" s="72">
        <v>1</v>
      </c>
      <c r="Q44" s="72">
        <v>1</v>
      </c>
      <c r="R44" s="72">
        <v>1</v>
      </c>
      <c r="S44" s="72">
        <v>1</v>
      </c>
      <c r="T44" s="72">
        <v>1</v>
      </c>
      <c r="U44" s="72">
        <v>1</v>
      </c>
      <c r="V44" s="72">
        <v>1</v>
      </c>
      <c r="W44" s="72">
        <v>1</v>
      </c>
      <c r="X44" s="72">
        <v>1</v>
      </c>
      <c r="Y44" s="72">
        <v>1</v>
      </c>
      <c r="Z44" s="72">
        <v>1</v>
      </c>
      <c r="AA44" s="72">
        <v>1</v>
      </c>
      <c r="AB44" s="72"/>
      <c r="AC44" s="72"/>
      <c r="AD44" s="72"/>
      <c r="AE44" s="72"/>
      <c r="AF44" s="72"/>
      <c r="AG44" s="372">
        <f t="shared" ca="1" si="0"/>
        <v>0</v>
      </c>
      <c r="AH44" s="41"/>
      <c r="AI44" s="134"/>
      <c r="AJ44" s="134"/>
      <c r="AK44" s="7"/>
      <c r="AL44" s="32"/>
      <c r="AM44" s="445">
        <v>0</v>
      </c>
      <c r="AN44" s="19">
        <v>0</v>
      </c>
      <c r="AO44" s="19">
        <v>0</v>
      </c>
      <c r="AP44" s="19">
        <v>0</v>
      </c>
      <c r="AQ44" s="19"/>
      <c r="AR44" s="19"/>
      <c r="AS44" s="19"/>
      <c r="AT44" s="19"/>
      <c r="AU44" s="19"/>
      <c r="AV44" s="19"/>
      <c r="AW44" s="19">
        <v>1</v>
      </c>
      <c r="AX44" s="19"/>
      <c r="AY44" s="19"/>
      <c r="AZ44" s="19"/>
      <c r="BA44" s="19"/>
      <c r="BB44" s="19"/>
      <c r="BC44" s="19"/>
      <c r="BD44" s="117"/>
      <c r="BE44" s="117"/>
      <c r="BF44" s="117"/>
      <c r="BG44" s="19"/>
      <c r="BH44" s="19"/>
      <c r="BI44" s="117"/>
      <c r="BJ44" s="19"/>
    </row>
    <row r="45" spans="1:62" ht="18.75" x14ac:dyDescent="0.3">
      <c r="A45" s="25" t="s">
        <v>514</v>
      </c>
      <c r="B45" s="83">
        <v>1000</v>
      </c>
      <c r="C45" s="66">
        <v>181.15</v>
      </c>
      <c r="D45" s="234"/>
      <c r="E45" s="1"/>
      <c r="F45" s="72">
        <v>0</v>
      </c>
      <c r="G45" s="72">
        <v>1</v>
      </c>
      <c r="H45" s="72">
        <v>1</v>
      </c>
      <c r="I45" s="72">
        <v>1</v>
      </c>
      <c r="J45" s="72">
        <v>1</v>
      </c>
      <c r="K45" s="72">
        <v>1</v>
      </c>
      <c r="L45" s="72">
        <v>1</v>
      </c>
      <c r="M45" s="72">
        <v>1</v>
      </c>
      <c r="N45" s="72">
        <v>1</v>
      </c>
      <c r="O45" s="72">
        <v>1</v>
      </c>
      <c r="P45" s="72">
        <v>1</v>
      </c>
      <c r="Q45" s="72">
        <v>1</v>
      </c>
      <c r="R45" s="72">
        <v>1</v>
      </c>
      <c r="S45" s="72">
        <v>1</v>
      </c>
      <c r="T45" s="72">
        <v>1</v>
      </c>
      <c r="U45" s="72">
        <v>1</v>
      </c>
      <c r="V45" s="72">
        <v>1</v>
      </c>
      <c r="W45" s="72">
        <v>1</v>
      </c>
      <c r="X45" s="72">
        <v>1</v>
      </c>
      <c r="Y45" s="72">
        <v>1</v>
      </c>
      <c r="Z45" s="72">
        <v>1</v>
      </c>
      <c r="AA45" s="72">
        <v>1</v>
      </c>
      <c r="AB45" s="72"/>
      <c r="AC45" s="72"/>
      <c r="AD45" s="72"/>
      <c r="AE45" s="72"/>
      <c r="AF45" s="72"/>
      <c r="AG45" s="372">
        <f t="shared" ca="1" si="0"/>
        <v>0</v>
      </c>
      <c r="AH45" s="41"/>
      <c r="AI45" s="78"/>
      <c r="AJ45" s="78"/>
      <c r="AK45" s="7"/>
      <c r="AL45" s="32"/>
      <c r="AM45" s="445">
        <v>0</v>
      </c>
      <c r="AN45" s="19">
        <v>0</v>
      </c>
      <c r="AO45" s="19">
        <v>0</v>
      </c>
      <c r="AP45" s="19">
        <v>0</v>
      </c>
      <c r="AQ45" s="19"/>
      <c r="AR45" s="19"/>
      <c r="AS45" s="19"/>
      <c r="AT45" s="19"/>
      <c r="AU45" s="19"/>
      <c r="AV45" s="19"/>
      <c r="AW45" s="19">
        <v>1</v>
      </c>
      <c r="AX45" s="19"/>
      <c r="AY45" s="19"/>
      <c r="AZ45" s="19"/>
      <c r="BA45" s="19"/>
      <c r="BB45" s="19"/>
      <c r="BC45" s="19"/>
      <c r="BD45" s="117"/>
      <c r="BE45" s="117"/>
      <c r="BF45" s="117"/>
      <c r="BG45" s="19"/>
      <c r="BH45" s="19"/>
      <c r="BI45" s="117"/>
      <c r="BJ45" s="19"/>
    </row>
    <row r="46" spans="1:62" ht="18.75" x14ac:dyDescent="0.3">
      <c r="A46" s="25" t="s">
        <v>515</v>
      </c>
      <c r="B46" s="6">
        <v>3000</v>
      </c>
      <c r="C46" s="66">
        <v>223.78</v>
      </c>
      <c r="D46" s="234"/>
      <c r="E46" s="1"/>
      <c r="F46" s="72">
        <v>0</v>
      </c>
      <c r="G46" s="72">
        <v>1</v>
      </c>
      <c r="H46" s="72">
        <v>1</v>
      </c>
      <c r="I46" s="72">
        <v>1</v>
      </c>
      <c r="J46" s="72">
        <v>1</v>
      </c>
      <c r="K46" s="72">
        <v>1</v>
      </c>
      <c r="L46" s="72">
        <v>1</v>
      </c>
      <c r="M46" s="72">
        <v>2</v>
      </c>
      <c r="N46" s="72">
        <v>2</v>
      </c>
      <c r="O46" s="72">
        <v>2</v>
      </c>
      <c r="P46" s="72">
        <v>2</v>
      </c>
      <c r="Q46" s="72">
        <v>2</v>
      </c>
      <c r="R46" s="72">
        <v>2</v>
      </c>
      <c r="S46" s="72">
        <v>2</v>
      </c>
      <c r="T46" s="72">
        <v>2</v>
      </c>
      <c r="U46" s="72">
        <v>2</v>
      </c>
      <c r="V46" s="72">
        <v>2</v>
      </c>
      <c r="W46" s="72">
        <v>2</v>
      </c>
      <c r="X46" s="72">
        <v>2</v>
      </c>
      <c r="Y46" s="72">
        <v>2</v>
      </c>
      <c r="Z46" s="72">
        <v>2</v>
      </c>
      <c r="AA46" s="72">
        <v>2</v>
      </c>
      <c r="AB46" s="72"/>
      <c r="AC46" s="72"/>
      <c r="AD46" s="72"/>
      <c r="AE46" s="72"/>
      <c r="AF46" s="72"/>
      <c r="AG46" s="372">
        <f t="shared" ca="1" si="0"/>
        <v>0</v>
      </c>
      <c r="AH46" s="41"/>
      <c r="AI46" s="134"/>
      <c r="AJ46" s="134"/>
      <c r="AK46" s="7"/>
      <c r="AL46" s="32"/>
      <c r="AM46" s="445">
        <v>0</v>
      </c>
      <c r="AN46" s="19">
        <v>0</v>
      </c>
      <c r="AO46" s="19">
        <v>0</v>
      </c>
      <c r="AP46" s="19">
        <v>0</v>
      </c>
      <c r="AQ46" s="19"/>
      <c r="AR46" s="19"/>
      <c r="AS46" s="19"/>
      <c r="AT46" s="19"/>
      <c r="AU46" s="19"/>
      <c r="AV46" s="19"/>
      <c r="AW46" s="19">
        <v>1</v>
      </c>
      <c r="AX46" s="19"/>
      <c r="AY46" s="19"/>
      <c r="AZ46" s="19"/>
      <c r="BA46" s="19"/>
      <c r="BB46" s="19"/>
      <c r="BC46" s="19"/>
      <c r="BD46" s="117"/>
      <c r="BE46" s="117"/>
      <c r="BF46" s="117"/>
      <c r="BG46" s="19"/>
      <c r="BH46" s="19"/>
      <c r="BI46" s="117"/>
      <c r="BJ46" s="19"/>
    </row>
    <row r="47" spans="1:62" ht="18.75" x14ac:dyDescent="0.3">
      <c r="A47" s="25" t="s">
        <v>446</v>
      </c>
      <c r="B47" s="6">
        <v>200</v>
      </c>
      <c r="C47" s="66">
        <v>249.78</v>
      </c>
      <c r="D47" s="234"/>
      <c r="E47" s="1"/>
      <c r="F47" s="72">
        <v>160</v>
      </c>
      <c r="G47" s="72">
        <v>153</v>
      </c>
      <c r="H47" s="72">
        <v>149</v>
      </c>
      <c r="I47" s="72">
        <v>149</v>
      </c>
      <c r="J47" s="72">
        <v>149</v>
      </c>
      <c r="K47" s="72">
        <v>137</v>
      </c>
      <c r="L47" s="72">
        <v>124</v>
      </c>
      <c r="M47" s="72">
        <v>123</v>
      </c>
      <c r="N47" s="72">
        <v>120</v>
      </c>
      <c r="O47" s="72">
        <v>120</v>
      </c>
      <c r="P47" s="72">
        <v>149</v>
      </c>
      <c r="Q47" s="72">
        <v>101</v>
      </c>
      <c r="R47" s="72">
        <v>92</v>
      </c>
      <c r="S47" s="72">
        <v>96</v>
      </c>
      <c r="T47" s="72">
        <v>89</v>
      </c>
      <c r="U47" s="72">
        <v>67</v>
      </c>
      <c r="V47" s="72">
        <v>58</v>
      </c>
      <c r="W47" s="72">
        <v>50</v>
      </c>
      <c r="X47" s="72">
        <v>46</v>
      </c>
      <c r="Y47" s="72">
        <v>42</v>
      </c>
      <c r="Z47" s="72">
        <v>42</v>
      </c>
      <c r="AA47" s="72">
        <v>42</v>
      </c>
      <c r="AB47" s="72"/>
      <c r="AC47" s="72"/>
      <c r="AD47" s="72"/>
      <c r="AE47" s="72"/>
      <c r="AF47" s="72"/>
      <c r="AG47" s="372">
        <f t="shared" ca="1" si="0"/>
        <v>0</v>
      </c>
      <c r="AH47" s="41"/>
      <c r="AI47" s="134"/>
      <c r="AJ47" s="134"/>
      <c r="AK47" s="7"/>
      <c r="AL47" s="32"/>
      <c r="AM47" s="445">
        <v>0</v>
      </c>
      <c r="AN47" s="19">
        <v>0</v>
      </c>
      <c r="AO47" s="19">
        <v>0</v>
      </c>
      <c r="AP47" s="19">
        <v>0</v>
      </c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17"/>
      <c r="BE47" s="117"/>
      <c r="BF47" s="117"/>
      <c r="BG47" s="19"/>
      <c r="BH47" s="19"/>
      <c r="BI47" s="253" t="s">
        <v>495</v>
      </c>
      <c r="BJ47" s="19"/>
    </row>
    <row r="48" spans="1:62" ht="18.75" x14ac:dyDescent="0.3">
      <c r="B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H48" s="41"/>
      <c r="AK48" s="41"/>
      <c r="AM48" s="41"/>
    </row>
    <row r="49" spans="1:62" ht="18.75" x14ac:dyDescent="0.3">
      <c r="A49" s="143" t="s">
        <v>447</v>
      </c>
      <c r="B49" s="144"/>
      <c r="C49" s="144"/>
      <c r="D49" s="144"/>
      <c r="E49" s="1"/>
      <c r="F49" s="13">
        <v>46006</v>
      </c>
      <c r="G49" s="13">
        <v>46013</v>
      </c>
      <c r="H49" s="13">
        <v>46020</v>
      </c>
      <c r="I49" s="13">
        <v>46027</v>
      </c>
      <c r="J49" s="13">
        <v>46034</v>
      </c>
      <c r="K49" s="13">
        <v>46041</v>
      </c>
      <c r="L49" s="13">
        <v>46048</v>
      </c>
      <c r="M49" s="13">
        <v>46055</v>
      </c>
      <c r="N49" s="13">
        <v>46062</v>
      </c>
      <c r="O49" s="13">
        <v>46069</v>
      </c>
      <c r="P49" s="13">
        <v>46076</v>
      </c>
      <c r="Q49" s="13">
        <v>46083</v>
      </c>
      <c r="R49" s="13">
        <v>46090</v>
      </c>
      <c r="S49" s="13">
        <v>46097</v>
      </c>
      <c r="T49" s="13">
        <v>46104</v>
      </c>
      <c r="U49" s="13">
        <v>46111</v>
      </c>
      <c r="V49" s="13">
        <v>46118</v>
      </c>
      <c r="W49" s="13">
        <v>46125</v>
      </c>
      <c r="X49" s="13">
        <v>46132</v>
      </c>
      <c r="Y49" s="13">
        <v>46139</v>
      </c>
      <c r="Z49" s="13">
        <v>46146</v>
      </c>
      <c r="AA49" s="13">
        <v>46154</v>
      </c>
      <c r="AB49" s="13">
        <v>46160</v>
      </c>
      <c r="AC49" s="13">
        <v>46161.480136331018</v>
      </c>
      <c r="AD49" s="13">
        <v>46161.48080996528</v>
      </c>
      <c r="AE49" s="13">
        <v>46161.482967465279</v>
      </c>
      <c r="AF49" s="13">
        <v>46161.48329554822</v>
      </c>
      <c r="AG49" s="35" t="s">
        <v>129</v>
      </c>
      <c r="AH49" s="41"/>
      <c r="AI49" s="29" t="s">
        <v>126</v>
      </c>
      <c r="AJ49" s="29" t="s">
        <v>126</v>
      </c>
      <c r="AL49" s="9" t="s">
        <v>127</v>
      </c>
      <c r="AM49" s="17">
        <v>46161.483294916878</v>
      </c>
      <c r="AN49" s="17">
        <v>46149</v>
      </c>
      <c r="AO49" s="17">
        <v>46142</v>
      </c>
      <c r="AP49" s="17">
        <v>46114</v>
      </c>
      <c r="AQ49" s="17">
        <v>46099</v>
      </c>
      <c r="AR49" s="294">
        <v>46065</v>
      </c>
      <c r="AS49" s="17">
        <v>46077</v>
      </c>
      <c r="AT49" s="292">
        <v>46045</v>
      </c>
      <c r="AU49" s="17">
        <v>46056</v>
      </c>
      <c r="AV49" s="17">
        <v>46017</v>
      </c>
      <c r="AW49" s="17">
        <v>46007</v>
      </c>
      <c r="AX49" s="17">
        <v>46001</v>
      </c>
      <c r="AY49" s="17">
        <v>45994</v>
      </c>
      <c r="AZ49" s="17">
        <v>45986</v>
      </c>
      <c r="BA49" s="17">
        <v>45980</v>
      </c>
      <c r="BB49" s="17">
        <v>45980</v>
      </c>
      <c r="BC49" s="17">
        <v>45973</v>
      </c>
      <c r="BD49" s="207">
        <v>45982</v>
      </c>
      <c r="BE49" s="207">
        <v>45979</v>
      </c>
      <c r="BF49" s="269">
        <v>45974</v>
      </c>
      <c r="BG49" s="269">
        <v>45972</v>
      </c>
      <c r="BH49" s="258">
        <v>45968</v>
      </c>
      <c r="BI49" s="207">
        <v>45967</v>
      </c>
      <c r="BJ49" s="274">
        <v>45964</v>
      </c>
    </row>
    <row r="50" spans="1:62" ht="18.75" x14ac:dyDescent="0.3">
      <c r="A50" s="25" t="s">
        <v>448</v>
      </c>
      <c r="B50" s="72">
        <v>100</v>
      </c>
      <c r="C50" s="77">
        <v>539.70000000000005</v>
      </c>
      <c r="D50" s="234"/>
      <c r="E50" s="41"/>
      <c r="F50" s="72">
        <v>8</v>
      </c>
      <c r="G50" s="72">
        <v>8</v>
      </c>
      <c r="H50" s="72">
        <v>8</v>
      </c>
      <c r="I50" s="72">
        <v>8</v>
      </c>
      <c r="J50" s="72">
        <v>8</v>
      </c>
      <c r="K50" s="72">
        <v>8</v>
      </c>
      <c r="L50" s="72">
        <v>8</v>
      </c>
      <c r="M50" s="72">
        <v>8</v>
      </c>
      <c r="N50" s="72">
        <v>2</v>
      </c>
      <c r="O50" s="72">
        <v>2</v>
      </c>
      <c r="P50" s="72">
        <v>2</v>
      </c>
      <c r="Q50" s="72">
        <v>2</v>
      </c>
      <c r="R50" s="72">
        <v>2</v>
      </c>
      <c r="S50" s="295">
        <v>6</v>
      </c>
      <c r="T50" s="72">
        <v>6</v>
      </c>
      <c r="U50" s="72">
        <v>6</v>
      </c>
      <c r="V50" s="72"/>
      <c r="W50" s="72"/>
      <c r="X50" s="72"/>
      <c r="Y50" s="72"/>
      <c r="Z50" s="72"/>
      <c r="AA50" s="72">
        <v>6</v>
      </c>
      <c r="AB50" s="72">
        <v>6</v>
      </c>
      <c r="AC50" s="72">
        <v>6</v>
      </c>
      <c r="AD50" s="72">
        <v>6</v>
      </c>
      <c r="AE50" s="72">
        <v>6</v>
      </c>
      <c r="AF50" s="72">
        <v>6</v>
      </c>
      <c r="AG50" s="372">
        <f ca="1">AE50+IF(NOT(ISBLANK(OFFSET(AG50,0,6))),N(OFFSET(AG50,0,6)),N(OFFSET(AG50,0,7)))-AF50</f>
        <v>0</v>
      </c>
      <c r="AH50" s="41"/>
      <c r="AI50" s="134"/>
      <c r="AJ50" s="134"/>
      <c r="AK50" s="7"/>
      <c r="AL50" s="32"/>
      <c r="AM50" s="445">
        <v>0</v>
      </c>
      <c r="AN50" s="19">
        <v>0</v>
      </c>
      <c r="AO50" s="19">
        <v>0</v>
      </c>
      <c r="AP50" s="19">
        <v>0</v>
      </c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17"/>
      <c r="BE50" s="117"/>
      <c r="BF50" s="117"/>
      <c r="BG50" s="19"/>
      <c r="BH50" s="19"/>
      <c r="BI50" s="253" t="s">
        <v>502</v>
      </c>
      <c r="BJ50" s="19"/>
    </row>
    <row r="51" spans="1:62" ht="18.75" x14ac:dyDescent="0.3">
      <c r="A51" s="25" t="s">
        <v>449</v>
      </c>
      <c r="B51" s="72">
        <v>100</v>
      </c>
      <c r="C51" s="77">
        <v>652.04999999999995</v>
      </c>
      <c r="D51" s="234"/>
      <c r="E51" s="41"/>
      <c r="F51" s="72">
        <v>10</v>
      </c>
      <c r="G51" s="72">
        <v>10</v>
      </c>
      <c r="H51" s="72">
        <v>10</v>
      </c>
      <c r="I51" s="72">
        <v>10</v>
      </c>
      <c r="J51" s="72">
        <v>10</v>
      </c>
      <c r="K51" s="72">
        <v>10</v>
      </c>
      <c r="L51" s="72">
        <v>10</v>
      </c>
      <c r="M51" s="72">
        <v>10</v>
      </c>
      <c r="N51" s="72">
        <v>9</v>
      </c>
      <c r="O51" s="72">
        <v>9</v>
      </c>
      <c r="P51" s="72">
        <v>9</v>
      </c>
      <c r="Q51" s="72">
        <v>9</v>
      </c>
      <c r="R51" s="72">
        <v>9</v>
      </c>
      <c r="S51" s="72">
        <v>8</v>
      </c>
      <c r="T51" s="72">
        <v>8</v>
      </c>
      <c r="U51" s="72">
        <v>8</v>
      </c>
      <c r="V51" s="72"/>
      <c r="W51" s="72"/>
      <c r="X51" s="72"/>
      <c r="Y51" s="72"/>
      <c r="Z51" s="72"/>
      <c r="AA51" s="72">
        <v>6</v>
      </c>
      <c r="AB51" s="72">
        <v>6</v>
      </c>
      <c r="AC51" s="72">
        <v>6</v>
      </c>
      <c r="AD51" s="72">
        <v>6</v>
      </c>
      <c r="AE51" s="72">
        <v>6</v>
      </c>
      <c r="AF51" s="72">
        <v>6</v>
      </c>
      <c r="AG51" s="372">
        <f ca="1">AE51+IF(NOT(ISBLANK(OFFSET(AG51,0,6))),N(OFFSET(AG51,0,6)),N(OFFSET(AG51,0,7)))-AF51</f>
        <v>0</v>
      </c>
      <c r="AH51" s="41"/>
      <c r="AI51" s="134"/>
      <c r="AJ51" s="134"/>
      <c r="AK51" s="1"/>
      <c r="AL51" s="32"/>
      <c r="AM51" s="445">
        <v>0</v>
      </c>
      <c r="AN51" s="19">
        <v>0</v>
      </c>
      <c r="AO51" s="19">
        <v>0</v>
      </c>
      <c r="AP51" s="19">
        <v>0</v>
      </c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17"/>
      <c r="BE51" s="117"/>
      <c r="BF51" s="117"/>
      <c r="BG51" s="19"/>
      <c r="BH51" s="19"/>
      <c r="BI51" s="253" t="s">
        <v>502</v>
      </c>
      <c r="BJ51" s="19"/>
    </row>
    <row r="52" spans="1:62" ht="18.75" x14ac:dyDescent="0.3">
      <c r="A52" s="25" t="s">
        <v>450</v>
      </c>
      <c r="B52" s="72">
        <v>50</v>
      </c>
      <c r="C52" s="77">
        <v>567.53</v>
      </c>
      <c r="D52" s="234"/>
      <c r="E52" s="41"/>
      <c r="F52" s="72">
        <v>10</v>
      </c>
      <c r="G52" s="72">
        <v>10</v>
      </c>
      <c r="H52" s="72">
        <v>10</v>
      </c>
      <c r="I52" s="72">
        <v>10</v>
      </c>
      <c r="J52" s="72">
        <v>10</v>
      </c>
      <c r="K52" s="72">
        <v>10</v>
      </c>
      <c r="L52" s="72">
        <v>10</v>
      </c>
      <c r="M52" s="72">
        <v>10</v>
      </c>
      <c r="N52" s="72">
        <v>10</v>
      </c>
      <c r="O52" s="72">
        <v>10</v>
      </c>
      <c r="P52" s="72">
        <v>10</v>
      </c>
      <c r="Q52" s="72">
        <v>10</v>
      </c>
      <c r="R52" s="72">
        <v>10</v>
      </c>
      <c r="S52" s="72">
        <v>10</v>
      </c>
      <c r="T52" s="72">
        <v>10</v>
      </c>
      <c r="U52" s="72">
        <v>10</v>
      </c>
      <c r="V52" s="72"/>
      <c r="W52" s="72"/>
      <c r="X52" s="72"/>
      <c r="Y52" s="72"/>
      <c r="Z52" s="72"/>
      <c r="AA52" s="72">
        <v>9</v>
      </c>
      <c r="AB52" s="72">
        <v>9</v>
      </c>
      <c r="AC52" s="72">
        <v>9</v>
      </c>
      <c r="AD52" s="72">
        <v>9</v>
      </c>
      <c r="AE52" s="72">
        <v>9</v>
      </c>
      <c r="AF52" s="72">
        <v>9</v>
      </c>
      <c r="AG52" s="372">
        <f ca="1">AE52+IF(NOT(ISBLANK(OFFSET(AG52,0,6))),N(OFFSET(AG52,0,6)),N(OFFSET(AG52,0,7)))-AF52</f>
        <v>0</v>
      </c>
      <c r="AH52" s="41"/>
      <c r="AI52" s="134"/>
      <c r="AJ52" s="134"/>
      <c r="AK52" s="1"/>
      <c r="AL52" s="32"/>
      <c r="AM52" s="445">
        <v>0</v>
      </c>
      <c r="AN52" s="19">
        <v>0</v>
      </c>
      <c r="AO52" s="19">
        <v>0</v>
      </c>
      <c r="AP52" s="19">
        <v>0</v>
      </c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17"/>
      <c r="BE52" s="117"/>
      <c r="BF52" s="117"/>
      <c r="BG52" s="19"/>
      <c r="BH52" s="19"/>
      <c r="BI52" s="253" t="s">
        <v>502</v>
      </c>
      <c r="BJ52" s="19"/>
    </row>
    <row r="53" spans="1:62" ht="18.75" x14ac:dyDescent="0.3"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K53" s="41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  <c r="AZ53" s="116"/>
      <c r="BA53" s="116"/>
      <c r="BB53" s="116"/>
      <c r="BC53" s="116"/>
      <c r="BD53" s="116"/>
      <c r="BE53" s="116"/>
      <c r="BF53" s="116"/>
      <c r="BG53" s="116"/>
      <c r="BH53" s="116"/>
      <c r="BI53" s="116"/>
      <c r="BJ53" s="116"/>
    </row>
    <row r="54" spans="1:62" ht="18.75" x14ac:dyDescent="0.3">
      <c r="A54" s="145" t="s">
        <v>451</v>
      </c>
      <c r="B54" s="146"/>
      <c r="C54" s="146"/>
      <c r="D54" s="146"/>
      <c r="E54" s="1"/>
      <c r="F54" s="13">
        <v>46006</v>
      </c>
      <c r="G54" s="13">
        <v>46013</v>
      </c>
      <c r="H54" s="13">
        <v>46020</v>
      </c>
      <c r="I54" s="13">
        <v>46027</v>
      </c>
      <c r="J54" s="13">
        <v>46034</v>
      </c>
      <c r="K54" s="13">
        <v>46041</v>
      </c>
      <c r="L54" s="13">
        <v>46048</v>
      </c>
      <c r="M54" s="13">
        <v>46055</v>
      </c>
      <c r="N54" s="13">
        <v>46062</v>
      </c>
      <c r="O54" s="13">
        <v>46069</v>
      </c>
      <c r="P54" s="13">
        <v>46076</v>
      </c>
      <c r="Q54" s="13">
        <v>46083</v>
      </c>
      <c r="R54" s="13">
        <v>46090</v>
      </c>
      <c r="S54" s="13">
        <v>46097</v>
      </c>
      <c r="T54" s="13">
        <v>46104</v>
      </c>
      <c r="U54" s="13">
        <v>46111</v>
      </c>
      <c r="V54" s="13">
        <v>46118</v>
      </c>
      <c r="W54" s="13">
        <v>46125</v>
      </c>
      <c r="X54" s="13">
        <v>46132</v>
      </c>
      <c r="Y54" s="13">
        <v>46139</v>
      </c>
      <c r="Z54" s="13">
        <v>46146</v>
      </c>
      <c r="AA54" s="13">
        <v>46154</v>
      </c>
      <c r="AB54" s="13">
        <v>46160</v>
      </c>
      <c r="AC54" s="13">
        <v>46161.480136331018</v>
      </c>
      <c r="AD54" s="13">
        <v>46161.48080996528</v>
      </c>
      <c r="AE54" s="13">
        <v>46161.482967465279</v>
      </c>
      <c r="AF54" s="13">
        <v>46161.483295548423</v>
      </c>
      <c r="AG54" s="35" t="s">
        <v>129</v>
      </c>
      <c r="AH54" s="41"/>
      <c r="AI54" s="29" t="s">
        <v>126</v>
      </c>
      <c r="AJ54" s="29" t="s">
        <v>126</v>
      </c>
      <c r="AL54" s="9" t="s">
        <v>127</v>
      </c>
      <c r="AM54" s="17">
        <v>46161.483294917132</v>
      </c>
      <c r="AN54" s="17">
        <v>46149</v>
      </c>
      <c r="AO54" s="17">
        <v>46142</v>
      </c>
      <c r="AP54" s="17">
        <v>46114</v>
      </c>
      <c r="AQ54" s="17">
        <v>46099</v>
      </c>
      <c r="AR54" s="294">
        <v>46065</v>
      </c>
      <c r="AS54" s="17">
        <v>46077</v>
      </c>
      <c r="AT54" s="292">
        <v>46045</v>
      </c>
      <c r="AU54" s="17">
        <v>46056</v>
      </c>
      <c r="AV54" s="17">
        <v>46017</v>
      </c>
      <c r="AW54" s="17">
        <v>46007</v>
      </c>
      <c r="AX54" s="17">
        <v>46001</v>
      </c>
      <c r="AY54" s="17">
        <v>45994</v>
      </c>
      <c r="AZ54" s="17">
        <v>45986</v>
      </c>
      <c r="BA54" s="17">
        <v>45980</v>
      </c>
      <c r="BB54" s="17">
        <v>45980</v>
      </c>
      <c r="BC54" s="17">
        <v>45973</v>
      </c>
      <c r="BD54" s="207">
        <v>45982</v>
      </c>
      <c r="BE54" s="207">
        <v>45979</v>
      </c>
      <c r="BF54" s="269">
        <v>45974</v>
      </c>
      <c r="BG54" s="269">
        <v>45972</v>
      </c>
      <c r="BH54" s="258">
        <v>45968</v>
      </c>
      <c r="BI54" s="207">
        <v>45967</v>
      </c>
      <c r="BJ54" s="274">
        <v>45964</v>
      </c>
    </row>
    <row r="55" spans="1:62" ht="18.75" x14ac:dyDescent="0.3">
      <c r="A55" s="25" t="s">
        <v>452</v>
      </c>
      <c r="B55" s="6">
        <v>300</v>
      </c>
      <c r="C55" s="66">
        <v>169.8</v>
      </c>
      <c r="D55" s="234"/>
      <c r="E55" s="1"/>
      <c r="F55" s="39">
        <v>0</v>
      </c>
      <c r="G55" s="39">
        <v>0</v>
      </c>
      <c r="H55" s="39">
        <v>0</v>
      </c>
      <c r="I55" s="39">
        <v>0</v>
      </c>
      <c r="J55" s="39">
        <v>0</v>
      </c>
      <c r="K55" s="39">
        <v>0</v>
      </c>
      <c r="L55" s="39">
        <v>0</v>
      </c>
      <c r="M55" s="39">
        <v>0</v>
      </c>
      <c r="N55" s="39">
        <v>0</v>
      </c>
      <c r="O55" s="39">
        <v>0</v>
      </c>
      <c r="P55" s="39">
        <v>0</v>
      </c>
      <c r="Q55" s="39">
        <v>0</v>
      </c>
      <c r="R55" s="39">
        <v>0</v>
      </c>
      <c r="S55" s="39">
        <v>0</v>
      </c>
      <c r="T55" s="39">
        <v>0</v>
      </c>
      <c r="U55" s="39">
        <v>0</v>
      </c>
      <c r="V55" s="39">
        <v>0</v>
      </c>
      <c r="W55" s="39">
        <v>0</v>
      </c>
      <c r="X55" s="39">
        <v>0</v>
      </c>
      <c r="Y55" s="39">
        <v>0</v>
      </c>
      <c r="Z55" s="39">
        <v>0</v>
      </c>
      <c r="AA55" s="39">
        <v>0</v>
      </c>
      <c r="AB55" s="39"/>
      <c r="AC55" s="6"/>
      <c r="AD55" s="6"/>
      <c r="AE55" s="6"/>
      <c r="AF55" s="6"/>
      <c r="AG55" s="372">
        <f t="shared" ref="AG55:AG64" ca="1" si="1">AE55+IF(NOT(ISBLANK(OFFSET(AG55,0,6))),N(OFFSET(AG55,0,6)),N(OFFSET(AG55,0,7)))-AF55</f>
        <v>0</v>
      </c>
      <c r="AH55" s="41"/>
      <c r="AI55" s="134"/>
      <c r="AJ55" s="134"/>
      <c r="AL55" s="76"/>
      <c r="AM55" s="445">
        <v>0</v>
      </c>
      <c r="AN55" s="19">
        <v>0</v>
      </c>
      <c r="AO55" s="19">
        <v>0</v>
      </c>
      <c r="AP55" s="19">
        <v>0</v>
      </c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17"/>
      <c r="BE55" s="117"/>
      <c r="BF55" s="117"/>
      <c r="BG55" s="19"/>
      <c r="BH55" s="19"/>
      <c r="BI55" s="117"/>
      <c r="BJ55" s="19"/>
    </row>
    <row r="56" spans="1:62" ht="18.75" x14ac:dyDescent="0.3">
      <c r="A56" s="25" t="s">
        <v>453</v>
      </c>
      <c r="B56" s="6">
        <v>200</v>
      </c>
      <c r="C56" s="66">
        <v>175.22</v>
      </c>
      <c r="D56" s="234"/>
      <c r="E56" s="1"/>
      <c r="F56" s="39">
        <v>0</v>
      </c>
      <c r="G56" s="39">
        <v>0</v>
      </c>
      <c r="H56" s="39">
        <v>0</v>
      </c>
      <c r="I56" s="39">
        <v>0</v>
      </c>
      <c r="J56" s="39">
        <v>0</v>
      </c>
      <c r="K56" s="39">
        <v>0</v>
      </c>
      <c r="L56" s="39">
        <v>0</v>
      </c>
      <c r="M56" s="39">
        <v>0</v>
      </c>
      <c r="N56" s="39">
        <v>0</v>
      </c>
      <c r="O56" s="39">
        <v>0</v>
      </c>
      <c r="P56" s="39">
        <v>0</v>
      </c>
      <c r="Q56" s="39">
        <v>0</v>
      </c>
      <c r="R56" s="39">
        <v>0</v>
      </c>
      <c r="S56" s="39">
        <v>0</v>
      </c>
      <c r="T56" s="39">
        <v>0</v>
      </c>
      <c r="U56" s="39">
        <v>0</v>
      </c>
      <c r="V56" s="39">
        <v>0</v>
      </c>
      <c r="W56" s="39">
        <v>0</v>
      </c>
      <c r="X56" s="39">
        <v>0</v>
      </c>
      <c r="Y56" s="39">
        <v>0</v>
      </c>
      <c r="Z56" s="39">
        <v>0</v>
      </c>
      <c r="AA56" s="39">
        <v>0</v>
      </c>
      <c r="AB56" s="39"/>
      <c r="AC56" s="6"/>
      <c r="AD56" s="6"/>
      <c r="AE56" s="6"/>
      <c r="AF56" s="6"/>
      <c r="AG56" s="372">
        <f t="shared" ca="1" si="1"/>
        <v>0</v>
      </c>
      <c r="AH56" s="41"/>
      <c r="AI56" s="134"/>
      <c r="AJ56" s="134"/>
      <c r="AL56" s="76"/>
      <c r="AM56" s="445">
        <v>0</v>
      </c>
      <c r="AN56" s="19">
        <v>0</v>
      </c>
      <c r="AO56" s="19">
        <v>0</v>
      </c>
      <c r="AP56" s="19">
        <v>0</v>
      </c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17"/>
      <c r="BE56" s="117"/>
      <c r="BF56" s="117"/>
      <c r="BG56" s="19"/>
      <c r="BH56" s="19"/>
      <c r="BI56" s="117"/>
      <c r="BJ56" s="19"/>
    </row>
    <row r="57" spans="1:62" ht="18.75" x14ac:dyDescent="0.3">
      <c r="A57" s="25" t="s">
        <v>454</v>
      </c>
      <c r="B57" s="6">
        <v>200</v>
      </c>
      <c r="C57" s="66">
        <v>230.34</v>
      </c>
      <c r="D57" s="234"/>
      <c r="E57" s="1"/>
      <c r="F57" s="39">
        <v>0</v>
      </c>
      <c r="G57" s="39">
        <v>0</v>
      </c>
      <c r="H57" s="39">
        <v>0</v>
      </c>
      <c r="I57" s="39">
        <v>0</v>
      </c>
      <c r="J57" s="39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/>
      <c r="AC57" s="6"/>
      <c r="AD57" s="6"/>
      <c r="AE57" s="6"/>
      <c r="AF57" s="6"/>
      <c r="AG57" s="372">
        <f t="shared" ca="1" si="1"/>
        <v>0</v>
      </c>
      <c r="AH57" s="41"/>
      <c r="AI57" s="134"/>
      <c r="AJ57" s="134"/>
      <c r="AL57" s="76"/>
      <c r="AM57" s="445">
        <v>0</v>
      </c>
      <c r="AN57" s="19">
        <v>0</v>
      </c>
      <c r="AO57" s="19">
        <v>0</v>
      </c>
      <c r="AP57" s="19">
        <v>0</v>
      </c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17"/>
      <c r="BE57" s="117"/>
      <c r="BF57" s="117"/>
      <c r="BG57" s="19"/>
      <c r="BH57" s="19"/>
      <c r="BI57" s="117"/>
      <c r="BJ57" s="19"/>
    </row>
    <row r="58" spans="1:62" ht="18.75" x14ac:dyDescent="0.3">
      <c r="A58" s="95" t="s">
        <v>516</v>
      </c>
      <c r="B58" s="72">
        <v>100</v>
      </c>
      <c r="C58" s="77">
        <v>22.98</v>
      </c>
      <c r="D58" s="234"/>
      <c r="F58" s="39">
        <v>0</v>
      </c>
      <c r="G58" s="39">
        <v>0</v>
      </c>
      <c r="H58" s="39">
        <v>0</v>
      </c>
      <c r="I58" s="39">
        <v>0</v>
      </c>
      <c r="J58" s="39">
        <v>0</v>
      </c>
      <c r="K58" s="39">
        <v>0</v>
      </c>
      <c r="L58" s="39">
        <v>0</v>
      </c>
      <c r="M58" s="39">
        <v>0</v>
      </c>
      <c r="N58" s="39">
        <v>0</v>
      </c>
      <c r="O58" s="39">
        <v>0</v>
      </c>
      <c r="P58" s="39">
        <v>0</v>
      </c>
      <c r="Q58" s="39">
        <v>0</v>
      </c>
      <c r="R58" s="39">
        <v>0</v>
      </c>
      <c r="S58" s="39">
        <v>0</v>
      </c>
      <c r="T58" s="39">
        <v>0</v>
      </c>
      <c r="U58" s="39">
        <v>0</v>
      </c>
      <c r="V58" s="39">
        <v>0</v>
      </c>
      <c r="W58" s="39">
        <v>0</v>
      </c>
      <c r="X58" s="39">
        <v>0</v>
      </c>
      <c r="Y58" s="39">
        <v>0</v>
      </c>
      <c r="Z58" s="39">
        <v>0</v>
      </c>
      <c r="AA58" s="39">
        <v>0</v>
      </c>
      <c r="AB58" s="39"/>
      <c r="AC58" s="6"/>
      <c r="AD58" s="6"/>
      <c r="AE58" s="6"/>
      <c r="AF58" s="6"/>
      <c r="AG58" s="372">
        <f t="shared" ca="1" si="1"/>
        <v>0</v>
      </c>
      <c r="AI58" s="134"/>
      <c r="AJ58" s="134"/>
      <c r="AK58" s="1"/>
      <c r="AL58" s="32"/>
      <c r="AM58" s="445">
        <v>0</v>
      </c>
      <c r="AN58" s="19">
        <v>0</v>
      </c>
      <c r="AO58" s="19">
        <v>0</v>
      </c>
      <c r="AP58" s="19">
        <v>0</v>
      </c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17"/>
      <c r="BE58" s="117"/>
      <c r="BF58" s="117"/>
      <c r="BG58" s="19"/>
      <c r="BH58" s="19"/>
      <c r="BI58" s="117"/>
      <c r="BJ58" s="19"/>
    </row>
    <row r="59" spans="1:62" ht="18.75" x14ac:dyDescent="0.3">
      <c r="A59" s="25" t="s">
        <v>517</v>
      </c>
      <c r="B59" s="6">
        <v>1000</v>
      </c>
      <c r="C59" s="66">
        <v>7.75</v>
      </c>
      <c r="D59" s="234"/>
      <c r="E59" s="1"/>
      <c r="F59" s="39">
        <v>0</v>
      </c>
      <c r="G59" s="39">
        <v>0</v>
      </c>
      <c r="H59" s="39">
        <v>0</v>
      </c>
      <c r="I59" s="39">
        <v>0</v>
      </c>
      <c r="J59" s="39">
        <v>0</v>
      </c>
      <c r="K59" s="39">
        <v>0</v>
      </c>
      <c r="L59" s="39">
        <v>0</v>
      </c>
      <c r="M59" s="39">
        <v>0</v>
      </c>
      <c r="N59" s="39">
        <v>0</v>
      </c>
      <c r="O59" s="39">
        <v>0</v>
      </c>
      <c r="P59" s="39">
        <v>0</v>
      </c>
      <c r="Q59" s="39">
        <v>0</v>
      </c>
      <c r="R59" s="39">
        <v>0</v>
      </c>
      <c r="S59" s="39">
        <v>0</v>
      </c>
      <c r="T59" s="39">
        <v>0</v>
      </c>
      <c r="U59" s="39">
        <v>0</v>
      </c>
      <c r="V59" s="39">
        <v>0</v>
      </c>
      <c r="W59" s="39">
        <v>0</v>
      </c>
      <c r="X59" s="39">
        <v>0</v>
      </c>
      <c r="Y59" s="39">
        <v>0</v>
      </c>
      <c r="Z59" s="39">
        <v>0</v>
      </c>
      <c r="AA59" s="39">
        <v>0</v>
      </c>
      <c r="AB59" s="39"/>
      <c r="AC59" s="6"/>
      <c r="AD59" s="6"/>
      <c r="AE59" s="6"/>
      <c r="AF59" s="6"/>
      <c r="AG59" s="372">
        <f t="shared" ca="1" si="1"/>
        <v>0</v>
      </c>
      <c r="AH59" s="41"/>
      <c r="AI59" s="134"/>
      <c r="AJ59" s="134"/>
      <c r="AL59" s="76"/>
      <c r="AM59" s="445">
        <v>0</v>
      </c>
      <c r="AN59" s="19">
        <v>0</v>
      </c>
      <c r="AO59" s="19">
        <v>0</v>
      </c>
      <c r="AP59" s="19">
        <v>0</v>
      </c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17"/>
      <c r="BE59" s="117"/>
      <c r="BF59" s="117"/>
      <c r="BG59" s="19"/>
      <c r="BH59" s="19"/>
      <c r="BI59" s="117"/>
      <c r="BJ59" s="19"/>
    </row>
    <row r="60" spans="1:62" ht="18.75" x14ac:dyDescent="0.3">
      <c r="A60" s="25" t="s">
        <v>518</v>
      </c>
      <c r="B60" s="6">
        <v>300</v>
      </c>
      <c r="C60" s="66">
        <v>53.97</v>
      </c>
      <c r="D60" s="234"/>
      <c r="E60" s="1"/>
      <c r="F60" s="39">
        <v>0</v>
      </c>
      <c r="G60" s="39">
        <v>0</v>
      </c>
      <c r="H60" s="39">
        <v>0</v>
      </c>
      <c r="I60" s="39">
        <v>0</v>
      </c>
      <c r="J60" s="39">
        <v>0</v>
      </c>
      <c r="K60" s="39">
        <v>0</v>
      </c>
      <c r="L60" s="39">
        <v>0</v>
      </c>
      <c r="M60" s="39">
        <v>0</v>
      </c>
      <c r="N60" s="39">
        <v>0</v>
      </c>
      <c r="O60" s="39">
        <v>0</v>
      </c>
      <c r="P60" s="39">
        <v>0</v>
      </c>
      <c r="Q60" s="39">
        <v>0</v>
      </c>
      <c r="R60" s="39">
        <v>0</v>
      </c>
      <c r="S60" s="39">
        <v>0</v>
      </c>
      <c r="T60" s="39">
        <v>0</v>
      </c>
      <c r="U60" s="39">
        <v>0</v>
      </c>
      <c r="V60" s="39">
        <v>0</v>
      </c>
      <c r="W60" s="39">
        <v>0</v>
      </c>
      <c r="X60" s="39">
        <v>0</v>
      </c>
      <c r="Y60" s="39">
        <v>0</v>
      </c>
      <c r="Z60" s="39">
        <v>0</v>
      </c>
      <c r="AA60" s="39">
        <v>0</v>
      </c>
      <c r="AB60" s="39"/>
      <c r="AC60" s="6"/>
      <c r="AD60" s="6"/>
      <c r="AE60" s="6"/>
      <c r="AF60" s="6"/>
      <c r="AG60" s="372">
        <f t="shared" ca="1" si="1"/>
        <v>0</v>
      </c>
      <c r="AH60" s="41"/>
      <c r="AI60" s="134"/>
      <c r="AJ60" s="134"/>
      <c r="AL60" s="76"/>
      <c r="AM60" s="445">
        <v>0</v>
      </c>
      <c r="AN60" s="19">
        <v>0</v>
      </c>
      <c r="AO60" s="19">
        <v>0</v>
      </c>
      <c r="AP60" s="19">
        <v>0</v>
      </c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17"/>
      <c r="BE60" s="117"/>
      <c r="BF60" s="117"/>
      <c r="BG60" s="19"/>
      <c r="BH60" s="19"/>
      <c r="BI60" s="117"/>
      <c r="BJ60" s="19"/>
    </row>
    <row r="61" spans="1:62" ht="18.75" x14ac:dyDescent="0.3">
      <c r="A61" s="25" t="s">
        <v>519</v>
      </c>
      <c r="B61" s="6">
        <v>3000</v>
      </c>
      <c r="C61" s="66">
        <v>213</v>
      </c>
      <c r="D61" s="234"/>
      <c r="E61" s="1"/>
      <c r="F61" s="39">
        <v>0</v>
      </c>
      <c r="G61" s="39">
        <v>0</v>
      </c>
      <c r="H61" s="39">
        <v>0</v>
      </c>
      <c r="I61" s="39">
        <v>0</v>
      </c>
      <c r="J61" s="39">
        <v>0</v>
      </c>
      <c r="K61" s="39">
        <v>0</v>
      </c>
      <c r="L61" s="39">
        <v>0</v>
      </c>
      <c r="M61" s="39">
        <v>0</v>
      </c>
      <c r="N61" s="39">
        <v>0</v>
      </c>
      <c r="O61" s="39">
        <v>0</v>
      </c>
      <c r="P61" s="39">
        <v>0</v>
      </c>
      <c r="Q61" s="39">
        <v>0</v>
      </c>
      <c r="R61" s="39">
        <v>0</v>
      </c>
      <c r="S61" s="39">
        <v>0</v>
      </c>
      <c r="T61" s="39">
        <v>0</v>
      </c>
      <c r="U61" s="39">
        <v>0</v>
      </c>
      <c r="V61" s="39">
        <v>0</v>
      </c>
      <c r="W61" s="39">
        <v>0</v>
      </c>
      <c r="X61" s="39">
        <v>0</v>
      </c>
      <c r="Y61" s="39">
        <v>0</v>
      </c>
      <c r="Z61" s="39">
        <v>0</v>
      </c>
      <c r="AA61" s="39">
        <v>0</v>
      </c>
      <c r="AB61" s="39"/>
      <c r="AC61" s="6"/>
      <c r="AD61" s="6"/>
      <c r="AE61" s="6"/>
      <c r="AF61" s="6"/>
      <c r="AG61" s="372">
        <f t="shared" ca="1" si="1"/>
        <v>0</v>
      </c>
      <c r="AH61" s="41"/>
      <c r="AI61" s="134"/>
      <c r="AJ61" s="134"/>
      <c r="AL61" s="76"/>
      <c r="AM61" s="445">
        <v>0</v>
      </c>
      <c r="AN61" s="19">
        <v>0</v>
      </c>
      <c r="AO61" s="19">
        <v>0</v>
      </c>
      <c r="AP61" s="19">
        <v>0</v>
      </c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17"/>
      <c r="BE61" s="117"/>
      <c r="BF61" s="117"/>
      <c r="BG61" s="19"/>
      <c r="BH61" s="19"/>
      <c r="BI61" s="117"/>
      <c r="BJ61" s="19"/>
    </row>
    <row r="62" spans="1:62" ht="18.75" x14ac:dyDescent="0.3">
      <c r="A62" s="25" t="s">
        <v>455</v>
      </c>
      <c r="B62" s="6">
        <v>150</v>
      </c>
      <c r="C62" s="66">
        <v>306</v>
      </c>
      <c r="D62" s="234"/>
      <c r="E62" s="1"/>
      <c r="F62" s="39">
        <v>20</v>
      </c>
      <c r="G62" s="39">
        <v>19</v>
      </c>
      <c r="H62" s="39">
        <v>19</v>
      </c>
      <c r="I62" s="39">
        <v>19</v>
      </c>
      <c r="J62" s="39">
        <v>19</v>
      </c>
      <c r="K62" s="39">
        <v>19</v>
      </c>
      <c r="L62" s="39">
        <v>19</v>
      </c>
      <c r="M62" s="39">
        <v>19</v>
      </c>
      <c r="N62" s="39">
        <v>19</v>
      </c>
      <c r="O62" s="39">
        <v>19</v>
      </c>
      <c r="P62" s="39">
        <v>19</v>
      </c>
      <c r="Q62" s="39">
        <v>19</v>
      </c>
      <c r="R62" s="39">
        <v>19</v>
      </c>
      <c r="S62" s="39">
        <v>19</v>
      </c>
      <c r="T62" s="39">
        <v>19</v>
      </c>
      <c r="U62" s="39">
        <v>18</v>
      </c>
      <c r="V62" s="39"/>
      <c r="W62" s="39"/>
      <c r="X62" s="39"/>
      <c r="Y62" s="39"/>
      <c r="Z62" s="39"/>
      <c r="AA62" s="39">
        <v>17</v>
      </c>
      <c r="AB62" s="39">
        <v>17</v>
      </c>
      <c r="AC62" s="6">
        <v>17</v>
      </c>
      <c r="AD62" s="6">
        <v>17</v>
      </c>
      <c r="AE62" s="6">
        <v>17</v>
      </c>
      <c r="AF62" s="6">
        <v>17</v>
      </c>
      <c r="AG62" s="372">
        <f t="shared" ca="1" si="1"/>
        <v>0</v>
      </c>
      <c r="AH62" s="41"/>
      <c r="AI62" s="134"/>
      <c r="AJ62" s="134"/>
      <c r="AL62" s="76"/>
      <c r="AM62" s="445">
        <v>0</v>
      </c>
      <c r="AN62" s="19">
        <v>0</v>
      </c>
      <c r="AO62" s="19">
        <v>0</v>
      </c>
      <c r="AP62" s="19">
        <v>0</v>
      </c>
      <c r="AQ62" s="159"/>
      <c r="AR62" s="159"/>
      <c r="AS62" s="159"/>
      <c r="AT62" s="159"/>
      <c r="AU62" s="159"/>
      <c r="AV62" s="159"/>
      <c r="AW62" s="159"/>
      <c r="AX62" s="159"/>
      <c r="AY62" s="159"/>
      <c r="AZ62" s="159"/>
      <c r="BA62" s="159"/>
      <c r="BB62" s="159"/>
      <c r="BC62" s="159"/>
      <c r="BD62" s="159"/>
      <c r="BE62" s="159"/>
      <c r="BF62" s="159"/>
      <c r="BG62" s="159"/>
      <c r="BH62" s="159"/>
      <c r="BI62" s="255" t="s">
        <v>520</v>
      </c>
      <c r="BJ62" s="159"/>
    </row>
    <row r="63" spans="1:62" ht="18.75" x14ac:dyDescent="0.3">
      <c r="A63" s="25" t="s">
        <v>456</v>
      </c>
      <c r="B63" s="6">
        <v>75</v>
      </c>
      <c r="C63" s="66">
        <v>216.38</v>
      </c>
      <c r="D63" s="234"/>
      <c r="E63" s="1"/>
      <c r="F63" s="39">
        <v>10</v>
      </c>
      <c r="G63" s="39">
        <v>9</v>
      </c>
      <c r="H63" s="39">
        <v>9</v>
      </c>
      <c r="I63" s="39">
        <v>9</v>
      </c>
      <c r="J63" s="39">
        <v>9</v>
      </c>
      <c r="K63" s="39">
        <v>9</v>
      </c>
      <c r="L63" s="39">
        <v>9</v>
      </c>
      <c r="M63" s="39">
        <v>9</v>
      </c>
      <c r="N63" s="39">
        <v>9</v>
      </c>
      <c r="O63" s="39">
        <v>9</v>
      </c>
      <c r="P63" s="39">
        <v>9</v>
      </c>
      <c r="Q63" s="39">
        <v>9</v>
      </c>
      <c r="R63" s="39">
        <v>9</v>
      </c>
      <c r="S63" s="39">
        <v>9</v>
      </c>
      <c r="T63" s="39">
        <v>9</v>
      </c>
      <c r="U63" s="39">
        <v>9</v>
      </c>
      <c r="V63" s="39"/>
      <c r="W63" s="39"/>
      <c r="X63" s="39"/>
      <c r="Y63" s="39"/>
      <c r="Z63" s="39"/>
      <c r="AA63" s="39">
        <v>9</v>
      </c>
      <c r="AB63" s="39">
        <v>9</v>
      </c>
      <c r="AC63" s="6">
        <v>9</v>
      </c>
      <c r="AD63" s="6">
        <v>9</v>
      </c>
      <c r="AE63" s="6">
        <v>9</v>
      </c>
      <c r="AF63" s="6">
        <v>9</v>
      </c>
      <c r="AG63" s="372">
        <f t="shared" ca="1" si="1"/>
        <v>0</v>
      </c>
      <c r="AH63" s="41"/>
      <c r="AI63" s="134"/>
      <c r="AJ63" s="134"/>
      <c r="AL63" s="76"/>
      <c r="AM63" s="445">
        <v>0</v>
      </c>
      <c r="AN63" s="19">
        <v>0</v>
      </c>
      <c r="AO63" s="19">
        <v>0</v>
      </c>
      <c r="AP63" s="19">
        <v>0</v>
      </c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17"/>
      <c r="BE63" s="117"/>
      <c r="BF63" s="117"/>
      <c r="BG63" s="19"/>
      <c r="BH63" s="19"/>
      <c r="BI63" s="253" t="s">
        <v>502</v>
      </c>
      <c r="BJ63" s="19"/>
    </row>
    <row r="64" spans="1:62" ht="18.75" x14ac:dyDescent="0.3">
      <c r="A64" s="25" t="s">
        <v>457</v>
      </c>
      <c r="B64" s="6">
        <v>100</v>
      </c>
      <c r="C64" s="66">
        <v>306</v>
      </c>
      <c r="D64" s="234"/>
      <c r="E64" s="1"/>
      <c r="F64" s="39">
        <v>5</v>
      </c>
      <c r="G64" s="39">
        <v>5</v>
      </c>
      <c r="H64" s="39">
        <v>5</v>
      </c>
      <c r="I64" s="39">
        <v>5</v>
      </c>
      <c r="J64" s="39">
        <v>5</v>
      </c>
      <c r="K64" s="39">
        <v>5</v>
      </c>
      <c r="L64" s="39">
        <v>5</v>
      </c>
      <c r="M64" s="39">
        <v>5</v>
      </c>
      <c r="N64" s="39">
        <v>5</v>
      </c>
      <c r="O64" s="39">
        <v>5</v>
      </c>
      <c r="P64" s="39">
        <v>5</v>
      </c>
      <c r="Q64" s="39">
        <v>5</v>
      </c>
      <c r="R64" s="39">
        <v>5</v>
      </c>
      <c r="S64" s="39">
        <v>3</v>
      </c>
      <c r="T64" s="39">
        <v>2</v>
      </c>
      <c r="U64" s="39">
        <v>2</v>
      </c>
      <c r="V64" s="39"/>
      <c r="W64" s="39"/>
      <c r="X64" s="39"/>
      <c r="Y64" s="39"/>
      <c r="Z64" s="39"/>
      <c r="AA64" s="39">
        <v>0</v>
      </c>
      <c r="AB64" s="39">
        <v>0</v>
      </c>
      <c r="AC64" s="6">
        <v>0</v>
      </c>
      <c r="AD64" s="6">
        <v>0</v>
      </c>
      <c r="AE64" s="6">
        <v>0</v>
      </c>
      <c r="AF64" s="6">
        <v>0</v>
      </c>
      <c r="AG64" s="372">
        <f t="shared" ca="1" si="1"/>
        <v>0</v>
      </c>
      <c r="AH64" s="41"/>
      <c r="AI64" s="134"/>
      <c r="AJ64" s="134"/>
      <c r="AL64" s="76"/>
      <c r="AM64" s="445">
        <v>0</v>
      </c>
      <c r="AN64" s="19">
        <v>0</v>
      </c>
      <c r="AO64" s="19">
        <v>0</v>
      </c>
      <c r="AP64" s="19">
        <v>0</v>
      </c>
      <c r="AQ64" s="159"/>
      <c r="AR64" s="159"/>
      <c r="AS64" s="159"/>
      <c r="AT64" s="159"/>
      <c r="AU64" s="159"/>
      <c r="AV64" s="159"/>
      <c r="AW64" s="159"/>
      <c r="AX64" s="159"/>
      <c r="AY64" s="159"/>
      <c r="AZ64" s="159"/>
      <c r="BA64" s="159"/>
      <c r="BB64" s="159"/>
      <c r="BC64" s="159"/>
      <c r="BD64" s="159"/>
      <c r="BE64" s="159"/>
      <c r="BF64" s="159"/>
      <c r="BG64" s="159"/>
      <c r="BH64" s="159"/>
      <c r="BI64" s="255" t="s">
        <v>521</v>
      </c>
      <c r="BJ64" s="159"/>
    </row>
    <row r="65" spans="1:62" ht="18.75" x14ac:dyDescent="0.3">
      <c r="B65" s="41"/>
      <c r="C65" s="120"/>
      <c r="D65" s="120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1"/>
      <c r="AD65" s="1"/>
      <c r="AE65" s="1"/>
      <c r="AF65" s="1"/>
      <c r="AG65" s="2"/>
      <c r="AI65" s="75"/>
      <c r="AK65" s="1"/>
      <c r="AL65" s="15"/>
      <c r="AM65" s="388"/>
      <c r="AN65" s="75"/>
      <c r="AO65" s="75"/>
      <c r="AP65" s="75"/>
      <c r="AQ65" s="75"/>
      <c r="AR65" s="75"/>
      <c r="AS65" s="75"/>
      <c r="AT65" s="75"/>
      <c r="AU65" s="75"/>
      <c r="AV65" s="75"/>
      <c r="AW65" s="75"/>
      <c r="AX65" s="75"/>
      <c r="AY65" s="75"/>
      <c r="AZ65" s="75"/>
      <c r="BA65" s="75"/>
      <c r="BB65" s="75"/>
      <c r="BC65" s="75"/>
      <c r="BD65" s="201"/>
      <c r="BE65" s="201"/>
      <c r="BF65" s="201"/>
      <c r="BG65" s="75"/>
      <c r="BH65" s="75"/>
      <c r="BI65" s="201"/>
      <c r="BJ65" s="75"/>
    </row>
    <row r="66" spans="1:62" ht="18.75" x14ac:dyDescent="0.3">
      <c r="A66" s="215" t="s">
        <v>458</v>
      </c>
      <c r="B66" s="216"/>
      <c r="C66" s="216"/>
      <c r="D66" s="216"/>
      <c r="F66" s="13">
        <v>46006</v>
      </c>
      <c r="G66" s="13">
        <v>46013</v>
      </c>
      <c r="H66" s="13">
        <v>46020</v>
      </c>
      <c r="I66" s="13">
        <v>46027</v>
      </c>
      <c r="J66" s="13">
        <v>46034</v>
      </c>
      <c r="K66" s="13">
        <v>46041</v>
      </c>
      <c r="L66" s="13">
        <v>46048</v>
      </c>
      <c r="M66" s="13">
        <v>46055</v>
      </c>
      <c r="N66" s="13">
        <v>46062</v>
      </c>
      <c r="O66" s="13">
        <v>46069</v>
      </c>
      <c r="P66" s="13">
        <v>46076</v>
      </c>
      <c r="Q66" s="13">
        <v>46083</v>
      </c>
      <c r="R66" s="13">
        <v>46090</v>
      </c>
      <c r="S66" s="13">
        <v>46097</v>
      </c>
      <c r="T66" s="13">
        <v>46104</v>
      </c>
      <c r="U66" s="13">
        <v>46111</v>
      </c>
      <c r="V66" s="13">
        <v>46118</v>
      </c>
      <c r="W66" s="13">
        <v>46125</v>
      </c>
      <c r="X66" s="13">
        <v>46132</v>
      </c>
      <c r="Y66" s="13">
        <v>46139</v>
      </c>
      <c r="Z66" s="13">
        <v>46146</v>
      </c>
      <c r="AA66" s="13">
        <v>46154</v>
      </c>
      <c r="AB66" s="13">
        <v>46160</v>
      </c>
      <c r="AC66" s="13">
        <v>46161.480136331018</v>
      </c>
      <c r="AD66" s="13">
        <v>46161.48080996528</v>
      </c>
      <c r="AE66" s="13">
        <v>46161.482967465279</v>
      </c>
      <c r="AF66" s="13">
        <v>46161.483295548664</v>
      </c>
      <c r="AG66" s="35" t="s">
        <v>129</v>
      </c>
      <c r="AI66" s="29" t="s">
        <v>126</v>
      </c>
      <c r="AJ66" s="29" t="s">
        <v>126</v>
      </c>
      <c r="AK66" s="1"/>
      <c r="AL66" s="9" t="s">
        <v>127</v>
      </c>
      <c r="AM66" s="17">
        <v>46161.483294917613</v>
      </c>
      <c r="AN66" s="17">
        <v>46149</v>
      </c>
      <c r="AO66" s="17">
        <v>46142</v>
      </c>
      <c r="AP66" s="17">
        <v>46114</v>
      </c>
      <c r="AQ66" s="17">
        <v>46099</v>
      </c>
      <c r="AR66" s="294">
        <v>46065</v>
      </c>
      <c r="AS66" s="17">
        <v>46077</v>
      </c>
      <c r="AT66" s="292">
        <v>46045</v>
      </c>
      <c r="AU66" s="17">
        <v>46056</v>
      </c>
      <c r="AV66" s="17">
        <v>46017</v>
      </c>
      <c r="AW66" s="17">
        <v>46007</v>
      </c>
      <c r="AX66" s="17">
        <v>46001</v>
      </c>
      <c r="AY66" s="17">
        <v>45994</v>
      </c>
      <c r="AZ66" s="17">
        <v>45986</v>
      </c>
      <c r="BA66" s="17">
        <v>45980</v>
      </c>
      <c r="BB66" s="17">
        <v>45980</v>
      </c>
      <c r="BC66" s="17">
        <v>45973</v>
      </c>
      <c r="BD66" s="207">
        <v>45982</v>
      </c>
      <c r="BE66" s="207">
        <v>45979</v>
      </c>
      <c r="BF66" s="269">
        <v>45974</v>
      </c>
      <c r="BG66" s="269">
        <v>45972</v>
      </c>
      <c r="BH66" s="258">
        <v>45968</v>
      </c>
      <c r="BI66" s="207">
        <v>45967</v>
      </c>
      <c r="BJ66" s="274">
        <v>45964</v>
      </c>
    </row>
    <row r="67" spans="1:62" ht="18.75" x14ac:dyDescent="0.25">
      <c r="A67" s="25" t="s">
        <v>459</v>
      </c>
      <c r="B67" s="6">
        <v>200</v>
      </c>
      <c r="C67" s="66">
        <v>183.24</v>
      </c>
      <c r="D67" s="234"/>
      <c r="F67" s="39">
        <v>821</v>
      </c>
      <c r="G67" s="39">
        <v>1221</v>
      </c>
      <c r="H67" s="39">
        <v>1808</v>
      </c>
      <c r="I67" s="39">
        <v>1808</v>
      </c>
      <c r="J67" s="39">
        <v>1278</v>
      </c>
      <c r="K67" s="39">
        <v>1346</v>
      </c>
      <c r="L67" s="39">
        <v>1208</v>
      </c>
      <c r="M67" s="39">
        <v>1144</v>
      </c>
      <c r="N67" s="39">
        <v>1088</v>
      </c>
      <c r="O67" s="39">
        <v>1020</v>
      </c>
      <c r="P67" s="39">
        <v>1007</v>
      </c>
      <c r="Q67" s="39">
        <v>940</v>
      </c>
      <c r="R67" s="39">
        <v>823</v>
      </c>
      <c r="S67" s="39">
        <v>740</v>
      </c>
      <c r="T67" s="39">
        <v>655</v>
      </c>
      <c r="U67" s="39">
        <v>541</v>
      </c>
      <c r="V67" s="39">
        <v>490</v>
      </c>
      <c r="W67" s="39">
        <v>400</v>
      </c>
      <c r="X67" s="39">
        <v>288</v>
      </c>
      <c r="Y67" s="39">
        <v>252</v>
      </c>
      <c r="Z67" s="39">
        <v>0</v>
      </c>
      <c r="AA67" s="39">
        <f>0+AJ67</f>
        <v>0</v>
      </c>
      <c r="AB67" s="39"/>
      <c r="AC67" s="6"/>
      <c r="AD67" s="6"/>
      <c r="AE67" s="6"/>
      <c r="AF67" s="6"/>
      <c r="AG67" s="372">
        <f t="shared" ref="AG67:AG78" ca="1" si="2">AE67+IF(NOT(ISBLANK(OFFSET(AG67,0,6))),N(OFFSET(AG67,0,6)),N(OFFSET(AG67,0,7)))-AF67</f>
        <v>0</v>
      </c>
      <c r="AI67" s="134"/>
      <c r="AJ67" s="134"/>
      <c r="AK67" s="1"/>
      <c r="AL67" s="76"/>
      <c r="AM67" s="445">
        <v>0</v>
      </c>
      <c r="AN67" s="19">
        <v>400</v>
      </c>
      <c r="AO67" s="19">
        <v>0</v>
      </c>
      <c r="AP67" s="19">
        <v>0</v>
      </c>
      <c r="AQ67" s="19"/>
      <c r="AR67" s="19"/>
      <c r="AS67" s="19"/>
      <c r="AT67" s="19"/>
      <c r="AU67" s="19"/>
      <c r="AV67" s="19"/>
      <c r="AW67" s="19"/>
      <c r="AX67" s="19">
        <v>400</v>
      </c>
      <c r="AY67" s="19">
        <v>400</v>
      </c>
      <c r="AZ67" s="19">
        <v>200</v>
      </c>
      <c r="BA67" s="19">
        <v>400</v>
      </c>
      <c r="BB67" s="19"/>
      <c r="BC67" s="19"/>
      <c r="BD67" s="117"/>
      <c r="BE67" s="117"/>
      <c r="BF67" s="117"/>
      <c r="BG67" s="19"/>
      <c r="BH67" s="19"/>
      <c r="BI67" s="117"/>
      <c r="BJ67" s="19"/>
    </row>
    <row r="68" spans="1:62" ht="18.75" x14ac:dyDescent="0.25">
      <c r="A68" s="25" t="s">
        <v>461</v>
      </c>
      <c r="B68" s="6">
        <v>200</v>
      </c>
      <c r="C68" s="66">
        <v>240.83</v>
      </c>
      <c r="D68" s="234"/>
      <c r="F68" s="39">
        <v>295</v>
      </c>
      <c r="G68" s="39">
        <v>502</v>
      </c>
      <c r="H68" s="39">
        <v>635</v>
      </c>
      <c r="I68" s="39">
        <f>628+AR68</f>
        <v>628</v>
      </c>
      <c r="J68" s="39">
        <v>804</v>
      </c>
      <c r="K68" s="39">
        <v>800</v>
      </c>
      <c r="L68" s="39">
        <v>800</v>
      </c>
      <c r="M68" s="39">
        <v>760</v>
      </c>
      <c r="N68" s="39">
        <v>915</v>
      </c>
      <c r="O68" s="39">
        <v>680</v>
      </c>
      <c r="P68" s="39">
        <v>619</v>
      </c>
      <c r="Q68" s="39">
        <v>619</v>
      </c>
      <c r="R68" s="39">
        <v>486</v>
      </c>
      <c r="S68" s="39">
        <v>414</v>
      </c>
      <c r="T68" s="39">
        <f>351+AM68</f>
        <v>351</v>
      </c>
      <c r="U68" s="39">
        <v>734</v>
      </c>
      <c r="V68" s="39">
        <v>701</v>
      </c>
      <c r="W68" s="39">
        <v>600</v>
      </c>
      <c r="X68" s="39">
        <v>380</v>
      </c>
      <c r="Y68" s="39">
        <v>320</v>
      </c>
      <c r="Z68" s="39">
        <v>200</v>
      </c>
      <c r="AA68" s="39">
        <v>200</v>
      </c>
      <c r="AB68" s="39"/>
      <c r="AC68" s="6"/>
      <c r="AD68" s="6"/>
      <c r="AE68" s="6"/>
      <c r="AF68" s="6"/>
      <c r="AG68" s="372">
        <f t="shared" ca="1" si="2"/>
        <v>0</v>
      </c>
      <c r="AI68" s="134"/>
      <c r="AJ68" s="134"/>
      <c r="AK68" s="1"/>
      <c r="AL68" s="76"/>
      <c r="AM68" s="445">
        <v>0</v>
      </c>
      <c r="AN68" s="19">
        <v>0</v>
      </c>
      <c r="AO68" s="19">
        <v>0</v>
      </c>
      <c r="AP68" s="19">
        <v>0</v>
      </c>
      <c r="AQ68" s="19">
        <v>400</v>
      </c>
      <c r="AR68" s="19"/>
      <c r="AS68" s="19"/>
      <c r="AT68" s="19"/>
      <c r="AU68" s="19"/>
      <c r="AV68" s="19">
        <v>200</v>
      </c>
      <c r="AW68" s="19">
        <v>200</v>
      </c>
      <c r="AX68" s="19">
        <v>200</v>
      </c>
      <c r="AY68" s="19"/>
      <c r="AZ68" s="19">
        <v>200</v>
      </c>
      <c r="BA68" s="19"/>
      <c r="BB68" s="19">
        <v>200</v>
      </c>
      <c r="BC68" s="19"/>
      <c r="BD68" s="117"/>
      <c r="BE68" s="117"/>
      <c r="BF68" s="117"/>
      <c r="BG68" s="19"/>
      <c r="BH68" s="19"/>
      <c r="BI68" s="117"/>
      <c r="BJ68" s="19"/>
    </row>
    <row r="69" spans="1:62" ht="18.75" x14ac:dyDescent="0.25">
      <c r="A69" s="25" t="s">
        <v>462</v>
      </c>
      <c r="B69" s="6">
        <v>100</v>
      </c>
      <c r="C69" s="66">
        <v>175.13</v>
      </c>
      <c r="D69" s="234"/>
      <c r="F69" s="39">
        <v>81</v>
      </c>
      <c r="G69" s="39">
        <v>81</v>
      </c>
      <c r="H69" s="39">
        <v>4</v>
      </c>
      <c r="I69" s="39">
        <v>204</v>
      </c>
      <c r="J69" s="39">
        <v>200</v>
      </c>
      <c r="K69" s="39">
        <v>200</v>
      </c>
      <c r="L69" s="39">
        <v>200</v>
      </c>
      <c r="M69" s="39">
        <v>483</v>
      </c>
      <c r="N69" s="39">
        <v>302</v>
      </c>
      <c r="O69" s="39">
        <v>263</v>
      </c>
      <c r="P69" s="39">
        <v>216</v>
      </c>
      <c r="Q69" s="39">
        <v>204</v>
      </c>
      <c r="R69" s="39">
        <v>162</v>
      </c>
      <c r="S69" s="39">
        <v>141</v>
      </c>
      <c r="T69" s="39">
        <v>103</v>
      </c>
      <c r="U69" s="39">
        <v>69</v>
      </c>
      <c r="V69" s="39">
        <v>152</v>
      </c>
      <c r="W69" s="39">
        <v>110</v>
      </c>
      <c r="X69" s="39">
        <v>0</v>
      </c>
      <c r="Y69" s="39">
        <v>0</v>
      </c>
      <c r="Z69" s="39">
        <v>0</v>
      </c>
      <c r="AA69" s="39">
        <v>0</v>
      </c>
      <c r="AB69" s="39"/>
      <c r="AC69" s="6"/>
      <c r="AD69" s="6"/>
      <c r="AE69" s="6"/>
      <c r="AF69" s="6"/>
      <c r="AG69" s="372">
        <f t="shared" ca="1" si="2"/>
        <v>0</v>
      </c>
      <c r="AI69" s="134" t="s">
        <v>501</v>
      </c>
      <c r="AJ69" s="134"/>
      <c r="AK69" s="1"/>
      <c r="AL69" s="76"/>
      <c r="AM69" s="445">
        <v>0</v>
      </c>
      <c r="AN69" s="19">
        <v>0</v>
      </c>
      <c r="AO69" s="19">
        <v>0</v>
      </c>
      <c r="AP69" s="19">
        <v>0</v>
      </c>
      <c r="AQ69" s="19"/>
      <c r="AR69" s="19"/>
      <c r="AS69" s="19"/>
      <c r="AT69" s="19"/>
      <c r="AU69" s="19"/>
      <c r="AV69" s="19">
        <v>200</v>
      </c>
      <c r="AW69" s="19">
        <v>100</v>
      </c>
      <c r="AX69" s="19">
        <v>100</v>
      </c>
      <c r="AY69" s="19">
        <v>100</v>
      </c>
      <c r="AZ69" s="19"/>
      <c r="BA69" s="19"/>
      <c r="BB69" s="19">
        <v>100</v>
      </c>
      <c r="BC69" s="19"/>
      <c r="BD69" s="117"/>
      <c r="BE69" s="117"/>
      <c r="BF69" s="117"/>
      <c r="BG69" s="19"/>
      <c r="BH69" s="19"/>
      <c r="BI69" s="253" t="s">
        <v>501</v>
      </c>
      <c r="BJ69" s="19"/>
    </row>
    <row r="70" spans="1:62" ht="18.75" x14ac:dyDescent="0.3">
      <c r="A70" s="95" t="s">
        <v>522</v>
      </c>
      <c r="B70" s="217">
        <v>200</v>
      </c>
      <c r="C70" s="218">
        <v>29.77</v>
      </c>
      <c r="D70" s="234"/>
      <c r="F70" s="39">
        <v>1</v>
      </c>
      <c r="G70" s="39">
        <v>1</v>
      </c>
      <c r="H70" s="39">
        <v>3</v>
      </c>
      <c r="I70" s="39">
        <v>3</v>
      </c>
      <c r="J70" s="39">
        <v>3</v>
      </c>
      <c r="K70" s="39">
        <v>3</v>
      </c>
      <c r="L70" s="39">
        <v>3</v>
      </c>
      <c r="M70" s="39">
        <v>3</v>
      </c>
      <c r="N70" s="39">
        <v>3</v>
      </c>
      <c r="O70" s="39">
        <v>3</v>
      </c>
      <c r="P70" s="39">
        <v>3</v>
      </c>
      <c r="Q70" s="39">
        <v>3</v>
      </c>
      <c r="R70" s="39">
        <v>3</v>
      </c>
      <c r="S70" s="39">
        <v>3</v>
      </c>
      <c r="T70" s="39">
        <v>3</v>
      </c>
      <c r="U70" s="39">
        <v>3</v>
      </c>
      <c r="V70" s="39">
        <v>3</v>
      </c>
      <c r="W70" s="39">
        <v>3</v>
      </c>
      <c r="X70" s="39">
        <v>3</v>
      </c>
      <c r="Y70" s="39">
        <v>3</v>
      </c>
      <c r="Z70" s="39">
        <v>3</v>
      </c>
      <c r="AA70" s="39">
        <v>3</v>
      </c>
      <c r="AB70" s="39"/>
      <c r="AC70" s="6"/>
      <c r="AD70" s="6"/>
      <c r="AE70" s="6"/>
      <c r="AF70" s="6"/>
      <c r="AG70" s="372">
        <f t="shared" ca="1" si="2"/>
        <v>0</v>
      </c>
      <c r="AI70" s="134"/>
      <c r="AJ70" s="134"/>
      <c r="AK70" s="1"/>
      <c r="AL70" s="32"/>
      <c r="AM70" s="445">
        <v>0</v>
      </c>
      <c r="AN70" s="19">
        <v>0</v>
      </c>
      <c r="AO70" s="19">
        <v>0</v>
      </c>
      <c r="AP70" s="19">
        <v>0</v>
      </c>
      <c r="AQ70" s="19"/>
      <c r="AR70" s="19"/>
      <c r="AS70" s="19"/>
      <c r="AT70" s="19"/>
      <c r="AU70" s="19"/>
      <c r="AV70" s="19"/>
      <c r="AW70" s="19"/>
      <c r="AX70" s="19">
        <v>1</v>
      </c>
      <c r="AY70" s="19"/>
      <c r="AZ70" s="19"/>
      <c r="BA70" s="19"/>
      <c r="BB70" s="19">
        <v>2</v>
      </c>
      <c r="BC70" s="19"/>
      <c r="BD70" s="117"/>
      <c r="BE70" s="117"/>
      <c r="BF70" s="117"/>
      <c r="BG70" s="19"/>
      <c r="BH70" s="19"/>
      <c r="BI70" s="117"/>
      <c r="BJ70" s="19"/>
    </row>
    <row r="71" spans="1:62" ht="18.75" x14ac:dyDescent="0.3">
      <c r="A71" s="95" t="s">
        <v>523</v>
      </c>
      <c r="B71" s="217">
        <v>1000</v>
      </c>
      <c r="C71" s="218">
        <v>70</v>
      </c>
      <c r="D71" s="234"/>
      <c r="F71" s="39">
        <v>1</v>
      </c>
      <c r="G71" s="39">
        <v>1</v>
      </c>
      <c r="H71" s="39">
        <v>2</v>
      </c>
      <c r="I71" s="39">
        <v>2</v>
      </c>
      <c r="J71" s="39">
        <v>2</v>
      </c>
      <c r="K71" s="39">
        <v>2</v>
      </c>
      <c r="L71" s="39">
        <v>2</v>
      </c>
      <c r="M71" s="39">
        <v>2</v>
      </c>
      <c r="N71" s="39">
        <v>2</v>
      </c>
      <c r="O71" s="39">
        <v>2</v>
      </c>
      <c r="P71" s="39">
        <v>2</v>
      </c>
      <c r="Q71" s="39">
        <v>2</v>
      </c>
      <c r="R71" s="39">
        <v>2</v>
      </c>
      <c r="S71" s="39">
        <v>2</v>
      </c>
      <c r="T71" s="39">
        <v>2</v>
      </c>
      <c r="U71" s="39">
        <v>2</v>
      </c>
      <c r="V71" s="39">
        <v>2</v>
      </c>
      <c r="W71" s="39">
        <v>2</v>
      </c>
      <c r="X71" s="39">
        <v>2</v>
      </c>
      <c r="Y71" s="39">
        <v>2</v>
      </c>
      <c r="Z71" s="39">
        <v>2</v>
      </c>
      <c r="AA71" s="39">
        <v>2</v>
      </c>
      <c r="AB71" s="39"/>
      <c r="AC71" s="6"/>
      <c r="AD71" s="6"/>
      <c r="AE71" s="6"/>
      <c r="AF71" s="6"/>
      <c r="AG71" s="372">
        <f t="shared" ca="1" si="2"/>
        <v>0</v>
      </c>
      <c r="AI71" s="134"/>
      <c r="AJ71" s="134"/>
      <c r="AK71" s="1"/>
      <c r="AL71" s="76"/>
      <c r="AM71" s="445">
        <v>0</v>
      </c>
      <c r="AN71" s="19">
        <v>0</v>
      </c>
      <c r="AO71" s="19">
        <v>0</v>
      </c>
      <c r="AP71" s="19">
        <v>0</v>
      </c>
      <c r="AQ71" s="19"/>
      <c r="AR71" s="19"/>
      <c r="AS71" s="19"/>
      <c r="AT71" s="19"/>
      <c r="AU71" s="19"/>
      <c r="AV71" s="19"/>
      <c r="AW71" s="19"/>
      <c r="AX71" s="19">
        <v>1</v>
      </c>
      <c r="AY71" s="19"/>
      <c r="AZ71" s="19"/>
      <c r="BA71" s="19"/>
      <c r="BB71" s="19">
        <v>2</v>
      </c>
      <c r="BC71" s="19"/>
      <c r="BD71" s="117"/>
      <c r="BE71" s="117"/>
      <c r="BF71" s="117"/>
      <c r="BG71" s="19"/>
      <c r="BH71" s="19"/>
      <c r="BI71" s="117"/>
      <c r="BJ71" s="19"/>
    </row>
    <row r="72" spans="1:62" ht="18.75" x14ac:dyDescent="0.3">
      <c r="A72" s="95" t="s">
        <v>524</v>
      </c>
      <c r="B72" s="219">
        <v>2000</v>
      </c>
      <c r="C72" s="218">
        <v>71</v>
      </c>
      <c r="D72" s="234"/>
      <c r="F72" s="39">
        <v>0</v>
      </c>
      <c r="G72" s="39">
        <v>0</v>
      </c>
      <c r="H72" s="39">
        <v>0</v>
      </c>
      <c r="I72" s="39">
        <v>0</v>
      </c>
      <c r="J72" s="39">
        <v>0</v>
      </c>
      <c r="K72" s="39">
        <v>0</v>
      </c>
      <c r="L72" s="39">
        <v>0</v>
      </c>
      <c r="M72" s="39">
        <v>0</v>
      </c>
      <c r="N72" s="39">
        <v>0</v>
      </c>
      <c r="O72" s="39">
        <v>0</v>
      </c>
      <c r="P72" s="39">
        <v>0</v>
      </c>
      <c r="Q72" s="39">
        <v>0</v>
      </c>
      <c r="R72" s="39">
        <v>0</v>
      </c>
      <c r="S72" s="39">
        <v>0</v>
      </c>
      <c r="T72" s="39">
        <v>0</v>
      </c>
      <c r="U72" s="39">
        <v>0</v>
      </c>
      <c r="V72" s="39">
        <v>0</v>
      </c>
      <c r="W72" s="39">
        <v>0</v>
      </c>
      <c r="X72" s="39">
        <v>0</v>
      </c>
      <c r="Y72" s="39">
        <v>0</v>
      </c>
      <c r="Z72" s="39">
        <v>0</v>
      </c>
      <c r="AA72" s="39">
        <v>0</v>
      </c>
      <c r="AB72" s="39"/>
      <c r="AC72" s="6"/>
      <c r="AD72" s="6"/>
      <c r="AE72" s="6"/>
      <c r="AF72" s="6"/>
      <c r="AG72" s="372">
        <f t="shared" ca="1" si="2"/>
        <v>0</v>
      </c>
      <c r="AI72" s="134"/>
      <c r="AJ72" s="134"/>
      <c r="AK72" s="1"/>
      <c r="AL72" s="76"/>
      <c r="AM72" s="445">
        <v>0</v>
      </c>
      <c r="AN72" s="19">
        <v>0</v>
      </c>
      <c r="AO72" s="19">
        <v>0</v>
      </c>
      <c r="AP72" s="19">
        <v>0</v>
      </c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17"/>
      <c r="BE72" s="117"/>
      <c r="BF72" s="117"/>
      <c r="BG72" s="19"/>
      <c r="BH72" s="19"/>
      <c r="BI72" s="117"/>
      <c r="BJ72" s="19"/>
    </row>
    <row r="73" spans="1:62" ht="18.75" x14ac:dyDescent="0.3">
      <c r="A73" s="95" t="s">
        <v>464</v>
      </c>
      <c r="B73" s="217">
        <v>200</v>
      </c>
      <c r="C73" s="218">
        <v>184.13</v>
      </c>
      <c r="D73" s="234"/>
      <c r="F73" s="39">
        <v>1</v>
      </c>
      <c r="G73" s="39">
        <v>1</v>
      </c>
      <c r="H73" s="39">
        <v>1</v>
      </c>
      <c r="I73" s="39">
        <v>1</v>
      </c>
      <c r="J73" s="39">
        <v>1</v>
      </c>
      <c r="K73" s="39">
        <v>1</v>
      </c>
      <c r="L73" s="39">
        <v>1</v>
      </c>
      <c r="M73" s="39">
        <v>1</v>
      </c>
      <c r="N73" s="39">
        <v>0</v>
      </c>
      <c r="O73" s="39">
        <v>0</v>
      </c>
      <c r="P73" s="39">
        <v>0</v>
      </c>
      <c r="Q73" s="39">
        <v>0</v>
      </c>
      <c r="R73" s="39">
        <v>0</v>
      </c>
      <c r="S73" s="39">
        <v>0</v>
      </c>
      <c r="T73" s="39">
        <v>0</v>
      </c>
      <c r="U73" s="39">
        <v>0</v>
      </c>
      <c r="V73" s="39"/>
      <c r="W73" s="39"/>
      <c r="X73" s="39"/>
      <c r="Y73" s="39"/>
      <c r="Z73" s="39"/>
      <c r="AA73" s="39">
        <v>0</v>
      </c>
      <c r="AB73" s="39">
        <v>0</v>
      </c>
      <c r="AC73" s="6">
        <v>0</v>
      </c>
      <c r="AD73" s="6">
        <v>0</v>
      </c>
      <c r="AE73" s="6">
        <v>0</v>
      </c>
      <c r="AF73" s="6">
        <v>0</v>
      </c>
      <c r="AG73" s="372">
        <f t="shared" ca="1" si="2"/>
        <v>0</v>
      </c>
      <c r="AI73" s="134"/>
      <c r="AJ73" s="134"/>
      <c r="AK73" s="1"/>
      <c r="AL73" s="76"/>
      <c r="AM73" s="445">
        <v>0</v>
      </c>
      <c r="AN73" s="19">
        <v>0</v>
      </c>
      <c r="AO73" s="19">
        <v>0</v>
      </c>
      <c r="AP73" s="19">
        <v>0</v>
      </c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17"/>
      <c r="BE73" s="117"/>
      <c r="BF73" s="117"/>
      <c r="BG73" s="19"/>
      <c r="BH73" s="19"/>
      <c r="BI73" s="253" t="s">
        <v>521</v>
      </c>
      <c r="BJ73" s="19"/>
    </row>
    <row r="74" spans="1:62" ht="18.75" x14ac:dyDescent="0.3">
      <c r="A74" s="95" t="s">
        <v>465</v>
      </c>
      <c r="B74" s="217">
        <v>150</v>
      </c>
      <c r="C74" s="218">
        <v>181.4</v>
      </c>
      <c r="D74" s="234"/>
      <c r="F74" s="39">
        <v>3</v>
      </c>
      <c r="G74" s="39">
        <v>3</v>
      </c>
      <c r="H74" s="39">
        <v>3</v>
      </c>
      <c r="I74" s="39">
        <v>3</v>
      </c>
      <c r="J74" s="39">
        <v>3</v>
      </c>
      <c r="K74" s="39">
        <v>3</v>
      </c>
      <c r="L74" s="39">
        <v>3</v>
      </c>
      <c r="M74" s="39">
        <v>3</v>
      </c>
      <c r="N74" s="39">
        <v>2</v>
      </c>
      <c r="O74" s="39">
        <v>2</v>
      </c>
      <c r="P74" s="39">
        <v>2</v>
      </c>
      <c r="Q74" s="39">
        <v>2</v>
      </c>
      <c r="R74" s="39">
        <v>2</v>
      </c>
      <c r="S74" s="39">
        <v>2</v>
      </c>
      <c r="T74" s="39">
        <v>2</v>
      </c>
      <c r="U74" s="39">
        <v>2</v>
      </c>
      <c r="V74" s="39"/>
      <c r="W74" s="39"/>
      <c r="X74" s="39"/>
      <c r="Y74" s="39"/>
      <c r="Z74" s="39"/>
      <c r="AA74" s="39">
        <v>2</v>
      </c>
      <c r="AB74" s="39">
        <v>2</v>
      </c>
      <c r="AC74" s="6">
        <v>2</v>
      </c>
      <c r="AD74" s="6">
        <v>2</v>
      </c>
      <c r="AE74" s="6">
        <v>2</v>
      </c>
      <c r="AF74" s="6">
        <v>2</v>
      </c>
      <c r="AG74" s="372">
        <f t="shared" ca="1" si="2"/>
        <v>0</v>
      </c>
      <c r="AI74" s="134"/>
      <c r="AJ74" s="134"/>
      <c r="AK74" s="1"/>
      <c r="AL74" s="76"/>
      <c r="AM74" s="445">
        <v>0</v>
      </c>
      <c r="AN74" s="19">
        <v>0</v>
      </c>
      <c r="AO74" s="19">
        <v>0</v>
      </c>
      <c r="AP74" s="19">
        <v>0</v>
      </c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17"/>
      <c r="BE74" s="117"/>
      <c r="BF74" s="117"/>
      <c r="BG74" s="19"/>
      <c r="BH74" s="19"/>
      <c r="BI74" s="253" t="s">
        <v>506</v>
      </c>
      <c r="BJ74" s="19"/>
    </row>
    <row r="75" spans="1:62" ht="18.75" x14ac:dyDescent="0.3">
      <c r="A75" s="95" t="s">
        <v>466</v>
      </c>
      <c r="B75" s="217" t="s">
        <v>467</v>
      </c>
      <c r="C75" s="218" t="s">
        <v>467</v>
      </c>
      <c r="D75" s="234"/>
      <c r="F75" s="39">
        <v>0</v>
      </c>
      <c r="G75" s="39">
        <v>0</v>
      </c>
      <c r="H75" s="39">
        <v>0</v>
      </c>
      <c r="I75" s="39">
        <v>0</v>
      </c>
      <c r="J75" s="39">
        <v>0</v>
      </c>
      <c r="K75" s="39">
        <v>0</v>
      </c>
      <c r="L75" s="39">
        <v>0</v>
      </c>
      <c r="M75" s="39">
        <v>0</v>
      </c>
      <c r="N75" s="39">
        <v>0</v>
      </c>
      <c r="O75" s="39">
        <v>0</v>
      </c>
      <c r="P75" s="39">
        <v>0</v>
      </c>
      <c r="Q75" s="39">
        <v>0</v>
      </c>
      <c r="R75" s="39">
        <v>0</v>
      </c>
      <c r="S75" s="39">
        <v>0</v>
      </c>
      <c r="T75" s="39">
        <v>0</v>
      </c>
      <c r="U75" s="39">
        <v>0</v>
      </c>
      <c r="V75" s="39"/>
      <c r="W75" s="39"/>
      <c r="X75" s="39"/>
      <c r="Y75" s="39"/>
      <c r="Z75" s="39"/>
      <c r="AA75" s="39">
        <v>0</v>
      </c>
      <c r="AB75" s="39">
        <v>0</v>
      </c>
      <c r="AC75" s="6">
        <v>0</v>
      </c>
      <c r="AD75" s="6">
        <v>0</v>
      </c>
      <c r="AE75" s="6">
        <v>0</v>
      </c>
      <c r="AF75" s="6">
        <v>0</v>
      </c>
      <c r="AG75" s="372">
        <f t="shared" ca="1" si="2"/>
        <v>0</v>
      </c>
      <c r="AI75" s="134"/>
      <c r="AJ75" s="134"/>
      <c r="AK75" s="1"/>
      <c r="AL75" s="76"/>
      <c r="AM75" s="445">
        <v>0</v>
      </c>
      <c r="AN75" s="19">
        <v>0</v>
      </c>
      <c r="AO75" s="19">
        <v>0</v>
      </c>
      <c r="AP75" s="19">
        <v>0</v>
      </c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17"/>
      <c r="BE75" s="117"/>
      <c r="BF75" s="117"/>
      <c r="BG75" s="19"/>
      <c r="BH75" s="19"/>
      <c r="BI75" s="117"/>
      <c r="BJ75" s="19"/>
    </row>
    <row r="76" spans="1:62" ht="18.75" x14ac:dyDescent="0.3">
      <c r="A76" s="95" t="s">
        <v>468</v>
      </c>
      <c r="B76" s="217">
        <v>150</v>
      </c>
      <c r="C76" s="218">
        <v>400.5</v>
      </c>
      <c r="D76" s="234"/>
      <c r="F76" s="39">
        <v>0</v>
      </c>
      <c r="G76" s="39">
        <v>0</v>
      </c>
      <c r="H76" s="39">
        <v>0</v>
      </c>
      <c r="I76" s="39">
        <v>0</v>
      </c>
      <c r="J76" s="39">
        <v>0</v>
      </c>
      <c r="K76" s="39">
        <v>0</v>
      </c>
      <c r="L76" s="39">
        <v>0</v>
      </c>
      <c r="M76" s="39">
        <v>0</v>
      </c>
      <c r="N76" s="206">
        <v>9</v>
      </c>
      <c r="O76" s="39">
        <v>9</v>
      </c>
      <c r="P76" s="39">
        <v>9</v>
      </c>
      <c r="Q76" s="39">
        <v>9</v>
      </c>
      <c r="R76" s="39">
        <v>9</v>
      </c>
      <c r="S76" s="39">
        <v>6</v>
      </c>
      <c r="T76" s="39">
        <v>6</v>
      </c>
      <c r="U76" s="39">
        <v>6</v>
      </c>
      <c r="V76" s="39"/>
      <c r="W76" s="39"/>
      <c r="X76" s="39"/>
      <c r="Y76" s="39"/>
      <c r="Z76" s="39"/>
      <c r="AA76" s="39">
        <v>6</v>
      </c>
      <c r="AB76" s="39">
        <v>6</v>
      </c>
      <c r="AC76" s="6">
        <v>6</v>
      </c>
      <c r="AD76" s="6">
        <v>6</v>
      </c>
      <c r="AE76" s="6">
        <v>6</v>
      </c>
      <c r="AF76" s="6">
        <v>6</v>
      </c>
      <c r="AG76" s="372">
        <f t="shared" ca="1" si="2"/>
        <v>0</v>
      </c>
      <c r="AI76" s="134" t="s">
        <v>525</v>
      </c>
      <c r="AJ76" s="134"/>
      <c r="AK76" s="1"/>
      <c r="AL76" s="76"/>
      <c r="AM76" s="445">
        <v>0</v>
      </c>
      <c r="AN76" s="19">
        <v>0</v>
      </c>
      <c r="AO76" s="19">
        <v>0</v>
      </c>
      <c r="AP76" s="19">
        <v>0</v>
      </c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17"/>
      <c r="BE76" s="117"/>
      <c r="BF76" s="117"/>
      <c r="BG76" s="19"/>
      <c r="BH76" s="19"/>
      <c r="BI76" s="253" t="s">
        <v>502</v>
      </c>
      <c r="BJ76" s="19"/>
    </row>
    <row r="77" spans="1:62" ht="18.75" x14ac:dyDescent="0.3">
      <c r="A77" s="95" t="s">
        <v>469</v>
      </c>
      <c r="B77" s="217">
        <v>100</v>
      </c>
      <c r="C77" s="218">
        <v>365</v>
      </c>
      <c r="D77" s="234"/>
      <c r="F77" s="39">
        <v>0</v>
      </c>
      <c r="G77" s="39">
        <v>0</v>
      </c>
      <c r="H77" s="39">
        <v>0</v>
      </c>
      <c r="I77" s="39">
        <v>0</v>
      </c>
      <c r="J77" s="39">
        <v>0</v>
      </c>
      <c r="K77" s="39">
        <v>0</v>
      </c>
      <c r="L77" s="39">
        <v>0</v>
      </c>
      <c r="M77" s="39">
        <v>0</v>
      </c>
      <c r="N77" s="39">
        <v>0</v>
      </c>
      <c r="O77" s="39">
        <v>0</v>
      </c>
      <c r="P77" s="39">
        <v>0</v>
      </c>
      <c r="Q77" s="39">
        <v>0</v>
      </c>
      <c r="R77" s="39">
        <v>0</v>
      </c>
      <c r="S77" s="39">
        <v>0</v>
      </c>
      <c r="T77" s="39">
        <v>0</v>
      </c>
      <c r="U77" s="39">
        <v>0</v>
      </c>
      <c r="V77" s="39"/>
      <c r="W77" s="39"/>
      <c r="X77" s="39"/>
      <c r="Y77" s="39"/>
      <c r="Z77" s="39"/>
      <c r="AA77" s="39">
        <v>0</v>
      </c>
      <c r="AB77" s="39">
        <v>0</v>
      </c>
      <c r="AC77" s="6">
        <v>0</v>
      </c>
      <c r="AD77" s="6">
        <v>0</v>
      </c>
      <c r="AE77" s="6">
        <v>0</v>
      </c>
      <c r="AF77" s="6">
        <v>0</v>
      </c>
      <c r="AG77" s="372">
        <f t="shared" ca="1" si="2"/>
        <v>0</v>
      </c>
      <c r="AI77" s="134"/>
      <c r="AJ77" s="134"/>
      <c r="AK77" s="1"/>
      <c r="AL77" s="76"/>
      <c r="AM77" s="445">
        <v>0</v>
      </c>
      <c r="AN77" s="19">
        <v>0</v>
      </c>
      <c r="AO77" s="19">
        <v>0</v>
      </c>
      <c r="AP77" s="19">
        <v>0</v>
      </c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17"/>
      <c r="BE77" s="117"/>
      <c r="BF77" s="117"/>
      <c r="BG77" s="19"/>
      <c r="BH77" s="19"/>
      <c r="BI77" s="117"/>
      <c r="BJ77" s="19"/>
    </row>
    <row r="78" spans="1:62" ht="18.75" x14ac:dyDescent="0.3">
      <c r="A78" s="95" t="s">
        <v>470</v>
      </c>
      <c r="B78" s="217">
        <v>75</v>
      </c>
      <c r="C78" s="218">
        <v>438.75</v>
      </c>
      <c r="D78" s="234"/>
      <c r="F78" s="39">
        <v>10</v>
      </c>
      <c r="G78" s="39">
        <v>10</v>
      </c>
      <c r="H78" s="39">
        <v>10</v>
      </c>
      <c r="I78" s="39">
        <v>10</v>
      </c>
      <c r="J78" s="39">
        <v>10</v>
      </c>
      <c r="K78" s="39">
        <v>10</v>
      </c>
      <c r="L78" s="39">
        <v>10</v>
      </c>
      <c r="M78" s="39">
        <v>10</v>
      </c>
      <c r="N78" s="39">
        <v>10</v>
      </c>
      <c r="O78" s="39">
        <v>10</v>
      </c>
      <c r="P78" s="39">
        <v>10</v>
      </c>
      <c r="Q78" s="39">
        <v>10</v>
      </c>
      <c r="R78" s="39">
        <v>10</v>
      </c>
      <c r="S78" s="39">
        <v>10</v>
      </c>
      <c r="T78" s="39">
        <v>10</v>
      </c>
      <c r="U78" s="39">
        <v>10</v>
      </c>
      <c r="V78" s="39"/>
      <c r="W78" s="39"/>
      <c r="X78" s="39"/>
      <c r="Y78" s="39"/>
      <c r="Z78" s="39"/>
      <c r="AA78" s="39">
        <v>10</v>
      </c>
      <c r="AB78" s="39">
        <v>10</v>
      </c>
      <c r="AC78" s="6">
        <v>10</v>
      </c>
      <c r="AD78" s="6">
        <v>10</v>
      </c>
      <c r="AE78" s="6">
        <v>10</v>
      </c>
      <c r="AF78" s="6">
        <v>10</v>
      </c>
      <c r="AG78" s="372">
        <f t="shared" ca="1" si="2"/>
        <v>0</v>
      </c>
      <c r="AI78" s="134"/>
      <c r="AJ78" s="134"/>
      <c r="AK78" s="1"/>
      <c r="AL78" s="76"/>
      <c r="AM78" s="445">
        <v>0</v>
      </c>
      <c r="AN78" s="19">
        <v>0</v>
      </c>
      <c r="AO78" s="19">
        <v>0</v>
      </c>
      <c r="AP78" s="19">
        <v>0</v>
      </c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17"/>
      <c r="BE78" s="117"/>
      <c r="BF78" s="117"/>
      <c r="BG78" s="19"/>
      <c r="BH78" s="19"/>
      <c r="BI78" s="253" t="s">
        <v>502</v>
      </c>
      <c r="BJ78" s="19"/>
    </row>
    <row r="79" spans="1:62" ht="18.75" x14ac:dyDescent="0.3">
      <c r="B79" s="41"/>
      <c r="C79" s="120"/>
      <c r="D79" s="120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1"/>
      <c r="AD79" s="1"/>
      <c r="AE79" s="1"/>
      <c r="AF79" s="1"/>
      <c r="AG79" s="2"/>
      <c r="AI79" s="75"/>
      <c r="AJ79" s="75"/>
      <c r="AK79" s="1"/>
      <c r="AL79" s="15"/>
      <c r="AM79" s="388"/>
      <c r="AN79" s="75"/>
      <c r="AO79" s="75"/>
      <c r="AP79" s="75"/>
      <c r="AQ79" s="75"/>
      <c r="AR79" s="75"/>
      <c r="AS79" s="75"/>
      <c r="AT79" s="75"/>
      <c r="AU79" s="75"/>
      <c r="AV79" s="75"/>
      <c r="AW79" s="75"/>
      <c r="AX79" s="75"/>
      <c r="AY79" s="75"/>
      <c r="AZ79" s="75"/>
      <c r="BA79" s="75"/>
      <c r="BB79" s="75"/>
      <c r="BC79" s="75"/>
      <c r="BD79" s="201"/>
      <c r="BE79" s="201"/>
      <c r="BF79" s="201"/>
      <c r="BG79" s="75"/>
      <c r="BH79" s="75"/>
      <c r="BI79" s="201"/>
      <c r="BJ79" s="75"/>
    </row>
    <row r="80" spans="1:62" ht="18.75" x14ac:dyDescent="0.25">
      <c r="A80" s="270" t="s">
        <v>478</v>
      </c>
      <c r="B80" s="271" t="s">
        <v>151</v>
      </c>
      <c r="C80" s="271" t="s">
        <v>152</v>
      </c>
      <c r="D80" s="271"/>
      <c r="F80" s="13">
        <v>46006</v>
      </c>
      <c r="G80" s="13">
        <v>46013</v>
      </c>
      <c r="H80" s="13">
        <v>46020</v>
      </c>
      <c r="I80" s="13">
        <v>46027</v>
      </c>
      <c r="J80" s="13">
        <v>46034</v>
      </c>
      <c r="K80" s="13">
        <v>46041</v>
      </c>
      <c r="L80" s="13">
        <v>46048</v>
      </c>
      <c r="M80" s="13">
        <v>46055</v>
      </c>
      <c r="N80" s="13">
        <v>46062</v>
      </c>
      <c r="O80" s="13">
        <v>46069</v>
      </c>
      <c r="P80" s="13">
        <v>46076</v>
      </c>
      <c r="Q80" s="13">
        <v>46083</v>
      </c>
      <c r="R80" s="13">
        <v>46090</v>
      </c>
      <c r="S80" s="13">
        <v>46097</v>
      </c>
      <c r="T80" s="13">
        <v>46104</v>
      </c>
      <c r="U80" s="13">
        <v>46111</v>
      </c>
      <c r="V80" s="13">
        <v>46118</v>
      </c>
      <c r="W80" s="13">
        <v>46125</v>
      </c>
      <c r="X80" s="13">
        <v>46132</v>
      </c>
      <c r="Y80" s="13">
        <v>46139</v>
      </c>
      <c r="Z80" s="13">
        <v>46146</v>
      </c>
      <c r="AA80" s="13">
        <v>46154</v>
      </c>
      <c r="AB80" s="13">
        <v>46160</v>
      </c>
      <c r="AC80" s="13">
        <v>46161.480136331018</v>
      </c>
      <c r="AD80" s="13">
        <v>46161.48080996528</v>
      </c>
      <c r="AE80" s="13">
        <v>46161.482967465279</v>
      </c>
      <c r="AF80" s="13">
        <v>46161.483295548947</v>
      </c>
      <c r="AG80" s="35" t="s">
        <v>129</v>
      </c>
      <c r="BD80" s="204"/>
      <c r="BE80" s="204"/>
      <c r="BF80" s="204"/>
      <c r="BI80" s="204"/>
    </row>
    <row r="81" spans="1:62" ht="18.75" x14ac:dyDescent="0.25">
      <c r="A81" s="25" t="s">
        <v>138</v>
      </c>
      <c r="B81" s="6">
        <v>200</v>
      </c>
      <c r="C81" s="66">
        <v>336</v>
      </c>
      <c r="D81" s="234"/>
      <c r="F81" s="39">
        <v>124</v>
      </c>
      <c r="G81" s="39">
        <v>124</v>
      </c>
      <c r="H81" s="39">
        <v>124</v>
      </c>
      <c r="I81" s="39">
        <v>124</v>
      </c>
      <c r="J81" s="39">
        <v>124</v>
      </c>
      <c r="K81" s="39">
        <v>124</v>
      </c>
      <c r="L81" s="39">
        <v>124</v>
      </c>
      <c r="M81" s="39">
        <v>124</v>
      </c>
      <c r="N81" s="39">
        <v>142</v>
      </c>
      <c r="O81" s="39">
        <v>142</v>
      </c>
      <c r="P81" s="39">
        <v>142</v>
      </c>
      <c r="Q81" s="39">
        <v>142</v>
      </c>
      <c r="R81" s="39">
        <v>131</v>
      </c>
      <c r="S81" s="39">
        <v>123</v>
      </c>
      <c r="T81" s="39">
        <v>123</v>
      </c>
      <c r="U81" s="39">
        <v>123</v>
      </c>
      <c r="V81" s="39"/>
      <c r="W81" s="39"/>
      <c r="X81" s="39"/>
      <c r="Y81" s="39"/>
      <c r="Z81" s="39"/>
      <c r="AA81" s="39">
        <v>24</v>
      </c>
      <c r="AB81" s="39">
        <v>13</v>
      </c>
      <c r="AC81" s="6">
        <v>13</v>
      </c>
      <c r="AD81" s="6">
        <v>13</v>
      </c>
      <c r="AE81" s="6">
        <v>13</v>
      </c>
      <c r="AF81" s="6">
        <v>13</v>
      </c>
      <c r="AG81" s="372">
        <f ca="1">AE81+IF(NOT(ISBLANK(OFFSET(AG81,0,6))),N(OFFSET(AG81,0,6)),N(OFFSET(AG81,0,7)))-AF81</f>
        <v>0</v>
      </c>
      <c r="BD81" s="204"/>
      <c r="BE81" s="204"/>
      <c r="BF81" s="204"/>
      <c r="BI81" s="204"/>
    </row>
    <row r="82" spans="1:62" ht="18.75" x14ac:dyDescent="0.3">
      <c r="A82" s="25" t="s">
        <v>143</v>
      </c>
      <c r="B82" s="6">
        <v>200</v>
      </c>
      <c r="C82" s="66">
        <v>54</v>
      </c>
      <c r="D82" s="234"/>
      <c r="F82" s="39">
        <v>138</v>
      </c>
      <c r="G82" s="39">
        <v>137</v>
      </c>
      <c r="H82" s="39">
        <v>137</v>
      </c>
      <c r="I82" s="39">
        <v>137</v>
      </c>
      <c r="J82" s="39">
        <v>137</v>
      </c>
      <c r="K82" s="39">
        <v>137</v>
      </c>
      <c r="L82" s="39">
        <v>137</v>
      </c>
      <c r="M82" s="39">
        <v>137</v>
      </c>
      <c r="N82" s="39">
        <v>143</v>
      </c>
      <c r="O82" s="39">
        <v>143</v>
      </c>
      <c r="P82" s="39">
        <v>143</v>
      </c>
      <c r="Q82" s="39">
        <v>143</v>
      </c>
      <c r="R82" s="39">
        <v>143</v>
      </c>
      <c r="S82" s="39">
        <v>140</v>
      </c>
      <c r="T82" s="39">
        <v>140</v>
      </c>
      <c r="U82" s="39">
        <v>140</v>
      </c>
      <c r="V82" s="39"/>
      <c r="W82" s="39"/>
      <c r="X82" s="39"/>
      <c r="Y82" s="39"/>
      <c r="Z82" s="39"/>
      <c r="AA82" s="39">
        <v>130</v>
      </c>
      <c r="AB82" s="39">
        <v>130</v>
      </c>
      <c r="AC82" s="6">
        <v>130</v>
      </c>
      <c r="AD82" s="6">
        <v>130</v>
      </c>
      <c r="AE82" s="6">
        <v>130</v>
      </c>
      <c r="AF82" s="6">
        <v>130</v>
      </c>
      <c r="AG82" s="372">
        <f ca="1">AE82+IF(NOT(ISBLANK(OFFSET(AG82,0,6))),N(OFFSET(AG82,0,6)),N(OFFSET(AG82,0,7)))-AF82</f>
        <v>0</v>
      </c>
      <c r="AH82" s="11"/>
      <c r="AI82" s="75"/>
      <c r="AJ82" s="75"/>
      <c r="AK82" s="1"/>
      <c r="AL82" s="15"/>
      <c r="AM82" s="388"/>
      <c r="AN82" s="75"/>
      <c r="AO82" s="75"/>
      <c r="AP82" s="75"/>
      <c r="AQ82" s="75"/>
      <c r="AR82" s="75"/>
      <c r="AS82" s="75"/>
      <c r="AT82" s="75"/>
      <c r="AU82" s="75"/>
      <c r="AV82" s="75"/>
      <c r="AW82" s="75"/>
      <c r="AX82" s="75"/>
      <c r="AY82" s="75"/>
      <c r="AZ82" s="75"/>
      <c r="BA82" s="75"/>
      <c r="BB82" s="75"/>
      <c r="BC82" s="75"/>
      <c r="BD82" s="201"/>
      <c r="BE82" s="201"/>
      <c r="BF82" s="201"/>
      <c r="BG82" s="75"/>
      <c r="BH82" s="75"/>
      <c r="BI82" s="201"/>
      <c r="BJ82" s="75"/>
    </row>
    <row r="83" spans="1:62" ht="18.75" x14ac:dyDescent="0.3">
      <c r="A83" s="25" t="s">
        <v>479</v>
      </c>
      <c r="B83" s="6">
        <v>200</v>
      </c>
      <c r="C83" s="66">
        <v>40</v>
      </c>
      <c r="D83" s="234"/>
      <c r="F83" s="39">
        <v>2</v>
      </c>
      <c r="G83" s="39">
        <v>2</v>
      </c>
      <c r="H83" s="39">
        <v>2</v>
      </c>
      <c r="I83" s="39">
        <v>2</v>
      </c>
      <c r="J83" s="39">
        <v>2</v>
      </c>
      <c r="K83" s="39">
        <v>2</v>
      </c>
      <c r="L83" s="39">
        <v>1</v>
      </c>
      <c r="M83" s="39">
        <v>1</v>
      </c>
      <c r="N83" s="39">
        <v>1</v>
      </c>
      <c r="O83" s="39">
        <v>1</v>
      </c>
      <c r="P83" s="39">
        <v>1</v>
      </c>
      <c r="Q83" s="39">
        <v>1</v>
      </c>
      <c r="R83" s="39">
        <v>1</v>
      </c>
      <c r="S83" s="39">
        <v>1</v>
      </c>
      <c r="T83" s="39">
        <v>1</v>
      </c>
      <c r="U83" s="39">
        <v>0</v>
      </c>
      <c r="V83" s="39"/>
      <c r="W83" s="39"/>
      <c r="X83" s="39"/>
      <c r="Y83" s="39"/>
      <c r="Z83" s="39"/>
      <c r="AA83" s="39">
        <v>0</v>
      </c>
      <c r="AB83" s="39">
        <v>0</v>
      </c>
      <c r="AC83" s="6">
        <v>0</v>
      </c>
      <c r="AD83" s="6">
        <v>0</v>
      </c>
      <c r="AE83" s="6">
        <v>0</v>
      </c>
      <c r="AF83" s="6">
        <v>0</v>
      </c>
      <c r="AG83" s="372">
        <f ca="1">AE83+IF(NOT(ISBLANK(OFFSET(AG83,0,6))),N(OFFSET(AG83,0,6)),N(OFFSET(AG83,0,7)))-AF83</f>
        <v>0</v>
      </c>
      <c r="AH83" s="11"/>
      <c r="AI83" s="75"/>
      <c r="AJ83" s="75"/>
      <c r="AK83" s="1"/>
      <c r="AL83" s="15"/>
      <c r="AM83" s="388"/>
      <c r="AN83" s="75"/>
      <c r="AO83" s="75"/>
      <c r="AP83" s="75"/>
      <c r="AQ83" s="75"/>
      <c r="AR83" s="75"/>
      <c r="AS83" s="75"/>
      <c r="AT83" s="75"/>
      <c r="AU83" s="75"/>
      <c r="AV83" s="75"/>
      <c r="AW83" s="75"/>
      <c r="AX83" s="75"/>
      <c r="AY83" s="75"/>
      <c r="AZ83" s="75"/>
      <c r="BA83" s="75"/>
      <c r="BB83" s="75"/>
      <c r="BC83" s="75"/>
      <c r="BD83" s="201"/>
      <c r="BE83" s="201"/>
      <c r="BF83" s="201"/>
      <c r="BG83" s="75"/>
      <c r="BH83" s="75"/>
      <c r="BI83" s="201"/>
      <c r="BJ83" s="75"/>
    </row>
    <row r="84" spans="1:62" ht="18.75" x14ac:dyDescent="0.3">
      <c r="A84" s="153" t="s">
        <v>156</v>
      </c>
      <c r="B84" s="72">
        <v>100</v>
      </c>
      <c r="C84" s="77">
        <v>904</v>
      </c>
      <c r="D84" s="72"/>
      <c r="F84" s="39">
        <v>28</v>
      </c>
      <c r="G84" s="39">
        <v>25</v>
      </c>
      <c r="H84" s="39">
        <v>25</v>
      </c>
      <c r="I84" s="39">
        <v>25</v>
      </c>
      <c r="J84" s="39">
        <v>25</v>
      </c>
      <c r="K84" s="39">
        <v>25</v>
      </c>
      <c r="L84" s="39">
        <v>25</v>
      </c>
      <c r="M84" s="39">
        <v>25</v>
      </c>
      <c r="N84" s="39">
        <v>25</v>
      </c>
      <c r="O84" s="39">
        <v>25</v>
      </c>
      <c r="P84" s="39">
        <v>25</v>
      </c>
      <c r="Q84" s="39">
        <v>25</v>
      </c>
      <c r="R84" s="39">
        <v>25</v>
      </c>
      <c r="S84" s="39">
        <v>24</v>
      </c>
      <c r="T84" s="39">
        <v>24</v>
      </c>
      <c r="U84" s="39">
        <v>24</v>
      </c>
      <c r="V84" s="39"/>
      <c r="W84" s="39"/>
      <c r="X84" s="39"/>
      <c r="Y84" s="39"/>
      <c r="Z84" s="39"/>
      <c r="AA84" s="39">
        <v>23</v>
      </c>
      <c r="AB84" s="39">
        <v>23</v>
      </c>
      <c r="AC84" s="6">
        <v>23</v>
      </c>
      <c r="AD84" s="6">
        <v>23</v>
      </c>
      <c r="AE84" s="6">
        <v>23</v>
      </c>
      <c r="AF84" s="6">
        <v>23</v>
      </c>
      <c r="AG84" s="372">
        <f ca="1">AE84+IF(NOT(ISBLANK(OFFSET(AG84,0,6))),N(OFFSET(AG84,0,6)),N(OFFSET(AG84,0,7)))-AF84</f>
        <v>0</v>
      </c>
    </row>
    <row r="85" spans="1:62" ht="18.75" x14ac:dyDescent="0.3">
      <c r="A85" s="153" t="s">
        <v>158</v>
      </c>
      <c r="B85" s="72">
        <v>200</v>
      </c>
      <c r="C85" s="77">
        <v>464</v>
      </c>
      <c r="D85" s="72"/>
      <c r="F85" s="39">
        <v>30</v>
      </c>
      <c r="G85" s="39">
        <v>30</v>
      </c>
      <c r="H85" s="39">
        <v>29</v>
      </c>
      <c r="I85" s="39">
        <v>29</v>
      </c>
      <c r="J85" s="39">
        <v>29</v>
      </c>
      <c r="K85" s="39">
        <v>29</v>
      </c>
      <c r="L85" s="39">
        <v>29</v>
      </c>
      <c r="M85" s="39">
        <v>29</v>
      </c>
      <c r="N85" s="39">
        <v>29</v>
      </c>
      <c r="O85" s="39">
        <v>29</v>
      </c>
      <c r="P85" s="39">
        <v>29</v>
      </c>
      <c r="Q85" s="39">
        <v>29</v>
      </c>
      <c r="R85" s="39">
        <v>29</v>
      </c>
      <c r="S85" s="39">
        <v>28</v>
      </c>
      <c r="T85" s="39">
        <v>28</v>
      </c>
      <c r="U85" s="39">
        <v>28</v>
      </c>
      <c r="V85" s="39"/>
      <c r="W85" s="39"/>
      <c r="X85" s="39"/>
      <c r="Y85" s="39"/>
      <c r="Z85" s="39"/>
      <c r="AA85" s="39">
        <v>21</v>
      </c>
      <c r="AB85" s="39">
        <v>21</v>
      </c>
      <c r="AC85" s="6">
        <v>21</v>
      </c>
      <c r="AD85" s="6">
        <v>21</v>
      </c>
      <c r="AE85" s="6">
        <v>21</v>
      </c>
      <c r="AF85" s="6">
        <v>21</v>
      </c>
      <c r="AG85" s="372">
        <f ca="1">AE85+IF(NOT(ISBLANK(OFFSET(AG85,0,6))),N(OFFSET(AG85,0,6)),N(OFFSET(AG85,0,7)))-AF85</f>
        <v>0</v>
      </c>
    </row>
    <row r="87" spans="1:62" ht="18.75" x14ac:dyDescent="0.25">
      <c r="A87" s="272" t="s">
        <v>480</v>
      </c>
      <c r="B87" s="248" t="s">
        <v>151</v>
      </c>
      <c r="C87" s="248" t="s">
        <v>152</v>
      </c>
      <c r="D87" s="248"/>
      <c r="F87" s="13">
        <v>46006</v>
      </c>
      <c r="G87" s="13">
        <v>46013</v>
      </c>
      <c r="H87" s="13">
        <v>46020</v>
      </c>
      <c r="I87" s="13">
        <v>46027</v>
      </c>
      <c r="J87" s="13">
        <v>46034</v>
      </c>
      <c r="K87" s="13">
        <v>46041</v>
      </c>
      <c r="L87" s="13">
        <v>46048</v>
      </c>
      <c r="M87" s="13">
        <v>46055</v>
      </c>
      <c r="N87" s="13">
        <v>46062</v>
      </c>
      <c r="O87" s="13">
        <v>46069</v>
      </c>
      <c r="P87" s="13">
        <v>46076</v>
      </c>
      <c r="Q87" s="13">
        <v>46083</v>
      </c>
      <c r="R87" s="13">
        <v>46090</v>
      </c>
      <c r="S87" s="13">
        <v>46097</v>
      </c>
      <c r="T87" s="13">
        <v>46104</v>
      </c>
      <c r="U87" s="13">
        <v>46111</v>
      </c>
      <c r="V87" s="13">
        <v>46118</v>
      </c>
      <c r="W87" s="13">
        <v>46125</v>
      </c>
      <c r="X87" s="13">
        <v>46132</v>
      </c>
      <c r="Y87" s="13">
        <v>46139</v>
      </c>
      <c r="Z87" s="13">
        <v>46146</v>
      </c>
      <c r="AA87" s="13">
        <v>46154</v>
      </c>
      <c r="AB87" s="13">
        <v>46160</v>
      </c>
      <c r="AC87" s="13">
        <v>46161.480136331018</v>
      </c>
      <c r="AD87" s="13">
        <v>46161.48080996528</v>
      </c>
      <c r="AE87" s="13">
        <v>46161.482967465279</v>
      </c>
      <c r="AF87" s="13">
        <v>46161.483295549187</v>
      </c>
      <c r="AG87" s="35" t="s">
        <v>129</v>
      </c>
    </row>
    <row r="88" spans="1:62" ht="18.75" hidden="1" x14ac:dyDescent="0.25">
      <c r="A88" s="25" t="s">
        <v>419</v>
      </c>
      <c r="B88" s="6">
        <v>200</v>
      </c>
      <c r="C88" s="66">
        <v>274.2</v>
      </c>
      <c r="D88" s="234"/>
      <c r="F88" s="39">
        <v>99</v>
      </c>
      <c r="G88" s="39">
        <v>54</v>
      </c>
      <c r="H88" s="39">
        <v>40</v>
      </c>
      <c r="I88" s="39">
        <v>38</v>
      </c>
      <c r="J88" s="39">
        <v>28</v>
      </c>
      <c r="K88" s="39">
        <v>0</v>
      </c>
      <c r="L88" s="39">
        <v>0</v>
      </c>
      <c r="M88" s="39">
        <v>0</v>
      </c>
      <c r="N88" s="39">
        <v>0</v>
      </c>
      <c r="O88" s="39">
        <v>0</v>
      </c>
      <c r="P88" s="39">
        <v>0</v>
      </c>
      <c r="Q88" s="39">
        <v>0</v>
      </c>
      <c r="R88" s="39">
        <v>0</v>
      </c>
      <c r="S88" s="39">
        <v>0</v>
      </c>
      <c r="T88" s="39"/>
      <c r="U88" s="39"/>
      <c r="V88" s="39"/>
      <c r="W88" s="39"/>
      <c r="X88" s="39"/>
      <c r="Y88" s="39"/>
      <c r="Z88" s="39"/>
      <c r="AA88" s="39"/>
      <c r="AB88" s="39"/>
      <c r="AC88" s="6"/>
      <c r="AD88" s="6"/>
      <c r="AE88" s="6"/>
      <c r="AF88" s="6"/>
      <c r="AG88" s="26">
        <f t="shared" ref="AG88:AG95" ca="1" si="3">AE88+IF(NOT(ISBLANK(OFFSET(AG88,0,6))),N(OFFSET(AG88,0,6)),N(OFFSET(AG88,0,7)))-AF88</f>
        <v>0</v>
      </c>
    </row>
    <row r="89" spans="1:62" ht="18.75" hidden="1" x14ac:dyDescent="0.25">
      <c r="A89" s="25" t="s">
        <v>421</v>
      </c>
      <c r="B89" s="6">
        <v>200</v>
      </c>
      <c r="C89" s="66">
        <v>347.8</v>
      </c>
      <c r="D89" s="234"/>
      <c r="F89" s="39">
        <v>158</v>
      </c>
      <c r="G89" s="39">
        <v>141</v>
      </c>
      <c r="H89" s="39">
        <v>121</v>
      </c>
      <c r="I89" s="39">
        <v>121</v>
      </c>
      <c r="J89" s="39">
        <v>121</v>
      </c>
      <c r="K89" s="39">
        <v>0</v>
      </c>
      <c r="L89" s="39">
        <v>0</v>
      </c>
      <c r="M89" s="39">
        <v>0</v>
      </c>
      <c r="N89" s="39">
        <v>0</v>
      </c>
      <c r="O89" s="39">
        <v>0</v>
      </c>
      <c r="P89" s="39">
        <v>0</v>
      </c>
      <c r="Q89" s="39">
        <v>0</v>
      </c>
      <c r="R89" s="39">
        <v>0</v>
      </c>
      <c r="S89" s="39">
        <v>0</v>
      </c>
      <c r="T89" s="39"/>
      <c r="U89" s="39"/>
      <c r="V89" s="39"/>
      <c r="W89" s="39"/>
      <c r="X89" s="39"/>
      <c r="Y89" s="39"/>
      <c r="Z89" s="39"/>
      <c r="AA89" s="39"/>
      <c r="AB89" s="39"/>
      <c r="AC89" s="6"/>
      <c r="AD89" s="6"/>
      <c r="AE89" s="6"/>
      <c r="AF89" s="6"/>
      <c r="AG89" s="26">
        <f t="shared" ca="1" si="3"/>
        <v>0</v>
      </c>
    </row>
    <row r="90" spans="1:62" ht="18.75" hidden="1" x14ac:dyDescent="0.25">
      <c r="A90" s="25" t="s">
        <v>422</v>
      </c>
      <c r="B90" s="6">
        <v>100</v>
      </c>
      <c r="C90" s="66">
        <v>267</v>
      </c>
      <c r="D90" s="234"/>
      <c r="F90" s="39">
        <v>32</v>
      </c>
      <c r="G90" s="39">
        <v>28</v>
      </c>
      <c r="H90" s="39">
        <v>28</v>
      </c>
      <c r="I90" s="39">
        <v>27</v>
      </c>
      <c r="J90" s="39">
        <v>27</v>
      </c>
      <c r="K90" s="39">
        <v>0</v>
      </c>
      <c r="L90" s="39">
        <v>0</v>
      </c>
      <c r="M90" s="39">
        <v>0</v>
      </c>
      <c r="N90" s="39">
        <v>0</v>
      </c>
      <c r="O90" s="39">
        <v>0</v>
      </c>
      <c r="P90" s="39">
        <v>0</v>
      </c>
      <c r="Q90" s="39">
        <v>0</v>
      </c>
      <c r="R90" s="39">
        <v>0</v>
      </c>
      <c r="S90" s="39">
        <v>0</v>
      </c>
      <c r="T90" s="39"/>
      <c r="U90" s="39"/>
      <c r="V90" s="39"/>
      <c r="W90" s="39"/>
      <c r="X90" s="39"/>
      <c r="Y90" s="39"/>
      <c r="Z90" s="39"/>
      <c r="AA90" s="39"/>
      <c r="AB90" s="39"/>
      <c r="AC90" s="6"/>
      <c r="AD90" s="6"/>
      <c r="AE90" s="6"/>
      <c r="AF90" s="6"/>
      <c r="AG90" s="26">
        <f t="shared" ca="1" si="3"/>
        <v>0</v>
      </c>
    </row>
    <row r="91" spans="1:62" ht="18.75" hidden="1" x14ac:dyDescent="0.3">
      <c r="A91" s="153" t="s">
        <v>481</v>
      </c>
      <c r="B91" s="72">
        <v>200</v>
      </c>
      <c r="C91" s="77">
        <v>44.4</v>
      </c>
      <c r="D91" s="72"/>
      <c r="F91" s="39">
        <v>0</v>
      </c>
      <c r="G91" s="39">
        <v>0</v>
      </c>
      <c r="H91" s="39">
        <v>0</v>
      </c>
      <c r="I91" s="39">
        <v>0</v>
      </c>
      <c r="J91" s="39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/>
      <c r="U91" s="39"/>
      <c r="V91" s="39"/>
      <c r="W91" s="39"/>
      <c r="X91" s="39"/>
      <c r="Y91" s="39"/>
      <c r="Z91" s="39"/>
      <c r="AA91" s="39"/>
      <c r="AB91" s="39"/>
      <c r="AC91" s="6"/>
      <c r="AD91" s="6"/>
      <c r="AE91" s="6"/>
      <c r="AF91" s="6"/>
      <c r="AG91" s="26">
        <f t="shared" ca="1" si="3"/>
        <v>0</v>
      </c>
    </row>
    <row r="92" spans="1:62" ht="18.75" x14ac:dyDescent="0.3">
      <c r="A92" s="153" t="s">
        <v>154</v>
      </c>
      <c r="B92" s="72">
        <v>150</v>
      </c>
      <c r="C92" s="77">
        <v>805.35</v>
      </c>
      <c r="D92" s="72"/>
      <c r="F92" s="39">
        <v>32</v>
      </c>
      <c r="G92" s="39">
        <v>19</v>
      </c>
      <c r="H92" s="39">
        <v>18</v>
      </c>
      <c r="I92" s="39">
        <v>18</v>
      </c>
      <c r="J92" s="39">
        <v>18</v>
      </c>
      <c r="K92" s="39">
        <v>18</v>
      </c>
      <c r="L92" s="39">
        <v>18</v>
      </c>
      <c r="M92" s="39">
        <v>18</v>
      </c>
      <c r="N92" s="39">
        <v>16</v>
      </c>
      <c r="O92" s="39">
        <v>16</v>
      </c>
      <c r="P92" s="39">
        <v>16</v>
      </c>
      <c r="Q92" s="39">
        <v>16</v>
      </c>
      <c r="R92" s="39">
        <v>16</v>
      </c>
      <c r="S92" s="39">
        <v>16</v>
      </c>
      <c r="T92" s="39">
        <v>16</v>
      </c>
      <c r="U92" s="39">
        <v>16</v>
      </c>
      <c r="V92" s="39"/>
      <c r="W92" s="39"/>
      <c r="X92" s="39"/>
      <c r="Y92" s="39"/>
      <c r="Z92" s="39"/>
      <c r="AA92" s="39">
        <v>15</v>
      </c>
      <c r="AB92" s="39">
        <v>15</v>
      </c>
      <c r="AC92" s="6">
        <v>15</v>
      </c>
      <c r="AD92" s="6">
        <v>15</v>
      </c>
      <c r="AE92" s="6">
        <v>15</v>
      </c>
      <c r="AF92" s="6">
        <v>15</v>
      </c>
      <c r="AG92" s="372">
        <f t="shared" ca="1" si="3"/>
        <v>0</v>
      </c>
    </row>
    <row r="93" spans="1:62" ht="18.75" x14ac:dyDescent="0.3">
      <c r="A93" s="153" t="s">
        <v>156</v>
      </c>
      <c r="B93" s="72">
        <v>100</v>
      </c>
      <c r="C93" s="77">
        <v>792.2</v>
      </c>
      <c r="D93" s="72"/>
      <c r="F93" s="39">
        <v>58</v>
      </c>
      <c r="G93" s="39">
        <v>34</v>
      </c>
      <c r="H93" s="39">
        <v>34</v>
      </c>
      <c r="I93" s="39">
        <v>33</v>
      </c>
      <c r="J93" s="39">
        <v>33</v>
      </c>
      <c r="K93" s="39">
        <v>33</v>
      </c>
      <c r="L93" s="39">
        <v>33</v>
      </c>
      <c r="M93" s="39">
        <v>33</v>
      </c>
      <c r="N93" s="39">
        <v>23</v>
      </c>
      <c r="O93" s="39">
        <v>23</v>
      </c>
      <c r="P93" s="39">
        <v>23</v>
      </c>
      <c r="Q93" s="39">
        <v>23</v>
      </c>
      <c r="R93" s="39">
        <v>23</v>
      </c>
      <c r="S93" s="39">
        <v>22</v>
      </c>
      <c r="T93" s="39">
        <v>22</v>
      </c>
      <c r="U93" s="39">
        <v>22</v>
      </c>
      <c r="V93" s="39"/>
      <c r="W93" s="39"/>
      <c r="X93" s="39"/>
      <c r="Y93" s="39"/>
      <c r="Z93" s="39"/>
      <c r="AA93" s="39">
        <v>22</v>
      </c>
      <c r="AB93" s="39">
        <v>22</v>
      </c>
      <c r="AC93" s="6">
        <v>22</v>
      </c>
      <c r="AD93" s="6">
        <v>22</v>
      </c>
      <c r="AE93" s="6">
        <v>22</v>
      </c>
      <c r="AF93" s="6">
        <v>22</v>
      </c>
      <c r="AG93" s="372">
        <f t="shared" ca="1" si="3"/>
        <v>0</v>
      </c>
    </row>
    <row r="94" spans="1:62" ht="18.75" x14ac:dyDescent="0.3">
      <c r="A94" s="153" t="s">
        <v>158</v>
      </c>
      <c r="B94" s="72">
        <v>200</v>
      </c>
      <c r="C94" s="77">
        <v>487.2</v>
      </c>
      <c r="D94" s="72"/>
      <c r="F94" s="39">
        <v>6</v>
      </c>
      <c r="G94" s="39">
        <v>6</v>
      </c>
      <c r="H94" s="39">
        <v>6</v>
      </c>
      <c r="I94" s="39">
        <v>6</v>
      </c>
      <c r="J94" s="39">
        <v>6</v>
      </c>
      <c r="K94" s="39">
        <v>6</v>
      </c>
      <c r="L94" s="39">
        <v>6</v>
      </c>
      <c r="M94" s="39">
        <v>6</v>
      </c>
      <c r="N94" s="39">
        <v>1</v>
      </c>
      <c r="O94" s="39">
        <v>1</v>
      </c>
      <c r="P94" s="39">
        <v>1</v>
      </c>
      <c r="Q94" s="39">
        <v>1</v>
      </c>
      <c r="R94" s="39">
        <v>1</v>
      </c>
      <c r="S94" s="39">
        <v>1</v>
      </c>
      <c r="T94" s="39">
        <v>1</v>
      </c>
      <c r="U94" s="39">
        <v>1</v>
      </c>
      <c r="V94" s="39"/>
      <c r="W94" s="39"/>
      <c r="X94" s="39"/>
      <c r="Y94" s="39"/>
      <c r="Z94" s="39"/>
      <c r="AA94" s="39">
        <v>1</v>
      </c>
      <c r="AB94" s="39">
        <v>1</v>
      </c>
      <c r="AC94" s="6">
        <v>1</v>
      </c>
      <c r="AD94" s="6">
        <v>1</v>
      </c>
      <c r="AE94" s="6">
        <v>1</v>
      </c>
      <c r="AF94" s="6">
        <v>1</v>
      </c>
      <c r="AG94" s="372">
        <f t="shared" ca="1" si="3"/>
        <v>0</v>
      </c>
    </row>
    <row r="95" spans="1:62" ht="18.75" x14ac:dyDescent="0.3">
      <c r="A95" s="153" t="s">
        <v>160</v>
      </c>
      <c r="B95" s="72">
        <v>150</v>
      </c>
      <c r="C95" s="77">
        <v>460.35</v>
      </c>
      <c r="D95" s="72"/>
      <c r="F95" s="39">
        <v>52</v>
      </c>
      <c r="G95" s="39">
        <v>35</v>
      </c>
      <c r="H95" s="39">
        <v>34</v>
      </c>
      <c r="I95" s="39">
        <v>30</v>
      </c>
      <c r="J95" s="39">
        <v>30</v>
      </c>
      <c r="K95" s="39">
        <v>30</v>
      </c>
      <c r="L95" s="39">
        <v>30</v>
      </c>
      <c r="M95" s="39">
        <v>30</v>
      </c>
      <c r="N95" s="39">
        <v>30</v>
      </c>
      <c r="O95" s="39">
        <v>30</v>
      </c>
      <c r="P95" s="39">
        <v>30</v>
      </c>
      <c r="Q95" s="39">
        <v>30</v>
      </c>
      <c r="R95" s="39">
        <v>30</v>
      </c>
      <c r="S95" s="39">
        <v>31</v>
      </c>
      <c r="T95" s="39">
        <v>31</v>
      </c>
      <c r="U95" s="39">
        <v>31</v>
      </c>
      <c r="V95" s="39"/>
      <c r="W95" s="39"/>
      <c r="X95" s="39"/>
      <c r="Y95" s="39"/>
      <c r="Z95" s="39"/>
      <c r="AA95" s="39">
        <v>30</v>
      </c>
      <c r="AB95" s="39">
        <v>30</v>
      </c>
      <c r="AC95" s="6">
        <v>30</v>
      </c>
      <c r="AD95" s="6">
        <v>30</v>
      </c>
      <c r="AE95" s="6">
        <v>30</v>
      </c>
      <c r="AF95" s="6">
        <v>30</v>
      </c>
      <c r="AG95" s="372">
        <f t="shared" ca="1" si="3"/>
        <v>0</v>
      </c>
    </row>
    <row r="97" spans="1:33" ht="18.75" x14ac:dyDescent="0.25">
      <c r="A97" s="256" t="s">
        <v>473</v>
      </c>
      <c r="B97" s="257" t="s">
        <v>151</v>
      </c>
      <c r="C97" s="257" t="s">
        <v>152</v>
      </c>
      <c r="D97" s="257"/>
      <c r="F97" s="13">
        <v>46006</v>
      </c>
      <c r="G97" s="13">
        <v>46013</v>
      </c>
      <c r="H97" s="13">
        <v>46020</v>
      </c>
      <c r="I97" s="13">
        <v>46027</v>
      </c>
      <c r="J97" s="13">
        <v>46034</v>
      </c>
      <c r="K97" s="13">
        <v>46041</v>
      </c>
      <c r="L97" s="13">
        <v>46048</v>
      </c>
      <c r="M97" s="13">
        <v>46055</v>
      </c>
      <c r="N97" s="13">
        <v>46062</v>
      </c>
      <c r="O97" s="13">
        <v>46069</v>
      </c>
      <c r="P97" s="13">
        <v>46076</v>
      </c>
      <c r="Q97" s="13">
        <v>46083</v>
      </c>
      <c r="R97" s="13">
        <v>46090</v>
      </c>
      <c r="S97" s="13">
        <v>46097</v>
      </c>
      <c r="T97" s="13">
        <v>46104</v>
      </c>
      <c r="U97" s="13">
        <v>46111</v>
      </c>
      <c r="V97" s="13">
        <v>46118</v>
      </c>
      <c r="W97" s="13">
        <v>46125</v>
      </c>
      <c r="X97" s="13">
        <v>46132</v>
      </c>
      <c r="Y97" s="13">
        <v>46139</v>
      </c>
      <c r="Z97" s="13">
        <v>46146</v>
      </c>
      <c r="AA97" s="13">
        <v>46154</v>
      </c>
      <c r="AB97" s="13">
        <v>46160</v>
      </c>
      <c r="AC97" s="13">
        <v>46161.480136342587</v>
      </c>
      <c r="AD97" s="13">
        <v>46161.48080996528</v>
      </c>
      <c r="AE97" s="13">
        <v>46161.482967476863</v>
      </c>
      <c r="AF97" s="13">
        <v>46161.483295549428</v>
      </c>
      <c r="AG97" s="35" t="s">
        <v>129</v>
      </c>
    </row>
    <row r="98" spans="1:33" ht="18.75" hidden="1" x14ac:dyDescent="0.25">
      <c r="A98" s="25" t="s">
        <v>474</v>
      </c>
      <c r="B98" s="6">
        <v>100</v>
      </c>
      <c r="C98" s="66">
        <v>316</v>
      </c>
      <c r="D98" s="234"/>
      <c r="F98" s="39">
        <v>0</v>
      </c>
      <c r="G98" s="39">
        <v>0</v>
      </c>
      <c r="H98" s="39">
        <v>0</v>
      </c>
      <c r="I98" s="39">
        <v>0</v>
      </c>
      <c r="J98" s="39">
        <v>0</v>
      </c>
      <c r="K98" s="39">
        <v>0</v>
      </c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6"/>
      <c r="AD98" s="6"/>
      <c r="AE98" s="6"/>
      <c r="AF98" s="6"/>
      <c r="AG98" s="26">
        <f ca="1">AE98+IF(NOT(ISBLANK(OFFSET(AG98,0,6))),N(OFFSET(AG98,0,6)),N(OFFSET(AG98,0,7)))-AF98</f>
        <v>0</v>
      </c>
    </row>
    <row r="99" spans="1:33" ht="18.75" hidden="1" x14ac:dyDescent="0.25">
      <c r="A99" s="25" t="s">
        <v>475</v>
      </c>
      <c r="B99" s="6">
        <v>100</v>
      </c>
      <c r="C99" s="66">
        <v>41</v>
      </c>
      <c r="D99" s="234"/>
      <c r="F99" s="39">
        <v>0</v>
      </c>
      <c r="G99" s="39">
        <v>0</v>
      </c>
      <c r="H99" s="39">
        <v>0</v>
      </c>
      <c r="I99" s="39">
        <v>0</v>
      </c>
      <c r="J99" s="39">
        <v>0</v>
      </c>
      <c r="K99" s="39">
        <v>0</v>
      </c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6"/>
      <c r="AD99" s="6"/>
      <c r="AE99" s="6"/>
      <c r="AF99" s="6"/>
      <c r="AG99" s="26">
        <f ca="1">AE99+IF(NOT(ISBLANK(OFFSET(AG99,0,6))),N(OFFSET(AG99,0,6)),N(OFFSET(AG99,0,7)))-AF99</f>
        <v>0</v>
      </c>
    </row>
    <row r="100" spans="1:33" ht="18.75" x14ac:dyDescent="0.25">
      <c r="A100" s="25" t="s">
        <v>476</v>
      </c>
      <c r="B100" s="6">
        <v>150</v>
      </c>
      <c r="C100" s="66">
        <v>478.5</v>
      </c>
      <c r="D100" s="234"/>
      <c r="F100" s="39">
        <v>10</v>
      </c>
      <c r="G100" s="39">
        <v>10</v>
      </c>
      <c r="H100" s="39">
        <v>10</v>
      </c>
      <c r="I100" s="39">
        <v>10</v>
      </c>
      <c r="J100" s="39">
        <v>10</v>
      </c>
      <c r="K100" s="39">
        <v>10</v>
      </c>
      <c r="L100" s="39">
        <v>10</v>
      </c>
      <c r="M100" s="39">
        <v>10</v>
      </c>
      <c r="N100" s="39">
        <v>10</v>
      </c>
      <c r="O100" s="39">
        <v>10</v>
      </c>
      <c r="P100" s="39">
        <v>10</v>
      </c>
      <c r="Q100" s="39">
        <v>10</v>
      </c>
      <c r="R100" s="39">
        <v>10</v>
      </c>
      <c r="S100" s="39">
        <v>10</v>
      </c>
      <c r="T100" s="39">
        <v>10</v>
      </c>
      <c r="U100" s="39">
        <v>10</v>
      </c>
      <c r="V100" s="39"/>
      <c r="W100" s="39"/>
      <c r="X100" s="39"/>
      <c r="Y100" s="39"/>
      <c r="Z100" s="39"/>
      <c r="AA100" s="39">
        <v>10</v>
      </c>
      <c r="AB100" s="39">
        <v>10</v>
      </c>
      <c r="AC100" s="6">
        <v>0</v>
      </c>
      <c r="AD100" s="6">
        <v>0</v>
      </c>
      <c r="AE100" s="6">
        <v>0</v>
      </c>
      <c r="AF100" s="6">
        <v>0</v>
      </c>
      <c r="AG100" s="372">
        <f ca="1">AE100+IF(NOT(ISBLANK(OFFSET(AG100,0,6))),N(OFFSET(AG100,0,6)),N(OFFSET(AG100,0,7)))-AF100</f>
        <v>0</v>
      </c>
    </row>
    <row r="101" spans="1:33" ht="19.5" customHeight="1" thickBot="1" x14ac:dyDescent="0.3"/>
    <row r="102" spans="1:33" ht="24" customHeight="1" thickBot="1" x14ac:dyDescent="0.4">
      <c r="A102" s="496">
        <v>2026</v>
      </c>
      <c r="B102" s="497"/>
      <c r="C102" s="497"/>
      <c r="D102" s="497"/>
      <c r="E102" s="497"/>
      <c r="F102" s="497"/>
      <c r="G102" s="497"/>
      <c r="H102" s="497"/>
      <c r="I102" s="497"/>
      <c r="J102" s="497"/>
      <c r="K102" s="497"/>
      <c r="L102" s="497"/>
      <c r="M102" s="497"/>
      <c r="N102" s="497"/>
      <c r="O102" s="497"/>
      <c r="P102" s="497"/>
      <c r="Q102" s="497"/>
      <c r="R102" s="497"/>
      <c r="S102" s="497"/>
      <c r="T102" s="497"/>
      <c r="U102" s="497"/>
      <c r="V102" s="497"/>
      <c r="W102" s="497"/>
      <c r="X102" s="497"/>
      <c r="Y102" s="497"/>
      <c r="Z102" s="497"/>
      <c r="AA102" s="497"/>
      <c r="AB102" s="497"/>
      <c r="AC102" s="459"/>
      <c r="AD102" s="459"/>
      <c r="AE102" s="459"/>
      <c r="AF102" s="459"/>
      <c r="AG102" s="415"/>
    </row>
    <row r="104" spans="1:33" ht="18.75" x14ac:dyDescent="0.25">
      <c r="A104" s="270" t="s">
        <v>485</v>
      </c>
      <c r="B104" s="271" t="s">
        <v>151</v>
      </c>
      <c r="C104" s="271" t="s">
        <v>152</v>
      </c>
      <c r="D104" s="271"/>
      <c r="N104" s="13">
        <v>46062</v>
      </c>
      <c r="O104" s="13">
        <v>46069</v>
      </c>
      <c r="P104" s="13">
        <v>46076</v>
      </c>
      <c r="Q104" s="13">
        <v>46083</v>
      </c>
      <c r="R104" s="13">
        <v>46090</v>
      </c>
      <c r="S104" s="13">
        <v>46097</v>
      </c>
      <c r="T104" s="13">
        <v>46104</v>
      </c>
      <c r="U104" s="13">
        <v>46111</v>
      </c>
      <c r="V104" s="13">
        <v>46118</v>
      </c>
      <c r="W104" s="13">
        <v>46125</v>
      </c>
      <c r="X104" s="13">
        <v>46132</v>
      </c>
      <c r="Y104" s="13">
        <v>46139</v>
      </c>
      <c r="Z104" s="13">
        <v>46146</v>
      </c>
      <c r="AA104" s="13">
        <v>46154</v>
      </c>
      <c r="AB104" s="13">
        <v>46160</v>
      </c>
      <c r="AC104" s="13">
        <v>46161.480136342587</v>
      </c>
      <c r="AD104" s="13">
        <v>46161.48080996528</v>
      </c>
      <c r="AE104" s="13">
        <v>46161.482967476863</v>
      </c>
      <c r="AF104" s="13">
        <v>46161.483295549573</v>
      </c>
      <c r="AG104" s="35" t="s">
        <v>129</v>
      </c>
    </row>
    <row r="105" spans="1:33" ht="18.75" x14ac:dyDescent="0.25">
      <c r="A105" s="25" t="s">
        <v>138</v>
      </c>
      <c r="B105" s="6">
        <v>150</v>
      </c>
      <c r="C105" s="66"/>
      <c r="D105" s="234"/>
      <c r="N105" s="39">
        <v>0</v>
      </c>
      <c r="O105" s="39">
        <v>0</v>
      </c>
      <c r="P105" s="39">
        <v>0</v>
      </c>
      <c r="Q105" s="39">
        <v>0</v>
      </c>
      <c r="R105" s="39">
        <f>AP10</f>
        <v>0</v>
      </c>
      <c r="S105" s="39">
        <v>150</v>
      </c>
      <c r="T105" s="39">
        <v>120</v>
      </c>
      <c r="U105" s="39">
        <v>117</v>
      </c>
      <c r="V105" s="39">
        <v>111</v>
      </c>
      <c r="W105" s="39">
        <v>95</v>
      </c>
      <c r="X105" s="39">
        <v>95</v>
      </c>
      <c r="Y105" s="39">
        <v>73</v>
      </c>
      <c r="Z105" s="39">
        <v>65</v>
      </c>
      <c r="AA105" s="39">
        <v>65</v>
      </c>
      <c r="AB105" s="39"/>
      <c r="AC105" s="6"/>
      <c r="AD105" s="6"/>
      <c r="AE105" s="6"/>
      <c r="AF105" s="6"/>
      <c r="AG105" s="372">
        <f t="shared" ref="AG105:AG111" ca="1" si="4">AE105+IF(NOT(ISBLANK(OFFSET(AG105,0,6))),N(OFFSET(AG105,0,6)),N(OFFSET(AG105,0,7)))-AF105</f>
        <v>0</v>
      </c>
    </row>
    <row r="106" spans="1:33" ht="18.75" x14ac:dyDescent="0.25">
      <c r="A106" s="25" t="s">
        <v>486</v>
      </c>
      <c r="B106" s="6">
        <v>1000</v>
      </c>
      <c r="C106" s="66"/>
      <c r="D106" s="234"/>
      <c r="N106" s="39">
        <v>0</v>
      </c>
      <c r="O106" s="39">
        <v>0</v>
      </c>
      <c r="P106" s="39">
        <v>0</v>
      </c>
      <c r="Q106" s="39">
        <v>0</v>
      </c>
      <c r="R106" s="39">
        <f>AP17</f>
        <v>0</v>
      </c>
      <c r="S106" s="39">
        <v>1</v>
      </c>
      <c r="T106" s="39">
        <v>1</v>
      </c>
      <c r="U106" s="39">
        <v>1</v>
      </c>
      <c r="V106" s="39">
        <v>1</v>
      </c>
      <c r="W106" s="39">
        <v>1</v>
      </c>
      <c r="X106" s="39">
        <v>1</v>
      </c>
      <c r="Y106" s="39">
        <v>1</v>
      </c>
      <c r="Z106" s="39">
        <v>1</v>
      </c>
      <c r="AA106" s="39">
        <v>1</v>
      </c>
      <c r="AB106" s="39"/>
      <c r="AC106" s="6"/>
      <c r="AD106" s="6"/>
      <c r="AE106" s="6"/>
      <c r="AF106" s="6"/>
      <c r="AG106" s="372">
        <f t="shared" ca="1" si="4"/>
        <v>0</v>
      </c>
    </row>
    <row r="107" spans="1:33" ht="18.75" x14ac:dyDescent="0.25">
      <c r="A107" s="25" t="s">
        <v>143</v>
      </c>
      <c r="B107" s="6">
        <v>200</v>
      </c>
      <c r="C107" s="66"/>
      <c r="D107" s="234"/>
      <c r="N107" s="39">
        <v>0</v>
      </c>
      <c r="O107" s="39">
        <v>0</v>
      </c>
      <c r="P107" s="39">
        <v>0</v>
      </c>
      <c r="Q107" s="39">
        <v>0</v>
      </c>
      <c r="R107" s="39">
        <f>AP16</f>
        <v>0</v>
      </c>
      <c r="S107" s="39">
        <v>200</v>
      </c>
      <c r="T107" s="39">
        <v>200</v>
      </c>
      <c r="U107" s="39">
        <v>1</v>
      </c>
      <c r="V107" s="39">
        <v>200</v>
      </c>
      <c r="W107" s="39">
        <v>200</v>
      </c>
      <c r="X107" s="39">
        <v>200</v>
      </c>
      <c r="Y107" s="39">
        <v>200</v>
      </c>
      <c r="Z107" s="39">
        <v>200</v>
      </c>
      <c r="AA107" s="39">
        <v>200</v>
      </c>
      <c r="AB107" s="39"/>
      <c r="AC107" s="6"/>
      <c r="AD107" s="6"/>
      <c r="AE107" s="6"/>
      <c r="AF107" s="6"/>
      <c r="AG107" s="372">
        <f t="shared" ca="1" si="4"/>
        <v>0</v>
      </c>
    </row>
    <row r="108" spans="1:33" ht="18.75" x14ac:dyDescent="0.25">
      <c r="A108" s="25" t="s">
        <v>487</v>
      </c>
      <c r="B108" s="6">
        <v>150</v>
      </c>
      <c r="C108" s="66"/>
      <c r="D108" s="234"/>
      <c r="N108" s="39">
        <v>0</v>
      </c>
      <c r="O108" s="39">
        <v>0</v>
      </c>
      <c r="P108" s="39">
        <v>0</v>
      </c>
      <c r="Q108" s="39">
        <v>0</v>
      </c>
      <c r="R108" s="39">
        <v>0</v>
      </c>
      <c r="S108" s="39">
        <v>150</v>
      </c>
      <c r="T108" s="39">
        <v>130</v>
      </c>
      <c r="U108" s="39">
        <v>122</v>
      </c>
      <c r="V108" s="39"/>
      <c r="W108" s="39"/>
      <c r="X108" s="39"/>
      <c r="Y108" s="39"/>
      <c r="Z108" s="39"/>
      <c r="AA108" s="39">
        <v>33</v>
      </c>
      <c r="AB108" s="39">
        <v>32</v>
      </c>
      <c r="AC108" s="6">
        <v>32</v>
      </c>
      <c r="AD108" s="6">
        <v>32</v>
      </c>
      <c r="AE108" s="6">
        <v>32</v>
      </c>
      <c r="AF108" s="6">
        <v>32</v>
      </c>
      <c r="AG108" s="372">
        <f t="shared" ca="1" si="4"/>
        <v>0</v>
      </c>
    </row>
    <row r="109" spans="1:33" ht="18.75" x14ac:dyDescent="0.25">
      <c r="A109" s="25" t="s">
        <v>479</v>
      </c>
      <c r="B109" s="6">
        <v>200</v>
      </c>
      <c r="C109" s="66"/>
      <c r="D109" s="234"/>
      <c r="N109" s="39">
        <v>0</v>
      </c>
      <c r="O109" s="39">
        <v>0</v>
      </c>
      <c r="P109" s="39">
        <v>0</v>
      </c>
      <c r="Q109" s="39">
        <v>0</v>
      </c>
      <c r="R109" s="39">
        <v>0</v>
      </c>
      <c r="S109" s="39">
        <v>2</v>
      </c>
      <c r="T109" s="39">
        <v>3</v>
      </c>
      <c r="U109" s="39">
        <v>3</v>
      </c>
      <c r="V109" s="39"/>
      <c r="W109" s="39"/>
      <c r="X109" s="39"/>
      <c r="Y109" s="39"/>
      <c r="Z109" s="39"/>
      <c r="AA109" s="39">
        <v>3</v>
      </c>
      <c r="AB109" s="39">
        <v>3</v>
      </c>
      <c r="AC109" s="6">
        <v>3</v>
      </c>
      <c r="AD109" s="6">
        <v>3</v>
      </c>
      <c r="AE109" s="6">
        <v>3</v>
      </c>
      <c r="AF109" s="6">
        <v>3</v>
      </c>
      <c r="AG109" s="372">
        <f t="shared" ca="1" si="4"/>
        <v>0</v>
      </c>
    </row>
    <row r="110" spans="1:33" ht="18.75" x14ac:dyDescent="0.3">
      <c r="A110" s="153" t="s">
        <v>156</v>
      </c>
      <c r="B110" s="72">
        <v>100</v>
      </c>
      <c r="C110" s="77"/>
      <c r="D110" s="72"/>
      <c r="N110" s="39">
        <v>0</v>
      </c>
      <c r="O110" s="39">
        <v>0</v>
      </c>
      <c r="P110" s="39">
        <v>0</v>
      </c>
      <c r="Q110" s="39">
        <v>0</v>
      </c>
      <c r="R110" s="39">
        <v>0</v>
      </c>
      <c r="S110" s="39">
        <v>50</v>
      </c>
      <c r="T110" s="39">
        <v>50</v>
      </c>
      <c r="U110" s="39">
        <v>50</v>
      </c>
      <c r="V110" s="39"/>
      <c r="W110" s="39"/>
      <c r="X110" s="39"/>
      <c r="Y110" s="39"/>
      <c r="Z110" s="39"/>
      <c r="AA110" s="39">
        <v>49</v>
      </c>
      <c r="AB110" s="39">
        <v>49</v>
      </c>
      <c r="AC110" s="6">
        <v>49</v>
      </c>
      <c r="AD110" s="6">
        <v>49</v>
      </c>
      <c r="AE110" s="6">
        <v>49</v>
      </c>
      <c r="AF110" s="6">
        <v>49</v>
      </c>
      <c r="AG110" s="372">
        <f t="shared" ca="1" si="4"/>
        <v>0</v>
      </c>
    </row>
    <row r="111" spans="1:33" ht="18.75" x14ac:dyDescent="0.3">
      <c r="A111" s="153" t="s">
        <v>158</v>
      </c>
      <c r="B111" s="72">
        <v>200</v>
      </c>
      <c r="C111" s="77"/>
      <c r="D111" s="72"/>
      <c r="N111" s="39">
        <v>0</v>
      </c>
      <c r="O111" s="39">
        <v>0</v>
      </c>
      <c r="P111" s="39">
        <v>0</v>
      </c>
      <c r="Q111" s="39">
        <v>0</v>
      </c>
      <c r="R111" s="39">
        <v>0</v>
      </c>
      <c r="S111" s="39">
        <v>50</v>
      </c>
      <c r="T111" s="39">
        <v>50</v>
      </c>
      <c r="U111" s="39">
        <v>50</v>
      </c>
      <c r="V111" s="39"/>
      <c r="W111" s="39"/>
      <c r="X111" s="39"/>
      <c r="Y111" s="39"/>
      <c r="Z111" s="39"/>
      <c r="AA111" s="39">
        <v>49</v>
      </c>
      <c r="AB111" s="39">
        <v>49</v>
      </c>
      <c r="AC111" s="6">
        <v>49</v>
      </c>
      <c r="AD111" s="6">
        <v>49</v>
      </c>
      <c r="AE111" s="6">
        <v>49</v>
      </c>
      <c r="AF111" s="6">
        <v>49</v>
      </c>
      <c r="AG111" s="372">
        <f t="shared" ca="1" si="4"/>
        <v>0</v>
      </c>
    </row>
    <row r="113" spans="1:33" ht="18.75" x14ac:dyDescent="0.25">
      <c r="A113" s="272" t="s">
        <v>488</v>
      </c>
      <c r="B113" s="248" t="s">
        <v>151</v>
      </c>
      <c r="C113" s="248" t="s">
        <v>152</v>
      </c>
      <c r="D113" s="248"/>
      <c r="N113" s="13">
        <v>46062</v>
      </c>
      <c r="O113" s="13">
        <v>46069</v>
      </c>
      <c r="P113" s="13">
        <v>46076</v>
      </c>
      <c r="Q113" s="13">
        <v>46083</v>
      </c>
      <c r="R113" s="13">
        <v>46090</v>
      </c>
      <c r="S113" s="13">
        <v>46097</v>
      </c>
      <c r="T113" s="13">
        <v>46104</v>
      </c>
      <c r="U113" s="13">
        <v>46111</v>
      </c>
      <c r="V113" s="13">
        <v>46118</v>
      </c>
      <c r="W113" s="13">
        <v>46125</v>
      </c>
      <c r="X113" s="13">
        <v>46132</v>
      </c>
      <c r="Y113" s="13">
        <v>46139</v>
      </c>
      <c r="Z113" s="13">
        <v>46146</v>
      </c>
      <c r="AA113" s="13">
        <v>46154</v>
      </c>
      <c r="AB113" s="13">
        <v>46160</v>
      </c>
      <c r="AC113" s="13">
        <v>46161.480136342587</v>
      </c>
      <c r="AD113" s="13">
        <v>46161.48080996528</v>
      </c>
      <c r="AE113" s="13">
        <v>46161.482967476863</v>
      </c>
      <c r="AF113" s="13">
        <v>46161.483295549813</v>
      </c>
      <c r="AG113" s="35" t="s">
        <v>129</v>
      </c>
    </row>
    <row r="114" spans="1:33" ht="18.75" x14ac:dyDescent="0.25">
      <c r="A114" s="25" t="s">
        <v>419</v>
      </c>
      <c r="B114" s="6">
        <v>200</v>
      </c>
      <c r="C114" s="66"/>
      <c r="D114" s="234"/>
      <c r="N114" s="39">
        <v>0</v>
      </c>
      <c r="O114" s="39">
        <v>0</v>
      </c>
      <c r="P114" s="39">
        <v>0</v>
      </c>
      <c r="Q114" s="39">
        <v>0</v>
      </c>
      <c r="R114" s="39">
        <v>0</v>
      </c>
      <c r="S114" s="39">
        <v>0</v>
      </c>
      <c r="T114" s="39">
        <f>AN9</f>
        <v>0</v>
      </c>
      <c r="U114" s="39">
        <v>400</v>
      </c>
      <c r="V114" s="39">
        <v>400</v>
      </c>
      <c r="W114" s="39">
        <v>290</v>
      </c>
      <c r="X114" s="39">
        <v>200</v>
      </c>
      <c r="Y114" s="39">
        <v>200</v>
      </c>
      <c r="Z114" s="39">
        <v>170</v>
      </c>
      <c r="AA114" s="39">
        <v>0</v>
      </c>
      <c r="AB114" s="39"/>
      <c r="AC114" s="6"/>
      <c r="AD114" s="6"/>
      <c r="AE114" s="6"/>
      <c r="AF114" s="6"/>
      <c r="AG114" s="372">
        <f t="shared" ref="AG114:AG122" ca="1" si="5">AE114+IF(NOT(ISBLANK(OFFSET(AG114,0,6))),N(OFFSET(AG114,0,6)),N(OFFSET(AG114,0,7)))-AF114</f>
        <v>0</v>
      </c>
    </row>
    <row r="115" spans="1:33" ht="18.75" x14ac:dyDescent="0.25">
      <c r="A115" s="25" t="s">
        <v>421</v>
      </c>
      <c r="B115" s="6">
        <v>200</v>
      </c>
      <c r="C115" s="66"/>
      <c r="D115" s="234"/>
      <c r="N115" s="39">
        <v>0</v>
      </c>
      <c r="O115" s="39">
        <v>0</v>
      </c>
      <c r="P115" s="39">
        <v>0</v>
      </c>
      <c r="Q115" s="39">
        <v>0</v>
      </c>
      <c r="R115" s="39">
        <v>0</v>
      </c>
      <c r="S115" s="39">
        <v>0</v>
      </c>
      <c r="T115" s="39">
        <f>AN10</f>
        <v>0</v>
      </c>
      <c r="U115" s="39">
        <v>200</v>
      </c>
      <c r="V115" s="39">
        <v>0</v>
      </c>
      <c r="W115" s="39">
        <v>0</v>
      </c>
      <c r="X115" s="39">
        <v>0</v>
      </c>
      <c r="Y115" s="39">
        <v>0</v>
      </c>
      <c r="Z115" s="39">
        <v>190</v>
      </c>
      <c r="AA115" s="39">
        <v>50</v>
      </c>
      <c r="AB115" s="39"/>
      <c r="AC115" s="6"/>
      <c r="AD115" s="6"/>
      <c r="AE115" s="6"/>
      <c r="AF115" s="6"/>
      <c r="AG115" s="372">
        <f t="shared" ca="1" si="5"/>
        <v>0</v>
      </c>
    </row>
    <row r="116" spans="1:33" ht="18.75" x14ac:dyDescent="0.25">
      <c r="A116" s="25" t="s">
        <v>422</v>
      </c>
      <c r="B116" s="6">
        <v>100</v>
      </c>
      <c r="C116" s="66"/>
      <c r="D116" s="234"/>
      <c r="N116" s="39">
        <v>0</v>
      </c>
      <c r="O116" s="39">
        <v>0</v>
      </c>
      <c r="P116" s="39">
        <v>0</v>
      </c>
      <c r="Q116" s="39">
        <v>0</v>
      </c>
      <c r="R116" s="39">
        <v>0</v>
      </c>
      <c r="S116" s="39">
        <v>0</v>
      </c>
      <c r="T116" s="39">
        <f>AN11</f>
        <v>0</v>
      </c>
      <c r="U116" s="39">
        <v>100</v>
      </c>
      <c r="V116" s="39">
        <v>0</v>
      </c>
      <c r="W116" s="39">
        <v>0</v>
      </c>
      <c r="X116" s="39">
        <v>0</v>
      </c>
      <c r="Y116" s="39">
        <v>0</v>
      </c>
      <c r="Z116" s="39">
        <v>65</v>
      </c>
      <c r="AA116" s="39">
        <v>0</v>
      </c>
      <c r="AB116" s="39"/>
      <c r="AC116" s="6"/>
      <c r="AD116" s="6"/>
      <c r="AE116" s="6"/>
      <c r="AF116" s="6"/>
      <c r="AG116" s="372">
        <f t="shared" ca="1" si="5"/>
        <v>0</v>
      </c>
    </row>
    <row r="117" spans="1:33" ht="18.75" x14ac:dyDescent="0.25">
      <c r="A117" s="25" t="s">
        <v>489</v>
      </c>
      <c r="B117" s="6">
        <v>200</v>
      </c>
      <c r="C117" s="66"/>
      <c r="D117" s="234"/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50</v>
      </c>
      <c r="V117" s="39"/>
      <c r="W117" s="39"/>
      <c r="X117" s="39"/>
      <c r="Y117" s="39"/>
      <c r="Z117" s="39"/>
      <c r="AA117" s="39">
        <v>0</v>
      </c>
      <c r="AB117" s="39">
        <v>0</v>
      </c>
      <c r="AC117" s="6">
        <v>0</v>
      </c>
      <c r="AD117" s="6">
        <v>0</v>
      </c>
      <c r="AE117" s="6">
        <v>0</v>
      </c>
      <c r="AF117" s="6">
        <v>0</v>
      </c>
      <c r="AG117" s="372">
        <f t="shared" ca="1" si="5"/>
        <v>0</v>
      </c>
    </row>
    <row r="118" spans="1:33" ht="18.75" x14ac:dyDescent="0.25">
      <c r="A118" s="25" t="s">
        <v>487</v>
      </c>
      <c r="B118" s="6">
        <v>200</v>
      </c>
      <c r="C118" s="66"/>
      <c r="D118" s="234"/>
      <c r="N118" s="39">
        <v>0</v>
      </c>
      <c r="O118" s="39">
        <v>0</v>
      </c>
      <c r="P118" s="39">
        <v>0</v>
      </c>
      <c r="Q118" s="39">
        <v>0</v>
      </c>
      <c r="R118" s="39">
        <v>0</v>
      </c>
      <c r="S118" s="39">
        <v>0</v>
      </c>
      <c r="T118" s="39">
        <v>0</v>
      </c>
      <c r="U118" s="39">
        <v>50</v>
      </c>
      <c r="V118" s="39"/>
      <c r="W118" s="39"/>
      <c r="X118" s="39"/>
      <c r="Y118" s="39"/>
      <c r="Z118" s="39"/>
      <c r="AA118" s="39">
        <v>0</v>
      </c>
      <c r="AB118" s="39">
        <v>0</v>
      </c>
      <c r="AC118" s="6">
        <v>0</v>
      </c>
      <c r="AD118" s="6">
        <v>0</v>
      </c>
      <c r="AE118" s="6">
        <v>0</v>
      </c>
      <c r="AF118" s="6">
        <v>0</v>
      </c>
      <c r="AG118" s="372">
        <f t="shared" ca="1" si="5"/>
        <v>0</v>
      </c>
    </row>
    <row r="119" spans="1:33" ht="18.75" x14ac:dyDescent="0.3">
      <c r="A119" s="153" t="s">
        <v>481</v>
      </c>
      <c r="B119" s="72">
        <v>200</v>
      </c>
      <c r="C119" s="77"/>
      <c r="D119" s="72"/>
      <c r="N119" s="39">
        <v>0</v>
      </c>
      <c r="O119" s="39">
        <v>0</v>
      </c>
      <c r="P119" s="39">
        <v>0</v>
      </c>
      <c r="Q119" s="39">
        <v>0</v>
      </c>
      <c r="R119" s="39">
        <v>0</v>
      </c>
      <c r="S119" s="39">
        <v>0</v>
      </c>
      <c r="T119" s="39">
        <v>0</v>
      </c>
      <c r="U119" s="39">
        <v>2</v>
      </c>
      <c r="V119" s="39"/>
      <c r="W119" s="39"/>
      <c r="X119" s="39"/>
      <c r="Y119" s="39"/>
      <c r="Z119" s="39"/>
      <c r="AA119" s="39">
        <v>1</v>
      </c>
      <c r="AB119" s="39">
        <v>1</v>
      </c>
      <c r="AC119" s="6">
        <v>1</v>
      </c>
      <c r="AD119" s="6">
        <v>1</v>
      </c>
      <c r="AE119" s="6">
        <v>1</v>
      </c>
      <c r="AF119" s="6">
        <v>1</v>
      </c>
      <c r="AG119" s="372">
        <f t="shared" ca="1" si="5"/>
        <v>0</v>
      </c>
    </row>
    <row r="120" spans="1:33" ht="18.75" x14ac:dyDescent="0.3">
      <c r="A120" s="153" t="s">
        <v>154</v>
      </c>
      <c r="B120" s="72">
        <v>150</v>
      </c>
      <c r="C120" s="77"/>
      <c r="D120" s="72"/>
      <c r="N120" s="39">
        <v>0</v>
      </c>
      <c r="O120" s="39">
        <v>0</v>
      </c>
      <c r="P120" s="39">
        <v>0</v>
      </c>
      <c r="Q120" s="39">
        <v>0</v>
      </c>
      <c r="R120" s="39">
        <v>0</v>
      </c>
      <c r="S120" s="39">
        <v>0</v>
      </c>
      <c r="T120" s="39">
        <v>0</v>
      </c>
      <c r="U120" s="39">
        <v>20</v>
      </c>
      <c r="V120" s="39"/>
      <c r="W120" s="39"/>
      <c r="X120" s="39"/>
      <c r="Y120" s="39"/>
      <c r="Z120" s="39"/>
      <c r="AA120" s="39">
        <v>0</v>
      </c>
      <c r="AB120" s="39">
        <v>0</v>
      </c>
      <c r="AC120" s="6">
        <v>0</v>
      </c>
      <c r="AD120" s="6">
        <v>0</v>
      </c>
      <c r="AE120" s="6">
        <v>0</v>
      </c>
      <c r="AF120" s="6">
        <v>0</v>
      </c>
      <c r="AG120" s="372">
        <f t="shared" ca="1" si="5"/>
        <v>0</v>
      </c>
    </row>
    <row r="121" spans="1:33" ht="18.75" x14ac:dyDescent="0.3">
      <c r="A121" s="153" t="s">
        <v>156</v>
      </c>
      <c r="B121" s="72">
        <v>100</v>
      </c>
      <c r="C121" s="77"/>
      <c r="D121" s="72"/>
      <c r="N121" s="39">
        <v>0</v>
      </c>
      <c r="O121" s="39">
        <v>0</v>
      </c>
      <c r="P121" s="39">
        <v>0</v>
      </c>
      <c r="Q121" s="39">
        <v>0</v>
      </c>
      <c r="R121" s="39">
        <v>0</v>
      </c>
      <c r="S121" s="39">
        <v>0</v>
      </c>
      <c r="T121" s="39">
        <v>0</v>
      </c>
      <c r="U121" s="39">
        <v>30</v>
      </c>
      <c r="V121" s="39"/>
      <c r="W121" s="39"/>
      <c r="X121" s="39"/>
      <c r="Y121" s="39"/>
      <c r="Z121" s="39"/>
      <c r="AA121" s="39">
        <v>13</v>
      </c>
      <c r="AB121" s="39">
        <v>13</v>
      </c>
      <c r="AC121" s="6">
        <v>13</v>
      </c>
      <c r="AD121" s="6">
        <v>13</v>
      </c>
      <c r="AE121" s="6">
        <v>13</v>
      </c>
      <c r="AF121" s="6">
        <v>13</v>
      </c>
      <c r="AG121" s="372">
        <f t="shared" ca="1" si="5"/>
        <v>0</v>
      </c>
    </row>
    <row r="122" spans="1:33" ht="18.75" x14ac:dyDescent="0.3">
      <c r="A122" s="153" t="s">
        <v>160</v>
      </c>
      <c r="B122" s="72">
        <v>150</v>
      </c>
      <c r="C122" s="77"/>
      <c r="D122" s="72"/>
      <c r="N122" s="39">
        <v>0</v>
      </c>
      <c r="O122" s="39">
        <v>0</v>
      </c>
      <c r="P122" s="39">
        <v>0</v>
      </c>
      <c r="Q122" s="39">
        <v>0</v>
      </c>
      <c r="R122" s="39">
        <v>0</v>
      </c>
      <c r="S122" s="39">
        <v>0</v>
      </c>
      <c r="T122" s="39">
        <v>0</v>
      </c>
      <c r="U122" s="39">
        <v>50</v>
      </c>
      <c r="V122" s="39"/>
      <c r="W122" s="39"/>
      <c r="X122" s="39"/>
      <c r="Y122" s="39"/>
      <c r="Z122" s="39"/>
      <c r="AA122" s="39">
        <v>30</v>
      </c>
      <c r="AB122" s="39">
        <v>30</v>
      </c>
      <c r="AC122" s="6">
        <v>30</v>
      </c>
      <c r="AD122" s="6">
        <v>30</v>
      </c>
      <c r="AE122" s="6">
        <v>30</v>
      </c>
      <c r="AF122" s="6">
        <v>30</v>
      </c>
      <c r="AG122" s="372">
        <f t="shared" ca="1" si="5"/>
        <v>0</v>
      </c>
    </row>
    <row r="124" spans="1:33" ht="18.75" x14ac:dyDescent="0.25">
      <c r="A124" s="407" t="s">
        <v>477</v>
      </c>
      <c r="B124" s="408" t="s">
        <v>151</v>
      </c>
      <c r="C124" s="408" t="s">
        <v>152</v>
      </c>
      <c r="D124" s="408"/>
      <c r="S124" s="13">
        <v>46097</v>
      </c>
      <c r="T124" s="13">
        <v>46104</v>
      </c>
      <c r="U124" s="13">
        <v>46111</v>
      </c>
      <c r="V124" s="13">
        <v>46118</v>
      </c>
      <c r="W124" s="13">
        <v>46125</v>
      </c>
      <c r="X124" s="13">
        <v>46132</v>
      </c>
      <c r="Y124" s="13">
        <v>46139</v>
      </c>
      <c r="Z124" s="13">
        <v>46146</v>
      </c>
      <c r="AA124" s="13">
        <v>46154</v>
      </c>
      <c r="AB124" s="13">
        <v>46160</v>
      </c>
      <c r="AC124" s="13">
        <v>46161.480136342587</v>
      </c>
      <c r="AD124" s="13">
        <v>46161.48080996528</v>
      </c>
      <c r="AE124" s="13">
        <v>46161.482967476863</v>
      </c>
      <c r="AF124" s="13">
        <v>46161.483295550053</v>
      </c>
      <c r="AG124" s="35" t="s">
        <v>129</v>
      </c>
    </row>
    <row r="125" spans="1:33" ht="18.75" x14ac:dyDescent="0.25">
      <c r="A125" s="25" t="s">
        <v>156</v>
      </c>
      <c r="B125" s="6">
        <v>100</v>
      </c>
      <c r="C125" s="66">
        <v>1490</v>
      </c>
      <c r="D125" s="234"/>
      <c r="S125" s="39"/>
      <c r="T125" s="39"/>
      <c r="U125" s="39"/>
      <c r="V125" s="39"/>
      <c r="W125" s="39"/>
      <c r="X125" s="39"/>
      <c r="Y125" s="39"/>
      <c r="Z125" s="39"/>
      <c r="AA125" s="39">
        <v>30</v>
      </c>
      <c r="AB125" s="39">
        <v>30</v>
      </c>
      <c r="AC125" s="6">
        <v>14</v>
      </c>
      <c r="AD125" s="6">
        <v>14</v>
      </c>
      <c r="AE125" s="6">
        <v>14</v>
      </c>
      <c r="AF125" s="6">
        <v>14</v>
      </c>
      <c r="AG125" s="372">
        <f ca="1">AE125+IF(NOT(ISBLANK(OFFSET(AG125,0,6))),N(OFFSET(AG125,0,6)),N(OFFSET(AG125,0,7)))-AF125</f>
        <v>0</v>
      </c>
    </row>
  </sheetData>
  <mergeCells count="9">
    <mergeCell ref="A5:A6"/>
    <mergeCell ref="B3:D3"/>
    <mergeCell ref="A1:AC1"/>
    <mergeCell ref="A102:AB102"/>
    <mergeCell ref="C5:C6"/>
    <mergeCell ref="F5:AB5"/>
    <mergeCell ref="B5:B6"/>
    <mergeCell ref="B2:D2"/>
    <mergeCell ref="D5:D6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49" orientation="landscape" horizontalDpi="4294967295" verticalDpi="4294967295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ilha66">
    <tabColor theme="8"/>
    <pageSetUpPr fitToPage="1"/>
  </sheetPr>
  <dimension ref="A1:BE125"/>
  <sheetViews>
    <sheetView showGridLines="0" topLeftCell="A51" zoomScale="80" zoomScaleNormal="80" zoomScaleSheetLayoutView="50" workbookViewId="0">
      <selection activeCell="AB67" sqref="AB67:AB72"/>
    </sheetView>
  </sheetViews>
  <sheetFormatPr defaultColWidth="9.140625" defaultRowHeight="18.75" x14ac:dyDescent="0.3"/>
  <cols>
    <col min="1" max="1" width="38.42578125" style="62" customWidth="1"/>
    <col min="2" max="2" width="8.140625" style="11" customWidth="1"/>
    <col min="3" max="4" width="16.85546875" style="11" customWidth="1"/>
    <col min="5" max="5" width="2" style="11" customWidth="1"/>
    <col min="6" max="25" width="8.28515625" style="11" hidden="1" customWidth="1"/>
    <col min="26" max="27" width="8.28515625" style="11" customWidth="1"/>
    <col min="28" max="28" width="9.5703125" style="11" bestFit="1" customWidth="1"/>
    <col min="29" max="29" width="1.42578125" style="11" customWidth="1"/>
    <col min="30" max="31" width="14.28515625" style="71" bestFit="1" customWidth="1"/>
    <col min="32" max="32" width="1.7109375" style="11" customWidth="1"/>
    <col min="33" max="33" width="15.85546875" style="34" bestFit="1" customWidth="1"/>
    <col min="34" max="34" width="1.28515625" style="11" customWidth="1"/>
    <col min="35" max="41" width="9.140625" style="34" customWidth="1"/>
    <col min="42" max="50" width="9.140625" style="34" hidden="1" customWidth="1"/>
    <col min="51" max="52" width="13.5703125" style="202" hidden="1" customWidth="1"/>
    <col min="53" max="53" width="14.28515625" style="202" hidden="1" customWidth="1"/>
    <col min="54" max="55" width="12.28515625" style="34" hidden="1" customWidth="1"/>
    <col min="56" max="56" width="14.28515625" style="202" hidden="1" customWidth="1"/>
    <col min="57" max="57" width="18.85546875" style="34" hidden="1" customWidth="1"/>
    <col min="58" max="58" width="9.140625" style="11" customWidth="1"/>
    <col min="59" max="16384" width="9.140625" style="11"/>
  </cols>
  <sheetData>
    <row r="1" spans="1:57" ht="23.25" customHeight="1" x14ac:dyDescent="0.3">
      <c r="A1" s="498" t="s">
        <v>117</v>
      </c>
      <c r="B1" s="479"/>
      <c r="C1" s="479"/>
      <c r="D1" s="479"/>
      <c r="E1" s="479"/>
      <c r="F1" s="479"/>
      <c r="G1" s="479"/>
      <c r="H1" s="479"/>
      <c r="I1" s="479"/>
      <c r="J1" s="479"/>
      <c r="K1" s="479"/>
      <c r="L1" s="479"/>
      <c r="M1" s="479"/>
      <c r="N1" s="479"/>
      <c r="O1" s="479"/>
      <c r="P1" s="479"/>
      <c r="Q1" s="479"/>
      <c r="R1" s="479"/>
      <c r="S1" s="479"/>
      <c r="T1" s="479"/>
      <c r="U1" s="479"/>
      <c r="V1" s="479"/>
      <c r="W1" s="479"/>
      <c r="X1" s="479"/>
      <c r="Y1" s="479"/>
      <c r="Z1" s="479"/>
      <c r="AA1" s="479"/>
      <c r="AB1" s="479"/>
      <c r="AC1" s="479"/>
      <c r="AF1" s="34"/>
      <c r="AG1" s="11"/>
      <c r="AH1" s="34"/>
    </row>
    <row r="2" spans="1:57" x14ac:dyDescent="0.3">
      <c r="A2" s="63" t="s">
        <v>118</v>
      </c>
      <c r="B2" s="473" t="s">
        <v>490</v>
      </c>
      <c r="C2" s="463"/>
      <c r="D2" s="464"/>
      <c r="AF2" s="34"/>
      <c r="AG2" s="11"/>
      <c r="AH2" s="34"/>
    </row>
    <row r="3" spans="1:57" x14ac:dyDescent="0.3">
      <c r="A3" s="63" t="s">
        <v>120</v>
      </c>
      <c r="B3" s="465" t="s">
        <v>324</v>
      </c>
      <c r="C3" s="463"/>
      <c r="D3" s="464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F3" s="34"/>
    </row>
    <row r="4" spans="1:57" x14ac:dyDescent="0.3">
      <c r="AD4" s="41"/>
      <c r="AE4" s="41"/>
      <c r="AG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203"/>
      <c r="AZ4" s="203"/>
      <c r="BA4" s="203"/>
      <c r="BB4" s="11"/>
      <c r="BC4" s="11"/>
      <c r="BD4" s="203"/>
      <c r="BE4" s="11"/>
    </row>
    <row r="5" spans="1:57" ht="24.75" customHeight="1" x14ac:dyDescent="0.3">
      <c r="A5" s="460" t="s">
        <v>122</v>
      </c>
      <c r="B5" s="471" t="s">
        <v>123</v>
      </c>
      <c r="C5" s="471" t="s">
        <v>124</v>
      </c>
      <c r="D5" s="474" t="s">
        <v>125</v>
      </c>
      <c r="F5" s="476"/>
      <c r="G5" s="467"/>
      <c r="H5" s="467"/>
      <c r="I5" s="467"/>
      <c r="J5" s="467"/>
      <c r="K5" s="467"/>
      <c r="L5" s="467"/>
      <c r="M5" s="467"/>
      <c r="N5" s="467"/>
      <c r="O5" s="467"/>
      <c r="P5" s="467"/>
      <c r="Q5" s="467"/>
      <c r="R5" s="467"/>
      <c r="S5" s="467"/>
      <c r="T5" s="467"/>
      <c r="U5" s="467"/>
      <c r="V5" s="467"/>
      <c r="W5" s="467"/>
      <c r="X5" s="467"/>
      <c r="Y5" s="467"/>
      <c r="Z5" s="467"/>
      <c r="AA5" s="467"/>
      <c r="AB5" s="469"/>
      <c r="AD5" s="29" t="s">
        <v>126</v>
      </c>
      <c r="AE5" s="29" t="s">
        <v>126</v>
      </c>
      <c r="AG5" s="9" t="s">
        <v>127</v>
      </c>
      <c r="AI5" s="17">
        <v>46149</v>
      </c>
      <c r="AJ5" s="17">
        <v>46142</v>
      </c>
      <c r="AK5" s="17">
        <v>46114</v>
      </c>
      <c r="AL5" s="17">
        <v>46099</v>
      </c>
      <c r="AM5" s="294">
        <v>46065</v>
      </c>
      <c r="AN5" s="17">
        <v>46077</v>
      </c>
      <c r="AO5" s="292">
        <v>46045</v>
      </c>
      <c r="AP5" s="17">
        <v>46056</v>
      </c>
      <c r="AQ5" s="17">
        <v>46017</v>
      </c>
      <c r="AR5" s="17">
        <v>46007</v>
      </c>
      <c r="AS5" s="17">
        <v>46001</v>
      </c>
      <c r="AT5" s="17">
        <v>45994</v>
      </c>
      <c r="AU5" s="17">
        <v>45986</v>
      </c>
      <c r="AV5" s="17">
        <v>45980</v>
      </c>
      <c r="AW5" s="17">
        <v>45980</v>
      </c>
      <c r="AX5" s="17">
        <v>45973</v>
      </c>
      <c r="AY5" s="207" t="s">
        <v>128</v>
      </c>
      <c r="AZ5" s="207" t="s">
        <v>128</v>
      </c>
      <c r="BA5" s="268" t="s">
        <v>128</v>
      </c>
      <c r="BB5" s="268" t="s">
        <v>128</v>
      </c>
      <c r="BC5" s="258" t="s">
        <v>128</v>
      </c>
      <c r="BD5" s="207" t="s">
        <v>128</v>
      </c>
      <c r="BE5" s="274" t="s">
        <v>128</v>
      </c>
    </row>
    <row r="6" spans="1:57" s="3" customFormat="1" x14ac:dyDescent="0.3">
      <c r="A6" s="461"/>
      <c r="B6" s="461"/>
      <c r="C6" s="461"/>
      <c r="D6" s="461"/>
      <c r="E6" s="30"/>
      <c r="F6" s="13">
        <v>46006</v>
      </c>
      <c r="G6" s="13">
        <v>46013</v>
      </c>
      <c r="H6" s="13">
        <v>46020</v>
      </c>
      <c r="I6" s="13">
        <v>46027</v>
      </c>
      <c r="J6" s="13">
        <v>46034</v>
      </c>
      <c r="K6" s="13">
        <v>46041</v>
      </c>
      <c r="L6" s="13">
        <v>46048</v>
      </c>
      <c r="M6" s="13">
        <v>46055</v>
      </c>
      <c r="N6" s="13">
        <v>46062</v>
      </c>
      <c r="O6" s="13">
        <v>46069</v>
      </c>
      <c r="P6" s="13">
        <v>46076</v>
      </c>
      <c r="Q6" s="13">
        <v>46083</v>
      </c>
      <c r="R6" s="13">
        <v>46090</v>
      </c>
      <c r="S6" s="13">
        <v>46097</v>
      </c>
      <c r="T6" s="13">
        <v>46104</v>
      </c>
      <c r="U6" s="13">
        <v>46111</v>
      </c>
      <c r="V6" s="13">
        <v>46118</v>
      </c>
      <c r="W6" s="13">
        <v>46125</v>
      </c>
      <c r="X6" s="13">
        <v>46132</v>
      </c>
      <c r="Y6" s="13">
        <v>46139</v>
      </c>
      <c r="Z6" s="13">
        <v>46146</v>
      </c>
      <c r="AA6" s="13">
        <v>46154</v>
      </c>
      <c r="AB6" s="149" t="s">
        <v>129</v>
      </c>
      <c r="AC6" s="30"/>
      <c r="AD6" s="18"/>
      <c r="AE6" s="18">
        <v>46149</v>
      </c>
      <c r="AF6" s="31"/>
      <c r="AG6" s="179">
        <v>46155</v>
      </c>
      <c r="AH6" s="31"/>
      <c r="AI6" s="17">
        <v>46154</v>
      </c>
      <c r="AJ6" s="17">
        <v>46149</v>
      </c>
      <c r="AK6" s="17">
        <v>46125</v>
      </c>
      <c r="AL6" s="17">
        <v>46104</v>
      </c>
      <c r="AM6" s="294">
        <v>46104</v>
      </c>
      <c r="AN6" s="17">
        <v>46086</v>
      </c>
      <c r="AO6" s="292">
        <v>46094</v>
      </c>
      <c r="AP6" s="17">
        <v>46062</v>
      </c>
      <c r="AQ6" s="17">
        <v>46027</v>
      </c>
      <c r="AR6" s="17">
        <v>46010</v>
      </c>
      <c r="AS6" s="17">
        <v>46010</v>
      </c>
      <c r="AT6" s="17">
        <v>46001</v>
      </c>
      <c r="AU6" s="17">
        <v>45996</v>
      </c>
      <c r="AV6" s="17">
        <v>45992</v>
      </c>
      <c r="AW6" s="17">
        <v>45988</v>
      </c>
      <c r="AX6" s="17">
        <v>45986</v>
      </c>
      <c r="AY6" s="207">
        <v>45982</v>
      </c>
      <c r="AZ6" s="207">
        <v>45979</v>
      </c>
      <c r="BA6" s="269">
        <v>45974</v>
      </c>
      <c r="BB6" s="269">
        <v>45972</v>
      </c>
      <c r="BC6" s="258">
        <v>45968</v>
      </c>
      <c r="BD6" s="207">
        <v>45967</v>
      </c>
      <c r="BE6" s="274">
        <v>45964</v>
      </c>
    </row>
    <row r="7" spans="1:57" s="3" customFormat="1" ht="21.75" customHeight="1" x14ac:dyDescent="0.3">
      <c r="A7" s="20" t="s">
        <v>426</v>
      </c>
      <c r="B7" s="4"/>
      <c r="C7" s="5"/>
      <c r="D7" s="233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1"/>
      <c r="AD7" s="84"/>
      <c r="AE7" s="84"/>
      <c r="AF7" s="11"/>
      <c r="AG7" s="111"/>
      <c r="AH7" s="11"/>
      <c r="AI7" s="114"/>
      <c r="AJ7" s="114"/>
      <c r="AK7" s="114"/>
      <c r="AL7" s="114"/>
      <c r="AM7" s="114" t="s">
        <v>131</v>
      </c>
      <c r="AN7" s="114"/>
      <c r="AO7" s="114" t="s">
        <v>131</v>
      </c>
      <c r="AP7" s="114"/>
      <c r="AQ7" s="114"/>
      <c r="AR7" s="114"/>
      <c r="AS7" s="114"/>
      <c r="AT7" s="114"/>
      <c r="AU7" s="114"/>
      <c r="AV7" s="114"/>
      <c r="AW7" s="114"/>
      <c r="AX7" s="114"/>
      <c r="AY7" s="114"/>
      <c r="AZ7" s="114"/>
      <c r="BA7" s="114" t="s">
        <v>491</v>
      </c>
      <c r="BB7" s="114"/>
      <c r="BC7" s="114" t="s">
        <v>492</v>
      </c>
      <c r="BD7" s="114"/>
      <c r="BE7" s="114" t="s">
        <v>493</v>
      </c>
    </row>
    <row r="8" spans="1:57" s="3" customFormat="1" x14ac:dyDescent="0.3">
      <c r="A8" s="21" t="s">
        <v>132</v>
      </c>
      <c r="B8" s="6">
        <v>300</v>
      </c>
      <c r="C8" s="82">
        <v>178.21</v>
      </c>
      <c r="D8" s="234"/>
      <c r="E8" s="11"/>
      <c r="F8" s="39">
        <v>370</v>
      </c>
      <c r="G8" s="39">
        <v>791</v>
      </c>
      <c r="H8" s="39">
        <v>753</v>
      </c>
      <c r="I8" s="39">
        <f>736+AQ8</f>
        <v>1336</v>
      </c>
      <c r="J8" s="39">
        <v>1212</v>
      </c>
      <c r="K8" s="39">
        <v>1171</v>
      </c>
      <c r="L8" s="39">
        <v>878</v>
      </c>
      <c r="M8" s="39">
        <v>508</v>
      </c>
      <c r="N8" s="39">
        <f>501+AP8</f>
        <v>1101</v>
      </c>
      <c r="O8" s="122">
        <v>1056</v>
      </c>
      <c r="P8" s="122">
        <v>733</v>
      </c>
      <c r="Q8" s="122">
        <f>646+AN8</f>
        <v>946</v>
      </c>
      <c r="R8" s="122">
        <v>694</v>
      </c>
      <c r="S8" s="122">
        <v>484</v>
      </c>
      <c r="T8" s="122">
        <f>411+AL8</f>
        <v>711</v>
      </c>
      <c r="U8" s="122">
        <v>526</v>
      </c>
      <c r="V8" s="122">
        <v>412</v>
      </c>
      <c r="W8" s="122">
        <v>0</v>
      </c>
      <c r="X8" s="122">
        <v>0</v>
      </c>
      <c r="Y8" s="122">
        <v>0</v>
      </c>
      <c r="Z8" s="122">
        <f>0+AJ8</f>
        <v>300</v>
      </c>
      <c r="AA8" s="122">
        <v>100</v>
      </c>
      <c r="AB8" s="372">
        <f ca="1">Z8+IF(NOT(ISBLANK(OFFSET(AB8,0,6))),N(OFFSET(AB8,0,6)),N(OFFSET(AB8,0,7)))-AA8</f>
        <v>200</v>
      </c>
      <c r="AC8" s="11"/>
      <c r="AD8" s="78"/>
      <c r="AE8" s="78"/>
      <c r="AF8" s="11"/>
      <c r="AG8" s="32">
        <v>300</v>
      </c>
      <c r="AH8" s="11"/>
      <c r="AI8" s="19">
        <v>0</v>
      </c>
      <c r="AJ8" s="19">
        <v>300</v>
      </c>
      <c r="AK8" s="19">
        <v>0</v>
      </c>
      <c r="AL8" s="19">
        <v>300</v>
      </c>
      <c r="AM8" s="19"/>
      <c r="AN8" s="19">
        <v>300</v>
      </c>
      <c r="AO8" s="19"/>
      <c r="AP8" s="19">
        <v>600</v>
      </c>
      <c r="AQ8" s="19">
        <v>600</v>
      </c>
      <c r="AR8" s="19">
        <v>300</v>
      </c>
      <c r="AS8" s="19">
        <v>300</v>
      </c>
      <c r="AT8" s="19">
        <v>300</v>
      </c>
      <c r="AU8" s="19"/>
      <c r="AV8" s="19">
        <v>300</v>
      </c>
      <c r="AW8" s="19"/>
      <c r="AX8" s="19">
        <v>300</v>
      </c>
      <c r="AY8" s="117"/>
      <c r="AZ8" s="117"/>
      <c r="BA8" s="117"/>
      <c r="BB8" s="19"/>
      <c r="BC8" s="19"/>
      <c r="BD8" s="117"/>
      <c r="BE8" s="117"/>
    </row>
    <row r="9" spans="1:57" s="3" customFormat="1" x14ac:dyDescent="0.3">
      <c r="A9" s="21" t="s">
        <v>134</v>
      </c>
      <c r="B9" s="6">
        <v>200</v>
      </c>
      <c r="C9" s="82">
        <v>183.89</v>
      </c>
      <c r="D9" s="234"/>
      <c r="E9" s="11"/>
      <c r="F9" s="122">
        <v>936</v>
      </c>
      <c r="G9" s="122">
        <v>1164</v>
      </c>
      <c r="H9" s="122">
        <v>1148</v>
      </c>
      <c r="I9" s="122">
        <f>1003+AQ9</f>
        <v>1803</v>
      </c>
      <c r="J9" s="122">
        <v>1699</v>
      </c>
      <c r="K9" s="122">
        <v>1533</v>
      </c>
      <c r="L9" s="122">
        <v>1388</v>
      </c>
      <c r="M9" s="122">
        <v>1175</v>
      </c>
      <c r="N9" s="122">
        <v>1008</v>
      </c>
      <c r="O9" s="122">
        <v>880</v>
      </c>
      <c r="P9" s="122">
        <v>767</v>
      </c>
      <c r="Q9" s="122">
        <f>580+AN9</f>
        <v>780</v>
      </c>
      <c r="R9" s="122">
        <v>592</v>
      </c>
      <c r="S9" s="122">
        <v>478</v>
      </c>
      <c r="T9" s="122">
        <v>340</v>
      </c>
      <c r="U9" s="122">
        <v>190</v>
      </c>
      <c r="V9" s="122">
        <v>85</v>
      </c>
      <c r="W9" s="122">
        <v>600</v>
      </c>
      <c r="X9" s="122">
        <v>462</v>
      </c>
      <c r="Y9" s="122">
        <v>244</v>
      </c>
      <c r="Z9" s="122">
        <f>20+AJ9</f>
        <v>620</v>
      </c>
      <c r="AA9" s="122">
        <v>435</v>
      </c>
      <c r="AB9" s="372">
        <f ca="1">Z9+IF(NOT(ISBLANK(OFFSET(AB9,0,6))),N(OFFSET(AB9,0,6)),N(OFFSET(AB9,0,7)))-AA9</f>
        <v>185</v>
      </c>
      <c r="AC9" s="11"/>
      <c r="AD9" s="78"/>
      <c r="AE9" s="78"/>
      <c r="AF9" s="11"/>
      <c r="AG9" s="32"/>
      <c r="AH9" s="11"/>
      <c r="AI9" s="19">
        <v>0</v>
      </c>
      <c r="AJ9" s="19">
        <v>600</v>
      </c>
      <c r="AK9" s="19">
        <v>600</v>
      </c>
      <c r="AL9" s="19"/>
      <c r="AM9" s="244">
        <v>400</v>
      </c>
      <c r="AN9" s="19">
        <v>200</v>
      </c>
      <c r="AO9" s="19"/>
      <c r="AP9" s="19"/>
      <c r="AQ9" s="19">
        <v>800</v>
      </c>
      <c r="AR9" s="19">
        <v>400</v>
      </c>
      <c r="AS9" s="19"/>
      <c r="AT9" s="19">
        <v>600</v>
      </c>
      <c r="AU9" s="19"/>
      <c r="AV9" s="19">
        <v>400</v>
      </c>
      <c r="AW9" s="19"/>
      <c r="AX9" s="19">
        <v>400</v>
      </c>
      <c r="AY9" s="253" t="s">
        <v>494</v>
      </c>
      <c r="AZ9" s="117"/>
      <c r="BA9" s="244" t="s">
        <v>495</v>
      </c>
      <c r="BB9" s="19"/>
      <c r="BC9" s="19"/>
      <c r="BD9" s="253" t="s">
        <v>496</v>
      </c>
      <c r="BE9" s="117"/>
    </row>
    <row r="10" spans="1:57" s="3" customFormat="1" x14ac:dyDescent="0.3">
      <c r="A10" s="21" t="s">
        <v>137</v>
      </c>
      <c r="B10" s="6">
        <v>200</v>
      </c>
      <c r="C10" s="82">
        <v>241.74</v>
      </c>
      <c r="D10" s="234"/>
      <c r="E10" s="11"/>
      <c r="F10" s="122">
        <v>329</v>
      </c>
      <c r="G10" s="122">
        <v>471</v>
      </c>
      <c r="H10" s="122">
        <v>400</v>
      </c>
      <c r="I10" s="122">
        <f>391+AQ10</f>
        <v>791</v>
      </c>
      <c r="J10" s="122">
        <v>733</v>
      </c>
      <c r="K10" s="122">
        <v>679</v>
      </c>
      <c r="L10" s="122">
        <v>601</v>
      </c>
      <c r="M10" s="122">
        <v>450</v>
      </c>
      <c r="N10" s="122">
        <v>542</v>
      </c>
      <c r="O10" s="122">
        <v>539</v>
      </c>
      <c r="P10" s="122">
        <v>167</v>
      </c>
      <c r="Q10" s="122">
        <f>8+AN10</f>
        <v>208</v>
      </c>
      <c r="R10" s="122">
        <v>110</v>
      </c>
      <c r="S10" s="122">
        <v>46</v>
      </c>
      <c r="T10" s="122">
        <f>5+AL10</f>
        <v>405</v>
      </c>
      <c r="U10" s="122">
        <v>400</v>
      </c>
      <c r="V10" s="122">
        <v>499</v>
      </c>
      <c r="W10" s="122">
        <v>340</v>
      </c>
      <c r="X10" s="122">
        <v>200</v>
      </c>
      <c r="Y10" s="122">
        <v>163</v>
      </c>
      <c r="Z10" s="122">
        <f>0+AJ10</f>
        <v>200</v>
      </c>
      <c r="AA10" s="122">
        <v>80</v>
      </c>
      <c r="AB10" s="372">
        <f ca="1">Z10+IF(NOT(ISBLANK(OFFSET(AB10,0,6))),N(OFFSET(AB10,0,6)),N(OFFSET(AB10,0,7)))-AA10</f>
        <v>120</v>
      </c>
      <c r="AC10" s="11"/>
      <c r="AD10" s="78"/>
      <c r="AE10" s="78"/>
      <c r="AF10" s="11"/>
      <c r="AG10" s="32">
        <v>200</v>
      </c>
      <c r="AH10" s="11"/>
      <c r="AI10" s="19">
        <v>0</v>
      </c>
      <c r="AJ10" s="19">
        <v>200</v>
      </c>
      <c r="AK10" s="19">
        <v>0</v>
      </c>
      <c r="AL10" s="19">
        <v>400</v>
      </c>
      <c r="AM10" s="244">
        <v>200</v>
      </c>
      <c r="AN10" s="19">
        <v>200</v>
      </c>
      <c r="AO10" s="293">
        <v>150</v>
      </c>
      <c r="AP10" s="19"/>
      <c r="AQ10" s="19">
        <v>400</v>
      </c>
      <c r="AR10" s="19">
        <v>400</v>
      </c>
      <c r="AS10" s="19"/>
      <c r="AT10" s="19">
        <v>200</v>
      </c>
      <c r="AU10" s="19"/>
      <c r="AV10" s="19">
        <v>200</v>
      </c>
      <c r="AW10" s="19"/>
      <c r="AX10" s="19">
        <v>200</v>
      </c>
      <c r="AY10" s="117"/>
      <c r="AZ10" s="117"/>
      <c r="BA10" s="244" t="s">
        <v>495</v>
      </c>
      <c r="BB10" s="19"/>
      <c r="BC10" s="19"/>
      <c r="BD10" s="253" t="s">
        <v>495</v>
      </c>
      <c r="BE10" s="251" t="s">
        <v>495</v>
      </c>
    </row>
    <row r="11" spans="1:57" s="3" customFormat="1" ht="19.5" customHeight="1" x14ac:dyDescent="0.3">
      <c r="A11" s="22" t="s">
        <v>139</v>
      </c>
      <c r="B11" s="6">
        <v>100</v>
      </c>
      <c r="C11" s="82">
        <v>175.78</v>
      </c>
      <c r="D11" s="234"/>
      <c r="E11" s="11"/>
      <c r="F11" s="39">
        <v>0</v>
      </c>
      <c r="G11" s="39">
        <v>300</v>
      </c>
      <c r="H11" s="39">
        <v>281</v>
      </c>
      <c r="I11" s="39">
        <f>279+AQ11</f>
        <v>579</v>
      </c>
      <c r="J11" s="39">
        <v>533</v>
      </c>
      <c r="K11" s="39">
        <v>503</v>
      </c>
      <c r="L11" s="39">
        <v>474</v>
      </c>
      <c r="M11" s="39">
        <v>432</v>
      </c>
      <c r="N11" s="39">
        <v>402</v>
      </c>
      <c r="O11" s="39">
        <v>350</v>
      </c>
      <c r="P11" s="39">
        <v>262</v>
      </c>
      <c r="Q11" s="39">
        <f>221+AN11</f>
        <v>321</v>
      </c>
      <c r="R11" s="39">
        <v>262</v>
      </c>
      <c r="S11" s="39">
        <v>209</v>
      </c>
      <c r="T11" s="39">
        <v>190</v>
      </c>
      <c r="U11" s="39">
        <v>190</v>
      </c>
      <c r="V11" s="39">
        <v>267</v>
      </c>
      <c r="W11" s="39">
        <v>220</v>
      </c>
      <c r="X11" s="39">
        <v>178</v>
      </c>
      <c r="Y11" s="39">
        <v>133</v>
      </c>
      <c r="Z11" s="39">
        <f>0+AJ11</f>
        <v>100</v>
      </c>
      <c r="AA11" s="39">
        <v>100</v>
      </c>
      <c r="AB11" s="372">
        <f ca="1">Z11+IF(NOT(ISBLANK(OFFSET(AB11,0,6))),N(OFFSET(AB11,0,6)),N(OFFSET(AB11,0,7)))-AA11</f>
        <v>0</v>
      </c>
      <c r="AC11" s="11"/>
      <c r="AD11" s="78"/>
      <c r="AE11" s="78"/>
      <c r="AF11" s="11"/>
      <c r="AG11" s="32"/>
      <c r="AH11" s="11"/>
      <c r="AI11" s="19">
        <v>0</v>
      </c>
      <c r="AJ11" s="19">
        <v>100</v>
      </c>
      <c r="AK11" s="19">
        <v>0</v>
      </c>
      <c r="AL11" s="19"/>
      <c r="AM11" s="244">
        <v>100</v>
      </c>
      <c r="AN11" s="19">
        <v>100</v>
      </c>
      <c r="AO11" s="19"/>
      <c r="AP11" s="19"/>
      <c r="AQ11" s="19">
        <v>300</v>
      </c>
      <c r="AR11" s="19">
        <v>300</v>
      </c>
      <c r="AS11" s="19"/>
      <c r="AT11" s="19"/>
      <c r="AU11" s="19"/>
      <c r="AV11" s="19">
        <v>100</v>
      </c>
      <c r="AW11" s="19"/>
      <c r="AX11" s="19"/>
      <c r="AY11" s="117"/>
      <c r="AZ11" s="117"/>
      <c r="BA11" s="117"/>
      <c r="BB11" s="244" t="s">
        <v>497</v>
      </c>
      <c r="BC11" s="19"/>
      <c r="BD11" s="253" t="s">
        <v>498</v>
      </c>
      <c r="BE11" s="19"/>
    </row>
    <row r="12" spans="1:57" s="3" customFormat="1" ht="19.5" hidden="1" customHeight="1" x14ac:dyDescent="0.3">
      <c r="A12" s="140" t="s">
        <v>499</v>
      </c>
      <c r="B12" s="141">
        <v>200</v>
      </c>
      <c r="C12" s="142">
        <v>144.12</v>
      </c>
      <c r="D12" s="234"/>
      <c r="E12" s="11"/>
      <c r="F12" s="39">
        <v>0</v>
      </c>
      <c r="G12" s="39">
        <v>0</v>
      </c>
      <c r="H12" s="39">
        <v>0</v>
      </c>
      <c r="I12" s="39">
        <v>0</v>
      </c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>
        <v>0</v>
      </c>
      <c r="AA12" s="39"/>
      <c r="AB12" s="123"/>
      <c r="AC12" s="11"/>
      <c r="AD12" s="243"/>
      <c r="AE12" s="243"/>
      <c r="AF12" s="11"/>
      <c r="AG12" s="32"/>
      <c r="AH12" s="11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17"/>
      <c r="AZ12" s="117"/>
      <c r="BA12" s="117"/>
      <c r="BB12" s="19"/>
      <c r="BC12" s="19"/>
      <c r="BD12" s="117"/>
      <c r="BE12" s="19"/>
    </row>
    <row r="13" spans="1:57" s="3" customFormat="1" ht="19.5" hidden="1" customHeight="1" x14ac:dyDescent="0.3">
      <c r="A13" s="140" t="s">
        <v>500</v>
      </c>
      <c r="B13" s="141">
        <v>100</v>
      </c>
      <c r="C13" s="142">
        <v>115.12</v>
      </c>
      <c r="D13" s="234"/>
      <c r="E13" s="11"/>
      <c r="F13" s="39">
        <v>0</v>
      </c>
      <c r="G13" s="39">
        <v>0</v>
      </c>
      <c r="H13" s="39">
        <v>0</v>
      </c>
      <c r="I13" s="39">
        <v>0</v>
      </c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>
        <v>0</v>
      </c>
      <c r="AA13" s="39"/>
      <c r="AB13" s="123"/>
      <c r="AC13" s="11"/>
      <c r="AD13" s="243"/>
      <c r="AE13" s="243"/>
      <c r="AF13" s="11"/>
      <c r="AG13" s="32"/>
      <c r="AH13" s="11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17"/>
      <c r="AZ13" s="117"/>
      <c r="BA13" s="117"/>
      <c r="BB13" s="19"/>
      <c r="BC13" s="19"/>
      <c r="BD13" s="117"/>
      <c r="BE13" s="19"/>
    </row>
    <row r="14" spans="1:57" ht="15" customHeight="1" x14ac:dyDescent="0.3">
      <c r="AY14" s="204"/>
      <c r="AZ14" s="204"/>
      <c r="BA14" s="204"/>
      <c r="BD14" s="204"/>
    </row>
    <row r="15" spans="1:57" x14ac:dyDescent="0.3">
      <c r="A15" s="24" t="s">
        <v>141</v>
      </c>
      <c r="B15" s="12"/>
      <c r="C15" s="65"/>
      <c r="D15" s="65"/>
      <c r="F15" s="13">
        <v>46006</v>
      </c>
      <c r="G15" s="13">
        <v>46013</v>
      </c>
      <c r="H15" s="13">
        <v>46020</v>
      </c>
      <c r="I15" s="13">
        <v>46027</v>
      </c>
      <c r="J15" s="13">
        <v>46034</v>
      </c>
      <c r="K15" s="13">
        <v>46041</v>
      </c>
      <c r="L15" s="13">
        <v>46048</v>
      </c>
      <c r="M15" s="13">
        <v>46055</v>
      </c>
      <c r="N15" s="13">
        <v>46062</v>
      </c>
      <c r="O15" s="13">
        <v>46069</v>
      </c>
      <c r="P15" s="13">
        <v>46076</v>
      </c>
      <c r="Q15" s="13">
        <v>46083</v>
      </c>
      <c r="R15" s="13">
        <v>46090</v>
      </c>
      <c r="S15" s="13">
        <v>46097</v>
      </c>
      <c r="T15" s="13">
        <v>46104</v>
      </c>
      <c r="U15" s="13">
        <v>46111</v>
      </c>
      <c r="V15" s="13">
        <v>46118</v>
      </c>
      <c r="W15" s="13">
        <v>46125</v>
      </c>
      <c r="X15" s="13">
        <v>46132</v>
      </c>
      <c r="Y15" s="13">
        <v>46139</v>
      </c>
      <c r="Z15" s="13">
        <v>46146</v>
      </c>
      <c r="AA15" s="13">
        <v>46154</v>
      </c>
      <c r="AB15" s="149" t="s">
        <v>129</v>
      </c>
      <c r="AD15" s="29" t="s">
        <v>126</v>
      </c>
      <c r="AE15" s="29" t="s">
        <v>126</v>
      </c>
      <c r="AG15" s="9" t="s">
        <v>127</v>
      </c>
      <c r="AI15" s="17">
        <v>46149</v>
      </c>
      <c r="AJ15" s="17">
        <v>46142</v>
      </c>
      <c r="AK15" s="17">
        <v>46114</v>
      </c>
      <c r="AL15" s="17">
        <v>46099</v>
      </c>
      <c r="AM15" s="294">
        <v>46065</v>
      </c>
      <c r="AN15" s="17">
        <v>46077</v>
      </c>
      <c r="AO15" s="292">
        <v>46045</v>
      </c>
      <c r="AP15" s="17">
        <v>46056</v>
      </c>
      <c r="AQ15" s="17">
        <v>46017</v>
      </c>
      <c r="AR15" s="17">
        <v>46007</v>
      </c>
      <c r="AS15" s="17">
        <v>46001</v>
      </c>
      <c r="AT15" s="17">
        <v>45994</v>
      </c>
      <c r="AU15" s="17">
        <v>45986</v>
      </c>
      <c r="AV15" s="17">
        <v>45980</v>
      </c>
      <c r="AW15" s="17">
        <v>45980</v>
      </c>
      <c r="AX15" s="17">
        <v>45973</v>
      </c>
      <c r="AY15" s="207">
        <v>45982</v>
      </c>
      <c r="AZ15" s="207">
        <v>45979</v>
      </c>
      <c r="BA15" s="269">
        <v>45974</v>
      </c>
      <c r="BB15" s="269">
        <v>45972</v>
      </c>
      <c r="BC15" s="258">
        <v>45968</v>
      </c>
      <c r="BD15" s="207">
        <v>45967</v>
      </c>
      <c r="BE15" s="274">
        <v>45964</v>
      </c>
    </row>
    <row r="16" spans="1:57" x14ac:dyDescent="0.3">
      <c r="A16" s="25" t="s">
        <v>224</v>
      </c>
      <c r="B16" s="6">
        <v>500</v>
      </c>
      <c r="C16" s="66">
        <v>95.9</v>
      </c>
      <c r="D16" s="234"/>
      <c r="F16" s="6">
        <v>2</v>
      </c>
      <c r="G16" s="6">
        <v>3</v>
      </c>
      <c r="H16" s="6">
        <v>3</v>
      </c>
      <c r="I16" s="6">
        <f>3+AQ16</f>
        <v>5</v>
      </c>
      <c r="J16" s="6">
        <v>5</v>
      </c>
      <c r="K16" s="6">
        <v>5</v>
      </c>
      <c r="L16" s="6">
        <v>5</v>
      </c>
      <c r="M16" s="6">
        <v>5</v>
      </c>
      <c r="N16" s="6">
        <v>4</v>
      </c>
      <c r="O16" s="6">
        <v>4</v>
      </c>
      <c r="P16" s="6">
        <v>4</v>
      </c>
      <c r="Q16" s="6">
        <v>4</v>
      </c>
      <c r="R16" s="6">
        <v>4</v>
      </c>
      <c r="S16" s="6">
        <v>4</v>
      </c>
      <c r="T16" s="6">
        <v>3</v>
      </c>
      <c r="U16" s="6">
        <v>3</v>
      </c>
      <c r="V16" s="6">
        <v>3</v>
      </c>
      <c r="W16" s="6">
        <v>3</v>
      </c>
      <c r="X16" s="6">
        <v>3</v>
      </c>
      <c r="Y16" s="6">
        <v>3</v>
      </c>
      <c r="Z16" s="6">
        <v>3</v>
      </c>
      <c r="AA16" s="6">
        <v>2</v>
      </c>
      <c r="AB16" s="372">
        <f ca="1">Z16+IF(NOT(ISBLANK(OFFSET(AB16,0,6))),N(OFFSET(AB16,0,6)),N(OFFSET(AB16,0,7)))-AA16</f>
        <v>1</v>
      </c>
      <c r="AD16" s="134"/>
      <c r="AE16" s="134"/>
      <c r="AG16" s="32"/>
      <c r="AI16" s="19">
        <v>0</v>
      </c>
      <c r="AJ16" s="19">
        <v>0</v>
      </c>
      <c r="AK16" s="19">
        <v>0</v>
      </c>
      <c r="AL16" s="19"/>
      <c r="AM16" s="19"/>
      <c r="AN16" s="19"/>
      <c r="AO16" s="293">
        <v>200</v>
      </c>
      <c r="AP16" s="19"/>
      <c r="AQ16" s="19">
        <v>2</v>
      </c>
      <c r="AR16" s="19"/>
      <c r="AS16" s="19">
        <v>1</v>
      </c>
      <c r="AT16" s="19"/>
      <c r="AU16" s="19"/>
      <c r="AV16" s="19">
        <v>3</v>
      </c>
      <c r="AW16" s="19"/>
      <c r="AX16" s="19"/>
      <c r="AY16" s="117"/>
      <c r="AZ16" s="117"/>
      <c r="BA16" s="117"/>
      <c r="BB16" s="19"/>
      <c r="BC16" s="19"/>
      <c r="BD16" s="117"/>
      <c r="BE16" s="19"/>
    </row>
    <row r="17" spans="1:57" x14ac:dyDescent="0.3">
      <c r="A17" s="25" t="s">
        <v>225</v>
      </c>
      <c r="B17" s="6">
        <v>2000</v>
      </c>
      <c r="C17" s="66">
        <v>53.49</v>
      </c>
      <c r="D17" s="234"/>
      <c r="F17" s="6">
        <v>1</v>
      </c>
      <c r="G17" s="6">
        <v>0</v>
      </c>
      <c r="H17" s="6">
        <v>0</v>
      </c>
      <c r="I17" s="6">
        <f>0+AQ17</f>
        <v>4</v>
      </c>
      <c r="J17" s="6">
        <v>4</v>
      </c>
      <c r="K17" s="6">
        <v>4</v>
      </c>
      <c r="L17" s="6">
        <v>4</v>
      </c>
      <c r="M17" s="6">
        <v>8</v>
      </c>
      <c r="N17" s="6">
        <v>8</v>
      </c>
      <c r="O17" s="6">
        <v>7</v>
      </c>
      <c r="P17" s="6">
        <v>7</v>
      </c>
      <c r="Q17" s="6">
        <v>7</v>
      </c>
      <c r="R17" s="6">
        <v>7</v>
      </c>
      <c r="S17" s="6">
        <v>7</v>
      </c>
      <c r="T17" s="6">
        <v>6</v>
      </c>
      <c r="U17" s="6">
        <v>6</v>
      </c>
      <c r="V17" s="6">
        <v>5</v>
      </c>
      <c r="W17" s="6">
        <v>4</v>
      </c>
      <c r="X17" s="6">
        <v>3</v>
      </c>
      <c r="Y17" s="6">
        <v>2</v>
      </c>
      <c r="Z17" s="6">
        <v>2</v>
      </c>
      <c r="AA17" s="6">
        <v>0</v>
      </c>
      <c r="AB17" s="372">
        <f ca="1">Z17+IF(NOT(ISBLANK(OFFSET(AB17,0,6))),N(OFFSET(AB17,0,6)),N(OFFSET(AB17,0,7)))-AA17</f>
        <v>2</v>
      </c>
      <c r="AD17" s="134" t="s">
        <v>541</v>
      </c>
      <c r="AE17" s="134"/>
      <c r="AG17" s="32"/>
      <c r="AI17" s="19">
        <v>0</v>
      </c>
      <c r="AJ17" s="19">
        <v>0</v>
      </c>
      <c r="AK17" s="19">
        <v>0</v>
      </c>
      <c r="AL17" s="19"/>
      <c r="AM17" s="19"/>
      <c r="AN17" s="19"/>
      <c r="AO17" s="293">
        <v>1</v>
      </c>
      <c r="AP17" s="19"/>
      <c r="AQ17" s="19">
        <v>4</v>
      </c>
      <c r="AR17" s="19"/>
      <c r="AS17" s="19">
        <v>3</v>
      </c>
      <c r="AT17" s="19"/>
      <c r="AU17" s="19"/>
      <c r="AV17" s="19">
        <v>3</v>
      </c>
      <c r="AW17" s="19"/>
      <c r="AX17" s="19"/>
      <c r="AY17" s="117"/>
      <c r="AZ17" s="117"/>
      <c r="BA17" s="117"/>
      <c r="BB17" s="19"/>
      <c r="BC17" s="19"/>
      <c r="BD17" s="117"/>
      <c r="BE17" s="19"/>
    </row>
    <row r="18" spans="1:57" x14ac:dyDescent="0.3">
      <c r="A18" s="25" t="s">
        <v>147</v>
      </c>
      <c r="B18" s="6">
        <v>200</v>
      </c>
      <c r="C18" s="66">
        <v>9.93</v>
      </c>
      <c r="D18" s="234"/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v>0</v>
      </c>
      <c r="W18" s="6">
        <v>0</v>
      </c>
      <c r="X18" s="6">
        <v>0</v>
      </c>
      <c r="Y18" s="6">
        <v>0</v>
      </c>
      <c r="Z18" s="6">
        <v>0</v>
      </c>
      <c r="AA18" s="6">
        <v>0</v>
      </c>
      <c r="AB18" s="372">
        <f ca="1">Z18+IF(NOT(ISBLANK(OFFSET(AB18,0,6))),N(OFFSET(AB18,0,6)),N(OFFSET(AB18,0,7)))-AA18</f>
        <v>0</v>
      </c>
      <c r="AD18" s="134" t="s">
        <v>340</v>
      </c>
      <c r="AE18" s="134"/>
      <c r="AG18" s="32"/>
      <c r="AI18" s="19">
        <v>0</v>
      </c>
      <c r="AJ18" s="19">
        <v>0</v>
      </c>
      <c r="AK18" s="19">
        <v>0</v>
      </c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17"/>
      <c r="AZ18" s="117"/>
      <c r="BA18" s="117"/>
      <c r="BB18" s="19"/>
      <c r="BC18" s="19"/>
      <c r="BD18" s="117"/>
      <c r="BE18" s="19"/>
    </row>
    <row r="19" spans="1:57" x14ac:dyDescent="0.3">
      <c r="A19" s="25" t="s">
        <v>148</v>
      </c>
      <c r="B19" s="6">
        <v>3000</v>
      </c>
      <c r="C19" s="66">
        <v>69.37</v>
      </c>
      <c r="D19" s="234"/>
      <c r="F19" s="83">
        <v>3</v>
      </c>
      <c r="G19" s="83">
        <v>3</v>
      </c>
      <c r="H19" s="83">
        <v>3</v>
      </c>
      <c r="I19" s="83">
        <v>3</v>
      </c>
      <c r="J19" s="83">
        <v>3</v>
      </c>
      <c r="K19" s="83">
        <v>3</v>
      </c>
      <c r="L19" s="83">
        <v>3</v>
      </c>
      <c r="M19" s="83">
        <v>3</v>
      </c>
      <c r="N19" s="83">
        <v>3</v>
      </c>
      <c r="O19" s="83">
        <v>3</v>
      </c>
      <c r="P19" s="83">
        <v>3</v>
      </c>
      <c r="Q19" s="83">
        <v>2</v>
      </c>
      <c r="R19" s="83">
        <v>2</v>
      </c>
      <c r="S19" s="83">
        <v>2</v>
      </c>
      <c r="T19" s="83">
        <v>2</v>
      </c>
      <c r="U19" s="83">
        <v>2</v>
      </c>
      <c r="V19" s="83">
        <v>2</v>
      </c>
      <c r="W19" s="83">
        <v>2</v>
      </c>
      <c r="X19" s="83">
        <v>2</v>
      </c>
      <c r="Y19" s="83">
        <v>2</v>
      </c>
      <c r="Z19" s="83">
        <v>2</v>
      </c>
      <c r="AA19" s="83">
        <v>2</v>
      </c>
      <c r="AB19" s="372">
        <f ca="1">Z19+IF(NOT(ISBLANK(OFFSET(AB19,0,6))),N(OFFSET(AB19,0,6)),N(OFFSET(AB19,0,7)))-AA19</f>
        <v>0</v>
      </c>
      <c r="AD19" s="134"/>
      <c r="AE19" s="134"/>
      <c r="AG19" s="32"/>
      <c r="AI19" s="19">
        <v>0</v>
      </c>
      <c r="AJ19" s="19">
        <v>0</v>
      </c>
      <c r="AK19" s="19">
        <v>0</v>
      </c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>
        <v>3</v>
      </c>
      <c r="AW19" s="19"/>
      <c r="AX19" s="19"/>
      <c r="AY19" s="117"/>
      <c r="AZ19" s="117"/>
      <c r="BA19" s="117"/>
      <c r="BB19" s="19"/>
      <c r="BC19" s="19"/>
      <c r="BD19" s="117"/>
      <c r="BE19" s="19"/>
    </row>
    <row r="20" spans="1:57" s="3" customFormat="1" ht="19.5" customHeight="1" x14ac:dyDescent="0.3">
      <c r="A20" s="129"/>
      <c r="B20" s="130"/>
      <c r="C20" s="67"/>
      <c r="D20" s="67"/>
      <c r="E20" s="11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11"/>
      <c r="AD20" s="10"/>
      <c r="AE20" s="10"/>
      <c r="AF20" s="11"/>
      <c r="AG20" s="33"/>
      <c r="AH20" s="11"/>
      <c r="AI20" s="75"/>
      <c r="AJ20" s="75"/>
      <c r="AK20" s="75"/>
      <c r="AL20" s="75"/>
      <c r="AM20" s="75"/>
      <c r="AN20" s="75"/>
      <c r="AO20" s="75"/>
      <c r="AP20" s="75"/>
      <c r="AQ20" s="75"/>
      <c r="AR20" s="75"/>
      <c r="AS20" s="75"/>
      <c r="AT20" s="75"/>
      <c r="AU20" s="75"/>
      <c r="AV20" s="75"/>
      <c r="AW20" s="75"/>
      <c r="AX20" s="75"/>
      <c r="AY20" s="201"/>
      <c r="AZ20" s="201"/>
      <c r="BA20" s="201"/>
      <c r="BB20" s="75"/>
      <c r="BC20" s="75"/>
      <c r="BD20" s="201"/>
      <c r="BE20" s="75"/>
    </row>
    <row r="21" spans="1:57" s="3" customFormat="1" x14ac:dyDescent="0.3">
      <c r="A21" s="24" t="s">
        <v>428</v>
      </c>
      <c r="B21" s="12" t="s">
        <v>151</v>
      </c>
      <c r="C21" s="65" t="s">
        <v>152</v>
      </c>
      <c r="D21" s="12" t="s">
        <v>125</v>
      </c>
      <c r="E21" s="7"/>
      <c r="F21" s="13">
        <v>46006</v>
      </c>
      <c r="G21" s="13">
        <v>46013</v>
      </c>
      <c r="H21" s="13">
        <v>46020</v>
      </c>
      <c r="I21" s="13">
        <v>46027</v>
      </c>
      <c r="J21" s="13">
        <v>46034</v>
      </c>
      <c r="K21" s="13">
        <v>46041</v>
      </c>
      <c r="L21" s="13">
        <v>46048</v>
      </c>
      <c r="M21" s="13">
        <v>46055</v>
      </c>
      <c r="N21" s="13">
        <v>46062</v>
      </c>
      <c r="O21" s="13">
        <v>46069</v>
      </c>
      <c r="P21" s="13">
        <v>46076</v>
      </c>
      <c r="Q21" s="13">
        <v>46083</v>
      </c>
      <c r="R21" s="13">
        <v>46090</v>
      </c>
      <c r="S21" s="13">
        <v>46097</v>
      </c>
      <c r="T21" s="13">
        <v>46104</v>
      </c>
      <c r="U21" s="13">
        <v>46111</v>
      </c>
      <c r="V21" s="13">
        <v>46118</v>
      </c>
      <c r="W21" s="13">
        <v>46125</v>
      </c>
      <c r="X21" s="13">
        <v>46132</v>
      </c>
      <c r="Y21" s="13">
        <v>46139</v>
      </c>
      <c r="Z21" s="13">
        <v>46146</v>
      </c>
      <c r="AA21" s="13">
        <v>46154</v>
      </c>
      <c r="AB21" s="149" t="s">
        <v>129</v>
      </c>
      <c r="AC21" s="11"/>
      <c r="AD21" s="29" t="s">
        <v>126</v>
      </c>
      <c r="AE21" s="29" t="s">
        <v>126</v>
      </c>
      <c r="AG21" s="9" t="s">
        <v>127</v>
      </c>
      <c r="AI21" s="17">
        <v>46149</v>
      </c>
      <c r="AJ21" s="17">
        <v>46142</v>
      </c>
      <c r="AK21" s="17">
        <v>46114</v>
      </c>
      <c r="AL21" s="17">
        <v>46099</v>
      </c>
      <c r="AM21" s="294">
        <v>46065</v>
      </c>
      <c r="AN21" s="17">
        <v>46077</v>
      </c>
      <c r="AO21" s="292">
        <v>46045</v>
      </c>
      <c r="AP21" s="17">
        <v>46056</v>
      </c>
      <c r="AQ21" s="17">
        <v>46017</v>
      </c>
      <c r="AR21" s="17">
        <v>46007</v>
      </c>
      <c r="AS21" s="17">
        <v>46001</v>
      </c>
      <c r="AT21" s="17">
        <v>45994</v>
      </c>
      <c r="AU21" s="17">
        <v>45986</v>
      </c>
      <c r="AV21" s="17">
        <v>45980</v>
      </c>
      <c r="AW21" s="17">
        <v>45980</v>
      </c>
      <c r="AX21" s="17">
        <v>45973</v>
      </c>
      <c r="AY21" s="207">
        <v>45982</v>
      </c>
      <c r="AZ21" s="207">
        <v>45979</v>
      </c>
      <c r="BA21" s="269">
        <v>45974</v>
      </c>
      <c r="BB21" s="269">
        <v>45972</v>
      </c>
      <c r="BC21" s="258">
        <v>45968</v>
      </c>
      <c r="BD21" s="207">
        <v>45967</v>
      </c>
      <c r="BE21" s="274">
        <v>45964</v>
      </c>
    </row>
    <row r="22" spans="1:57" s="3" customFormat="1" x14ac:dyDescent="0.3">
      <c r="A22" s="25" t="s">
        <v>429</v>
      </c>
      <c r="B22" s="6">
        <v>300</v>
      </c>
      <c r="C22" s="66">
        <v>216</v>
      </c>
      <c r="D22" s="234"/>
      <c r="E22" s="127"/>
      <c r="F22" s="128">
        <v>65</v>
      </c>
      <c r="G22" s="128">
        <v>65</v>
      </c>
      <c r="H22" s="128">
        <v>65</v>
      </c>
      <c r="I22" s="128">
        <v>65</v>
      </c>
      <c r="J22" s="128">
        <v>65</v>
      </c>
      <c r="K22" s="128">
        <v>65</v>
      </c>
      <c r="L22" s="128">
        <v>65</v>
      </c>
      <c r="M22" s="128">
        <v>65</v>
      </c>
      <c r="N22" s="128">
        <v>65</v>
      </c>
      <c r="O22" s="128">
        <v>65</v>
      </c>
      <c r="P22" s="128">
        <v>65</v>
      </c>
      <c r="Q22" s="128">
        <v>65</v>
      </c>
      <c r="R22" s="128">
        <v>65</v>
      </c>
      <c r="S22" s="128">
        <v>61</v>
      </c>
      <c r="T22" s="128">
        <v>61</v>
      </c>
      <c r="U22" s="128">
        <v>61</v>
      </c>
      <c r="V22" s="128"/>
      <c r="W22" s="128"/>
      <c r="X22" s="128"/>
      <c r="Y22" s="128"/>
      <c r="Z22" s="128"/>
      <c r="AA22" s="128">
        <v>40</v>
      </c>
      <c r="AB22" s="372">
        <f ca="1">Z22+IF(NOT(ISBLANK(OFFSET(AB22,0,6))),N(OFFSET(AB22,0,6)),N(OFFSET(AB22,0,7)))-AA22</f>
        <v>-40</v>
      </c>
      <c r="AC22" s="125"/>
      <c r="AD22" s="78"/>
      <c r="AE22" s="78"/>
      <c r="AF22" s="126"/>
      <c r="AG22" s="32"/>
      <c r="AH22" s="126"/>
      <c r="AI22" s="19">
        <v>0</v>
      </c>
      <c r="AJ22" s="19">
        <v>0</v>
      </c>
      <c r="AK22" s="19">
        <v>0</v>
      </c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17"/>
      <c r="AZ22" s="253" t="s">
        <v>501</v>
      </c>
      <c r="BA22" s="117"/>
      <c r="BB22" s="19"/>
      <c r="BC22" s="19"/>
      <c r="BD22" s="117"/>
      <c r="BE22" s="19"/>
    </row>
    <row r="23" spans="1:57" s="3" customFormat="1" x14ac:dyDescent="0.3">
      <c r="A23" s="25" t="s">
        <v>430</v>
      </c>
      <c r="B23" s="6">
        <v>200</v>
      </c>
      <c r="C23" s="66">
        <v>246.28</v>
      </c>
      <c r="D23" s="234"/>
      <c r="E23" s="1"/>
      <c r="F23" s="39">
        <v>0</v>
      </c>
      <c r="G23" s="39">
        <v>0</v>
      </c>
      <c r="H23" s="39">
        <v>0</v>
      </c>
      <c r="I23" s="39">
        <v>0</v>
      </c>
      <c r="J23" s="39">
        <v>0</v>
      </c>
      <c r="K23" s="39">
        <v>0</v>
      </c>
      <c r="L23" s="39">
        <v>0</v>
      </c>
      <c r="M23" s="39">
        <v>0</v>
      </c>
      <c r="N23" s="39">
        <v>0</v>
      </c>
      <c r="O23" s="39">
        <v>0</v>
      </c>
      <c r="P23" s="39">
        <v>0</v>
      </c>
      <c r="Q23" s="39">
        <v>0</v>
      </c>
      <c r="R23" s="39">
        <v>0</v>
      </c>
      <c r="S23" s="39">
        <v>0</v>
      </c>
      <c r="T23" s="39">
        <v>0</v>
      </c>
      <c r="U23" s="39">
        <v>0</v>
      </c>
      <c r="V23" s="39"/>
      <c r="W23" s="39"/>
      <c r="X23" s="39"/>
      <c r="Y23" s="39"/>
      <c r="Z23" s="39"/>
      <c r="AA23" s="39">
        <v>0</v>
      </c>
      <c r="AB23" s="372">
        <f ca="1">Z23+IF(NOT(ISBLANK(OFFSET(AB23,0,6))),N(OFFSET(AB23,0,6)),N(OFFSET(AB23,0,7)))-AA23</f>
        <v>0</v>
      </c>
      <c r="AC23" s="125"/>
      <c r="AD23" s="78" t="s">
        <v>498</v>
      </c>
      <c r="AE23" s="78"/>
      <c r="AF23" s="126"/>
      <c r="AG23" s="32"/>
      <c r="AH23" s="126"/>
      <c r="AI23" s="19">
        <v>0</v>
      </c>
      <c r="AJ23" s="19">
        <v>0</v>
      </c>
      <c r="AK23" s="19">
        <v>0</v>
      </c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17"/>
      <c r="AZ23" s="117"/>
      <c r="BA23" s="117"/>
      <c r="BB23" s="19"/>
      <c r="BC23" s="19"/>
      <c r="BD23" s="117"/>
      <c r="BE23" s="19"/>
    </row>
    <row r="24" spans="1:57" s="3" customFormat="1" x14ac:dyDescent="0.3">
      <c r="A24" s="25" t="s">
        <v>431</v>
      </c>
      <c r="B24" s="6">
        <v>200</v>
      </c>
      <c r="C24" s="66">
        <v>316.91000000000003</v>
      </c>
      <c r="D24" s="234"/>
      <c r="E24" s="1"/>
      <c r="F24" s="39">
        <v>0</v>
      </c>
      <c r="G24" s="39">
        <v>0</v>
      </c>
      <c r="H24" s="39">
        <v>0</v>
      </c>
      <c r="I24" s="39">
        <v>0</v>
      </c>
      <c r="J24" s="39">
        <v>0</v>
      </c>
      <c r="K24" s="39">
        <v>0</v>
      </c>
      <c r="L24" s="39">
        <v>0</v>
      </c>
      <c r="M24" s="39">
        <v>0</v>
      </c>
      <c r="N24" s="39">
        <v>0</v>
      </c>
      <c r="O24" s="39">
        <v>0</v>
      </c>
      <c r="P24" s="39">
        <v>0</v>
      </c>
      <c r="Q24" s="39">
        <v>0</v>
      </c>
      <c r="R24" s="39">
        <v>0</v>
      </c>
      <c r="S24" s="39">
        <v>0</v>
      </c>
      <c r="T24" s="39">
        <v>0</v>
      </c>
      <c r="U24" s="39">
        <v>0</v>
      </c>
      <c r="V24" s="39"/>
      <c r="W24" s="39"/>
      <c r="X24" s="39"/>
      <c r="Y24" s="39"/>
      <c r="Z24" s="39"/>
      <c r="AA24" s="39">
        <v>0</v>
      </c>
      <c r="AB24" s="372">
        <f ca="1">Z24+IF(NOT(ISBLANK(OFFSET(AB24,0,6))),N(OFFSET(AB24,0,6)),N(OFFSET(AB24,0,7)))-AA24</f>
        <v>0</v>
      </c>
      <c r="AC24" s="125"/>
      <c r="AD24" s="78" t="s">
        <v>498</v>
      </c>
      <c r="AE24" s="78"/>
      <c r="AF24" s="126"/>
      <c r="AG24" s="32"/>
      <c r="AH24" s="126"/>
      <c r="AI24" s="19">
        <v>0</v>
      </c>
      <c r="AJ24" s="19">
        <v>0</v>
      </c>
      <c r="AK24" s="19">
        <v>0</v>
      </c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17"/>
      <c r="AZ24" s="117"/>
      <c r="BA24" s="117"/>
      <c r="BB24" s="19"/>
      <c r="BC24" s="19"/>
      <c r="BD24" s="117"/>
      <c r="BE24" s="19"/>
    </row>
    <row r="25" spans="1:57" s="3" customFormat="1" ht="16.5" customHeight="1" x14ac:dyDescent="0.3">
      <c r="A25" s="23"/>
      <c r="B25" s="1"/>
      <c r="C25" s="64"/>
      <c r="D25" s="64"/>
      <c r="E25" s="11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11"/>
      <c r="AD25" s="10"/>
      <c r="AE25" s="10"/>
      <c r="AF25" s="11"/>
      <c r="AG25" s="33"/>
      <c r="AH25" s="11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201"/>
      <c r="AZ25" s="201"/>
      <c r="BA25" s="201"/>
      <c r="BB25" s="15"/>
      <c r="BC25" s="15"/>
      <c r="BD25" s="201"/>
      <c r="BE25" s="15"/>
    </row>
    <row r="26" spans="1:57" s="3" customFormat="1" x14ac:dyDescent="0.3">
      <c r="A26" s="24" t="s">
        <v>432</v>
      </c>
      <c r="B26" s="12"/>
      <c r="C26" s="65"/>
      <c r="D26" s="65"/>
      <c r="E26" s="7"/>
      <c r="F26" s="13">
        <v>46006</v>
      </c>
      <c r="G26" s="13">
        <v>46013</v>
      </c>
      <c r="H26" s="13">
        <v>46020</v>
      </c>
      <c r="I26" s="13">
        <v>46027</v>
      </c>
      <c r="J26" s="13">
        <v>46034</v>
      </c>
      <c r="K26" s="13">
        <v>46041</v>
      </c>
      <c r="L26" s="13">
        <v>46048</v>
      </c>
      <c r="M26" s="13">
        <v>46055</v>
      </c>
      <c r="N26" s="13">
        <v>46062</v>
      </c>
      <c r="O26" s="13">
        <v>46069</v>
      </c>
      <c r="P26" s="13">
        <v>46076</v>
      </c>
      <c r="Q26" s="13">
        <v>46083</v>
      </c>
      <c r="R26" s="13">
        <v>46090</v>
      </c>
      <c r="S26" s="13">
        <v>46097</v>
      </c>
      <c r="T26" s="13">
        <v>46104</v>
      </c>
      <c r="U26" s="13">
        <v>46111</v>
      </c>
      <c r="V26" s="13">
        <v>46118</v>
      </c>
      <c r="W26" s="13">
        <v>46125</v>
      </c>
      <c r="X26" s="13">
        <v>46132</v>
      </c>
      <c r="Y26" s="13">
        <v>46139</v>
      </c>
      <c r="Z26" s="13">
        <v>46146</v>
      </c>
      <c r="AA26" s="13">
        <v>46154</v>
      </c>
      <c r="AB26" s="35" t="s">
        <v>129</v>
      </c>
      <c r="AC26" s="7"/>
      <c r="AD26" s="29" t="s">
        <v>126</v>
      </c>
      <c r="AE26" s="29" t="s">
        <v>126</v>
      </c>
      <c r="AF26" s="11"/>
      <c r="AG26" s="9" t="s">
        <v>127</v>
      </c>
      <c r="AH26" s="7"/>
      <c r="AI26" s="17">
        <v>46149</v>
      </c>
      <c r="AJ26" s="17">
        <v>46142</v>
      </c>
      <c r="AK26" s="17">
        <v>46114</v>
      </c>
      <c r="AL26" s="17">
        <v>46099</v>
      </c>
      <c r="AM26" s="294">
        <v>46065</v>
      </c>
      <c r="AN26" s="17">
        <v>46077</v>
      </c>
      <c r="AO26" s="292">
        <v>46045</v>
      </c>
      <c r="AP26" s="17">
        <v>46056</v>
      </c>
      <c r="AQ26" s="17">
        <v>46017</v>
      </c>
      <c r="AR26" s="17">
        <v>46007</v>
      </c>
      <c r="AS26" s="17">
        <v>46001</v>
      </c>
      <c r="AT26" s="17">
        <v>45994</v>
      </c>
      <c r="AU26" s="17">
        <v>45986</v>
      </c>
      <c r="AV26" s="17">
        <v>45980</v>
      </c>
      <c r="AW26" s="17">
        <v>45980</v>
      </c>
      <c r="AX26" s="17">
        <v>45973</v>
      </c>
      <c r="AY26" s="207">
        <v>45982</v>
      </c>
      <c r="AZ26" s="207">
        <v>45979</v>
      </c>
      <c r="BA26" s="269">
        <v>45974</v>
      </c>
      <c r="BB26" s="269">
        <v>45972</v>
      </c>
      <c r="BC26" s="258">
        <v>45968</v>
      </c>
      <c r="BD26" s="207">
        <v>45967</v>
      </c>
      <c r="BE26" s="274">
        <v>45964</v>
      </c>
    </row>
    <row r="27" spans="1:57" s="3" customFormat="1" x14ac:dyDescent="0.3">
      <c r="A27" s="25" t="s">
        <v>142</v>
      </c>
      <c r="B27" s="6">
        <v>200</v>
      </c>
      <c r="C27" s="66">
        <v>38</v>
      </c>
      <c r="D27" s="234"/>
      <c r="E27" s="7"/>
      <c r="F27" s="39">
        <v>77</v>
      </c>
      <c r="G27" s="39">
        <v>77</v>
      </c>
      <c r="H27" s="39">
        <v>77</v>
      </c>
      <c r="I27" s="39">
        <v>77</v>
      </c>
      <c r="J27" s="39">
        <v>77</v>
      </c>
      <c r="K27" s="39">
        <v>77</v>
      </c>
      <c r="L27" s="39">
        <v>77</v>
      </c>
      <c r="M27" s="39">
        <v>77</v>
      </c>
      <c r="N27" s="39">
        <v>77</v>
      </c>
      <c r="O27" s="39">
        <v>77</v>
      </c>
      <c r="P27" s="39">
        <v>77</v>
      </c>
      <c r="Q27" s="39">
        <v>77</v>
      </c>
      <c r="R27" s="39">
        <v>77</v>
      </c>
      <c r="S27" s="39">
        <v>38</v>
      </c>
      <c r="T27" s="39">
        <v>38</v>
      </c>
      <c r="U27" s="39">
        <v>38</v>
      </c>
      <c r="V27" s="39"/>
      <c r="W27" s="39"/>
      <c r="X27" s="39"/>
      <c r="Y27" s="39"/>
      <c r="Z27" s="39"/>
      <c r="AA27" s="39">
        <v>38</v>
      </c>
      <c r="AB27" s="372">
        <f ca="1">Z27+IF(NOT(ISBLANK(OFFSET(AB27,0,6))),N(OFFSET(AB27,0,6)),N(OFFSET(AB27,0,7)))-AA27</f>
        <v>-38</v>
      </c>
      <c r="AC27" s="7"/>
      <c r="AD27" s="78"/>
      <c r="AE27" s="78"/>
      <c r="AF27" s="7"/>
      <c r="AG27" s="76"/>
      <c r="AH27" s="7"/>
      <c r="AI27" s="19">
        <v>0</v>
      </c>
      <c r="AJ27" s="19">
        <v>0</v>
      </c>
      <c r="AK27" s="19">
        <v>0</v>
      </c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17"/>
      <c r="AZ27" s="117"/>
      <c r="BA27" s="244" t="s">
        <v>495</v>
      </c>
      <c r="BB27" s="19"/>
      <c r="BC27" s="19"/>
      <c r="BD27" s="253" t="s">
        <v>501</v>
      </c>
      <c r="BE27" s="251" t="s">
        <v>495</v>
      </c>
    </row>
    <row r="28" spans="1:57" s="3" customFormat="1" x14ac:dyDescent="0.3">
      <c r="A28" s="25" t="s">
        <v>433</v>
      </c>
      <c r="B28" s="6">
        <v>2500</v>
      </c>
      <c r="C28" s="66">
        <v>66.87</v>
      </c>
      <c r="D28" s="234"/>
      <c r="E28" s="7"/>
      <c r="F28" s="206">
        <v>0</v>
      </c>
      <c r="G28" s="39">
        <v>0</v>
      </c>
      <c r="H28" s="39">
        <v>9</v>
      </c>
      <c r="I28" s="39">
        <v>9</v>
      </c>
      <c r="J28" s="39">
        <v>9</v>
      </c>
      <c r="K28" s="39">
        <v>4</v>
      </c>
      <c r="L28" s="39">
        <v>3</v>
      </c>
      <c r="M28" s="39">
        <v>3</v>
      </c>
      <c r="N28" s="39">
        <v>2</v>
      </c>
      <c r="O28" s="39">
        <v>2</v>
      </c>
      <c r="P28" s="39">
        <v>2</v>
      </c>
      <c r="Q28" s="39">
        <v>2</v>
      </c>
      <c r="R28" s="39">
        <v>2</v>
      </c>
      <c r="S28" s="39">
        <v>2</v>
      </c>
      <c r="T28" s="39">
        <v>1</v>
      </c>
      <c r="U28" s="39">
        <v>1</v>
      </c>
      <c r="V28" s="39"/>
      <c r="W28" s="39"/>
      <c r="X28" s="39"/>
      <c r="Y28" s="39"/>
      <c r="Z28" s="39"/>
      <c r="AA28" s="39">
        <v>0</v>
      </c>
      <c r="AB28" s="372">
        <f ca="1">Z28+IF(NOT(ISBLANK(OFFSET(AB28,0,6))),N(OFFSET(AB28,0,6)),N(OFFSET(AB28,0,7)))-AA28</f>
        <v>0</v>
      </c>
      <c r="AC28" s="7"/>
      <c r="AD28" s="78"/>
      <c r="AE28" s="78"/>
      <c r="AF28" s="7"/>
      <c r="AG28" s="76"/>
      <c r="AH28" s="7"/>
      <c r="AI28" s="19">
        <v>0</v>
      </c>
      <c r="AJ28" s="19">
        <v>0</v>
      </c>
      <c r="AK28" s="19">
        <v>0</v>
      </c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17"/>
      <c r="AZ28" s="117"/>
      <c r="BA28" s="117"/>
      <c r="BB28" s="19"/>
      <c r="BC28" s="19"/>
      <c r="BD28" s="253" t="s">
        <v>502</v>
      </c>
      <c r="BE28" s="19"/>
    </row>
    <row r="29" spans="1:57" s="3" customFormat="1" x14ac:dyDescent="0.25">
      <c r="A29" s="25" t="s">
        <v>434</v>
      </c>
      <c r="B29" s="6">
        <v>1050</v>
      </c>
      <c r="C29" s="66">
        <v>52.14</v>
      </c>
      <c r="D29" s="234"/>
      <c r="E29" s="1"/>
      <c r="F29" s="39">
        <v>8</v>
      </c>
      <c r="G29" s="39">
        <v>8</v>
      </c>
      <c r="H29" s="39">
        <v>0</v>
      </c>
      <c r="I29" s="39">
        <v>0</v>
      </c>
      <c r="J29" s="39">
        <v>0</v>
      </c>
      <c r="K29" s="39">
        <v>0</v>
      </c>
      <c r="L29" s="39">
        <v>0</v>
      </c>
      <c r="M29" s="39">
        <v>0</v>
      </c>
      <c r="N29" s="39">
        <v>0</v>
      </c>
      <c r="O29" s="39">
        <v>0</v>
      </c>
      <c r="P29" s="39">
        <v>0</v>
      </c>
      <c r="Q29" s="39">
        <v>0</v>
      </c>
      <c r="R29" s="39">
        <v>0</v>
      </c>
      <c r="S29" s="39">
        <v>0</v>
      </c>
      <c r="T29" s="39">
        <v>0</v>
      </c>
      <c r="U29" s="39">
        <v>0</v>
      </c>
      <c r="V29" s="39"/>
      <c r="W29" s="39"/>
      <c r="X29" s="39"/>
      <c r="Y29" s="39"/>
      <c r="Z29" s="39"/>
      <c r="AA29" s="39">
        <v>0</v>
      </c>
      <c r="AB29" s="372">
        <f ca="1">Z29+IF(NOT(ISBLANK(OFFSET(AB29,0,6))),N(OFFSET(AB29,0,6)),N(OFFSET(AB29,0,7)))-AA29</f>
        <v>0</v>
      </c>
      <c r="AC29" s="1"/>
      <c r="AD29" s="78"/>
      <c r="AE29" s="78"/>
      <c r="AF29" s="1"/>
      <c r="AG29" s="76"/>
      <c r="AH29" s="1"/>
      <c r="AI29" s="19">
        <v>0</v>
      </c>
      <c r="AJ29" s="19">
        <v>0</v>
      </c>
      <c r="AK29" s="19">
        <v>0</v>
      </c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17"/>
      <c r="AZ29" s="117"/>
      <c r="BA29" s="117"/>
      <c r="BB29" s="19"/>
      <c r="BC29" s="19"/>
      <c r="BD29" s="253" t="s">
        <v>503</v>
      </c>
      <c r="BE29" s="251" t="s">
        <v>504</v>
      </c>
    </row>
    <row r="30" spans="1:57" s="3" customFormat="1" ht="17.25" customHeight="1" x14ac:dyDescent="0.25">
      <c r="A30" s="23"/>
      <c r="B30" s="1"/>
      <c r="C30" s="64"/>
      <c r="D30" s="64"/>
      <c r="E30" s="1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C30" s="1"/>
      <c r="AD30" s="10"/>
      <c r="AE30" s="10"/>
      <c r="AF30" s="1"/>
      <c r="AG30" s="205"/>
      <c r="AH30" s="1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201"/>
      <c r="AZ30" s="201"/>
      <c r="BA30" s="201"/>
      <c r="BB30" s="75"/>
      <c r="BC30" s="75"/>
      <c r="BD30" s="201"/>
      <c r="BE30" s="75"/>
    </row>
    <row r="31" spans="1:57" s="3" customFormat="1" x14ac:dyDescent="0.3">
      <c r="A31" s="24" t="s">
        <v>435</v>
      </c>
      <c r="B31" s="12"/>
      <c r="C31" s="65"/>
      <c r="D31" s="65"/>
      <c r="E31" s="1"/>
      <c r="F31" s="13">
        <v>46006</v>
      </c>
      <c r="G31" s="13">
        <v>46013</v>
      </c>
      <c r="H31" s="13">
        <v>46020</v>
      </c>
      <c r="I31" s="13">
        <v>46027</v>
      </c>
      <c r="J31" s="13">
        <v>46034</v>
      </c>
      <c r="K31" s="13">
        <v>46041</v>
      </c>
      <c r="L31" s="13">
        <v>46048</v>
      </c>
      <c r="M31" s="13">
        <v>46055</v>
      </c>
      <c r="N31" s="13">
        <v>46062</v>
      </c>
      <c r="O31" s="13">
        <v>46069</v>
      </c>
      <c r="P31" s="13">
        <v>46076</v>
      </c>
      <c r="Q31" s="13">
        <v>46083</v>
      </c>
      <c r="R31" s="13">
        <v>46090</v>
      </c>
      <c r="S31" s="13">
        <v>46097</v>
      </c>
      <c r="T31" s="13">
        <v>46104</v>
      </c>
      <c r="U31" s="13">
        <v>46111</v>
      </c>
      <c r="V31" s="13">
        <v>46118</v>
      </c>
      <c r="W31" s="13">
        <v>46125</v>
      </c>
      <c r="X31" s="13">
        <v>46132</v>
      </c>
      <c r="Y31" s="13">
        <v>46139</v>
      </c>
      <c r="Z31" s="13">
        <v>46146</v>
      </c>
      <c r="AA31" s="13">
        <v>46154</v>
      </c>
      <c r="AB31" s="35" t="s">
        <v>129</v>
      </c>
      <c r="AC31" s="11"/>
      <c r="AD31" s="29" t="s">
        <v>126</v>
      </c>
      <c r="AE31" s="29" t="s">
        <v>126</v>
      </c>
      <c r="AF31" s="11"/>
      <c r="AG31" s="9" t="s">
        <v>127</v>
      </c>
      <c r="AH31" s="1"/>
      <c r="AI31" s="17">
        <v>46149</v>
      </c>
      <c r="AJ31" s="17">
        <v>46142</v>
      </c>
      <c r="AK31" s="17">
        <v>46114</v>
      </c>
      <c r="AL31" s="17">
        <v>46099</v>
      </c>
      <c r="AM31" s="294">
        <v>46065</v>
      </c>
      <c r="AN31" s="17">
        <v>46077</v>
      </c>
      <c r="AO31" s="292">
        <v>46045</v>
      </c>
      <c r="AP31" s="17">
        <v>46056</v>
      </c>
      <c r="AQ31" s="17">
        <v>46017</v>
      </c>
      <c r="AR31" s="17">
        <v>46007</v>
      </c>
      <c r="AS31" s="17">
        <v>46001</v>
      </c>
      <c r="AT31" s="17">
        <v>45994</v>
      </c>
      <c r="AU31" s="17">
        <v>45986</v>
      </c>
      <c r="AV31" s="17">
        <v>45980</v>
      </c>
      <c r="AW31" s="17">
        <v>45980</v>
      </c>
      <c r="AX31" s="17">
        <v>45973</v>
      </c>
      <c r="AY31" s="207">
        <v>45982</v>
      </c>
      <c r="AZ31" s="207">
        <v>45979</v>
      </c>
      <c r="BA31" s="269">
        <v>45974</v>
      </c>
      <c r="BB31" s="269">
        <v>45972</v>
      </c>
      <c r="BC31" s="258">
        <v>45968</v>
      </c>
      <c r="BD31" s="207">
        <v>45967</v>
      </c>
      <c r="BE31" s="274">
        <v>45942</v>
      </c>
    </row>
    <row r="32" spans="1:57" s="3" customFormat="1" x14ac:dyDescent="0.3">
      <c r="A32" s="25" t="s">
        <v>436</v>
      </c>
      <c r="B32" s="135">
        <v>75</v>
      </c>
      <c r="C32" s="81">
        <v>225.67</v>
      </c>
      <c r="D32" s="234"/>
      <c r="E32" s="1"/>
      <c r="F32" s="39">
        <v>5</v>
      </c>
      <c r="G32" s="39">
        <v>5</v>
      </c>
      <c r="H32" s="39">
        <v>5</v>
      </c>
      <c r="I32" s="39">
        <v>5</v>
      </c>
      <c r="J32" s="39">
        <v>5</v>
      </c>
      <c r="K32" s="39">
        <v>5</v>
      </c>
      <c r="L32" s="39">
        <v>5</v>
      </c>
      <c r="M32" s="39">
        <v>5</v>
      </c>
      <c r="N32" s="39">
        <v>5</v>
      </c>
      <c r="O32" s="39">
        <v>5</v>
      </c>
      <c r="P32" s="39">
        <v>5</v>
      </c>
      <c r="Q32" s="39">
        <v>5</v>
      </c>
      <c r="R32" s="39">
        <v>5</v>
      </c>
      <c r="S32" s="39">
        <v>5</v>
      </c>
      <c r="T32" s="39">
        <v>5</v>
      </c>
      <c r="U32" s="39">
        <v>5</v>
      </c>
      <c r="V32" s="39"/>
      <c r="W32" s="39"/>
      <c r="X32" s="39"/>
      <c r="Y32" s="39"/>
      <c r="Z32" s="39"/>
      <c r="AA32" s="39">
        <v>5</v>
      </c>
      <c r="AB32" s="372">
        <f ca="1">Z32+IF(NOT(ISBLANK(OFFSET(AB32,0,6))),N(OFFSET(AB32,0,6)),N(OFFSET(AB32,0,7)))-AA32</f>
        <v>-5</v>
      </c>
      <c r="AC32" s="11"/>
      <c r="AD32" s="78"/>
      <c r="AE32" s="78"/>
      <c r="AF32" s="1"/>
      <c r="AG32" s="32"/>
      <c r="AH32" s="1"/>
      <c r="AI32" s="19">
        <v>0</v>
      </c>
      <c r="AJ32" s="19">
        <v>0</v>
      </c>
      <c r="AK32" s="19">
        <v>0</v>
      </c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17"/>
      <c r="AZ32" s="117"/>
      <c r="BA32" s="244" t="s">
        <v>505</v>
      </c>
      <c r="BB32" s="19"/>
      <c r="BC32" s="19"/>
      <c r="BD32" s="253" t="s">
        <v>506</v>
      </c>
      <c r="BE32" s="19"/>
    </row>
    <row r="33" spans="1:57" s="3" customFormat="1" x14ac:dyDescent="0.3">
      <c r="A33" s="25" t="s">
        <v>437</v>
      </c>
      <c r="B33" s="135">
        <v>75</v>
      </c>
      <c r="C33" s="66">
        <v>294.58999999999997</v>
      </c>
      <c r="D33" s="234"/>
      <c r="E33" s="1"/>
      <c r="F33" s="39">
        <v>0</v>
      </c>
      <c r="G33" s="39">
        <v>0</v>
      </c>
      <c r="H33" s="39">
        <v>0</v>
      </c>
      <c r="I33" s="39">
        <v>0</v>
      </c>
      <c r="J33" s="39">
        <v>0</v>
      </c>
      <c r="K33" s="39">
        <v>0</v>
      </c>
      <c r="L33" s="39">
        <v>0</v>
      </c>
      <c r="M33" s="39">
        <v>0</v>
      </c>
      <c r="N33" s="39">
        <v>0</v>
      </c>
      <c r="O33" s="39">
        <v>0</v>
      </c>
      <c r="P33" s="39">
        <v>0</v>
      </c>
      <c r="Q33" s="39">
        <v>0</v>
      </c>
      <c r="R33" s="39">
        <v>0</v>
      </c>
      <c r="S33" s="39">
        <v>0</v>
      </c>
      <c r="T33" s="39">
        <v>0</v>
      </c>
      <c r="U33" s="39">
        <v>0</v>
      </c>
      <c r="V33" s="39"/>
      <c r="W33" s="39"/>
      <c r="X33" s="39"/>
      <c r="Y33" s="39"/>
      <c r="Z33" s="39"/>
      <c r="AA33" s="39">
        <v>0</v>
      </c>
      <c r="AB33" s="372">
        <f ca="1">Z33+IF(NOT(ISBLANK(OFFSET(AB33,0,6))),N(OFFSET(AB33,0,6)),N(OFFSET(AB33,0,7)))-AA33</f>
        <v>0</v>
      </c>
      <c r="AC33" s="11"/>
      <c r="AD33" s="78"/>
      <c r="AE33" s="78"/>
      <c r="AG33" s="32"/>
      <c r="AI33" s="19">
        <v>0</v>
      </c>
      <c r="AJ33" s="19">
        <v>0</v>
      </c>
      <c r="AK33" s="19">
        <v>0</v>
      </c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17"/>
      <c r="AZ33" s="117"/>
      <c r="BA33" s="244" t="s">
        <v>507</v>
      </c>
      <c r="BB33" s="19"/>
      <c r="BC33" s="19"/>
      <c r="BD33" s="117"/>
      <c r="BE33" s="251" t="s">
        <v>508</v>
      </c>
    </row>
    <row r="34" spans="1:57" x14ac:dyDescent="0.3">
      <c r="A34" s="25" t="s">
        <v>438</v>
      </c>
      <c r="B34" s="135">
        <v>50</v>
      </c>
      <c r="C34" s="66">
        <v>346.84</v>
      </c>
      <c r="D34" s="234"/>
      <c r="F34" s="39">
        <v>3</v>
      </c>
      <c r="G34" s="39">
        <v>3</v>
      </c>
      <c r="H34" s="39">
        <v>3</v>
      </c>
      <c r="I34" s="39">
        <v>3</v>
      </c>
      <c r="J34" s="39">
        <v>3</v>
      </c>
      <c r="K34" s="39">
        <v>3</v>
      </c>
      <c r="L34" s="39">
        <v>3</v>
      </c>
      <c r="M34" s="39">
        <v>3</v>
      </c>
      <c r="N34" s="39">
        <v>3</v>
      </c>
      <c r="O34" s="39">
        <v>3</v>
      </c>
      <c r="P34" s="39">
        <v>3</v>
      </c>
      <c r="Q34" s="39">
        <v>3</v>
      </c>
      <c r="R34" s="39">
        <v>3</v>
      </c>
      <c r="S34" s="39">
        <v>2</v>
      </c>
      <c r="T34" s="39">
        <v>2</v>
      </c>
      <c r="U34" s="39">
        <v>2</v>
      </c>
      <c r="V34" s="39"/>
      <c r="W34" s="39"/>
      <c r="X34" s="39"/>
      <c r="Y34" s="39"/>
      <c r="Z34" s="39"/>
      <c r="AA34" s="39">
        <v>2</v>
      </c>
      <c r="AB34" s="372">
        <f ca="1">Z34+IF(NOT(ISBLANK(OFFSET(AB34,0,6))),N(OFFSET(AB34,0,6)),N(OFFSET(AB34,0,7)))-AA34</f>
        <v>-2</v>
      </c>
      <c r="AD34" s="78"/>
      <c r="AE34" s="78"/>
      <c r="AF34" s="1"/>
      <c r="AG34" s="32"/>
      <c r="AH34" s="1"/>
      <c r="AI34" s="19">
        <v>0</v>
      </c>
      <c r="AJ34" s="19">
        <v>0</v>
      </c>
      <c r="AK34" s="19">
        <v>0</v>
      </c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17"/>
      <c r="AZ34" s="117"/>
      <c r="BA34" s="244" t="s">
        <v>509</v>
      </c>
      <c r="BB34" s="19"/>
      <c r="BC34" s="275" t="s">
        <v>502</v>
      </c>
      <c r="BD34" s="253" t="s">
        <v>510</v>
      </c>
      <c r="BE34" s="251" t="s">
        <v>511</v>
      </c>
    </row>
    <row r="35" spans="1:57" hidden="1" x14ac:dyDescent="0.3">
      <c r="A35" s="23"/>
      <c r="B35" s="1"/>
      <c r="C35" s="64"/>
      <c r="D35" s="64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F35" s="1"/>
      <c r="AG35" s="33"/>
      <c r="AH35" s="1"/>
      <c r="AI35" s="75"/>
      <c r="AJ35" s="75"/>
      <c r="AK35" s="75"/>
      <c r="AL35" s="75"/>
      <c r="AM35" s="75"/>
      <c r="AN35" s="75"/>
      <c r="AO35" s="75"/>
      <c r="AP35" s="75"/>
      <c r="AQ35" s="75"/>
      <c r="AR35" s="75"/>
      <c r="AS35" s="75"/>
      <c r="AT35" s="75"/>
      <c r="AU35" s="75"/>
      <c r="AV35" s="75"/>
      <c r="AW35" s="75"/>
      <c r="AX35" s="75"/>
      <c r="AY35" s="201"/>
      <c r="AZ35" s="201"/>
      <c r="BA35" s="244" t="s">
        <v>507</v>
      </c>
      <c r="BB35" s="75"/>
      <c r="BC35" s="75"/>
      <c r="BD35" s="201"/>
      <c r="BE35" s="75"/>
    </row>
    <row r="36" spans="1:57" hidden="1" x14ac:dyDescent="0.3">
      <c r="A36" s="24" t="s">
        <v>439</v>
      </c>
      <c r="B36" s="12" t="s">
        <v>151</v>
      </c>
      <c r="C36" s="12"/>
      <c r="D36" s="12" t="s">
        <v>125</v>
      </c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35" t="s">
        <v>129</v>
      </c>
      <c r="AD36" s="29" t="s">
        <v>126</v>
      </c>
      <c r="AE36" s="29" t="s">
        <v>126</v>
      </c>
      <c r="AF36" s="1"/>
      <c r="AG36" s="9" t="s">
        <v>127</v>
      </c>
      <c r="AH36" s="1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>
        <v>45994</v>
      </c>
      <c r="AU36" s="17">
        <v>45986</v>
      </c>
      <c r="AV36" s="17">
        <v>45980</v>
      </c>
      <c r="AW36" s="17">
        <v>45980</v>
      </c>
      <c r="AX36" s="17">
        <v>45973</v>
      </c>
      <c r="AY36" s="207">
        <v>45982</v>
      </c>
      <c r="AZ36" s="207">
        <v>45979</v>
      </c>
      <c r="BA36" s="269">
        <v>45974</v>
      </c>
      <c r="BB36" s="269">
        <v>45972</v>
      </c>
      <c r="BC36" s="258">
        <v>45968</v>
      </c>
      <c r="BD36" s="207">
        <v>45967</v>
      </c>
      <c r="BE36" s="274">
        <v>45964</v>
      </c>
    </row>
    <row r="37" spans="1:57" hidden="1" x14ac:dyDescent="0.3">
      <c r="A37" s="25" t="s">
        <v>440</v>
      </c>
      <c r="B37" s="6">
        <v>25</v>
      </c>
      <c r="C37" s="66">
        <v>41.75</v>
      </c>
      <c r="D37" s="234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  <c r="AA37" s="72"/>
      <c r="AB37" s="26" t="e">
        <f ca="1">Z37+IF(NOT(ISBLANK(OFFSET(AB37,0,6))),N(OFFSET(AB37,0,6)),N(OFFSET(AB37,0,7)))-#REF!</f>
        <v>#REF!</v>
      </c>
      <c r="AD37" s="78"/>
      <c r="AE37" s="78"/>
      <c r="AF37" s="1"/>
      <c r="AG37" s="32"/>
      <c r="AH37" s="1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17"/>
      <c r="AZ37" s="117"/>
      <c r="BA37" s="117"/>
      <c r="BB37" s="19"/>
      <c r="BC37" s="19"/>
      <c r="BD37" s="117"/>
      <c r="BE37" s="19"/>
    </row>
    <row r="38" spans="1:57" hidden="1" x14ac:dyDescent="0.3">
      <c r="A38" s="25" t="s">
        <v>441</v>
      </c>
      <c r="B38" s="6">
        <v>25</v>
      </c>
      <c r="C38" s="66">
        <v>57</v>
      </c>
      <c r="D38" s="234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26" t="e">
        <f ca="1">Z38+IF(NOT(ISBLANK(OFFSET(AB38,0,6))),N(OFFSET(AB38,0,6)),N(OFFSET(AB38,0,7)))-#REF!</f>
        <v>#REF!</v>
      </c>
      <c r="AD38" s="78"/>
      <c r="AE38" s="78"/>
      <c r="AF38" s="1"/>
      <c r="AG38" s="32"/>
      <c r="AH38" s="1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17"/>
      <c r="AZ38" s="117"/>
      <c r="BA38" s="117"/>
      <c r="BB38" s="19"/>
      <c r="BC38" s="19"/>
      <c r="BD38" s="117"/>
      <c r="BE38" s="19"/>
    </row>
    <row r="39" spans="1:57" x14ac:dyDescent="0.3">
      <c r="A39" s="23"/>
      <c r="B39" s="1"/>
      <c r="C39" s="64"/>
      <c r="D39" s="64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D39" s="10"/>
      <c r="AE39" s="10"/>
      <c r="AF39" s="1"/>
      <c r="AG39" s="33"/>
      <c r="AH39" s="1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201"/>
      <c r="AZ39" s="201"/>
      <c r="BA39" s="201"/>
      <c r="BB39" s="75"/>
      <c r="BC39" s="75"/>
      <c r="BD39" s="201"/>
      <c r="BE39" s="75"/>
    </row>
    <row r="40" spans="1:57" x14ac:dyDescent="0.3">
      <c r="A40" s="143" t="s">
        <v>442</v>
      </c>
      <c r="B40" s="144"/>
      <c r="C40" s="144"/>
      <c r="D40" s="144"/>
      <c r="E40" s="1"/>
      <c r="F40" s="13">
        <v>46006</v>
      </c>
      <c r="G40" s="13">
        <v>46013</v>
      </c>
      <c r="H40" s="13">
        <v>46020</v>
      </c>
      <c r="I40" s="13">
        <v>46027</v>
      </c>
      <c r="J40" s="13">
        <v>46034</v>
      </c>
      <c r="K40" s="13">
        <v>46041</v>
      </c>
      <c r="L40" s="13">
        <v>46048</v>
      </c>
      <c r="M40" s="13">
        <v>46055</v>
      </c>
      <c r="N40" s="13">
        <v>46062</v>
      </c>
      <c r="O40" s="13">
        <v>46069</v>
      </c>
      <c r="P40" s="13">
        <v>46076</v>
      </c>
      <c r="Q40" s="13">
        <v>46083</v>
      </c>
      <c r="R40" s="13">
        <v>46090</v>
      </c>
      <c r="S40" s="13">
        <v>46097</v>
      </c>
      <c r="T40" s="13">
        <v>46104</v>
      </c>
      <c r="U40" s="13">
        <v>46111</v>
      </c>
      <c r="V40" s="13">
        <v>46118</v>
      </c>
      <c r="W40" s="13">
        <v>46125</v>
      </c>
      <c r="X40" s="13">
        <v>46132</v>
      </c>
      <c r="Y40" s="13">
        <v>46139</v>
      </c>
      <c r="Z40" s="13">
        <v>46146</v>
      </c>
      <c r="AA40" s="13">
        <v>46154</v>
      </c>
      <c r="AB40" s="35" t="s">
        <v>129</v>
      </c>
      <c r="AC40" s="41"/>
      <c r="AD40" s="29" t="s">
        <v>126</v>
      </c>
      <c r="AE40" s="29" t="s">
        <v>126</v>
      </c>
      <c r="AG40" s="9" t="s">
        <v>127</v>
      </c>
      <c r="AH40" s="41"/>
      <c r="AI40" s="17">
        <v>46149</v>
      </c>
      <c r="AJ40" s="17">
        <v>46142</v>
      </c>
      <c r="AK40" s="17">
        <v>46114</v>
      </c>
      <c r="AL40" s="17">
        <v>46099</v>
      </c>
      <c r="AM40" s="294">
        <v>46065</v>
      </c>
      <c r="AN40" s="17">
        <v>46077</v>
      </c>
      <c r="AO40" s="292">
        <v>46045</v>
      </c>
      <c r="AP40" s="17">
        <v>46056</v>
      </c>
      <c r="AQ40" s="17">
        <v>46017</v>
      </c>
      <c r="AR40" s="17">
        <v>46007</v>
      </c>
      <c r="AS40" s="17">
        <v>46001</v>
      </c>
      <c r="AT40" s="17">
        <v>45994</v>
      </c>
      <c r="AU40" s="17">
        <v>45986</v>
      </c>
      <c r="AV40" s="17">
        <v>45980</v>
      </c>
      <c r="AW40" s="17">
        <v>45980</v>
      </c>
      <c r="AX40" s="17">
        <v>45973</v>
      </c>
      <c r="AY40" s="207">
        <v>45982</v>
      </c>
      <c r="AZ40" s="207">
        <v>45979</v>
      </c>
      <c r="BA40" s="269">
        <v>45974</v>
      </c>
      <c r="BB40" s="269">
        <v>45972</v>
      </c>
      <c r="BC40" s="258">
        <v>45968</v>
      </c>
      <c r="BD40" s="207">
        <v>45967</v>
      </c>
      <c r="BE40" s="274">
        <v>45964</v>
      </c>
    </row>
    <row r="41" spans="1:57" x14ac:dyDescent="0.3">
      <c r="A41" s="25" t="s">
        <v>443</v>
      </c>
      <c r="B41" s="72">
        <v>150</v>
      </c>
      <c r="C41" s="77">
        <v>453.38</v>
      </c>
      <c r="D41" s="234"/>
      <c r="E41" s="41"/>
      <c r="F41" s="72">
        <v>3</v>
      </c>
      <c r="G41" s="72">
        <v>3</v>
      </c>
      <c r="H41" s="72">
        <v>3</v>
      </c>
      <c r="I41" s="72">
        <v>3</v>
      </c>
      <c r="J41" s="72">
        <v>3</v>
      </c>
      <c r="K41" s="72">
        <v>3</v>
      </c>
      <c r="L41" s="72">
        <v>3</v>
      </c>
      <c r="M41" s="72">
        <v>3</v>
      </c>
      <c r="N41" s="72">
        <v>3</v>
      </c>
      <c r="O41" s="72">
        <v>3</v>
      </c>
      <c r="P41" s="72">
        <v>3</v>
      </c>
      <c r="Q41" s="72">
        <v>3</v>
      </c>
      <c r="R41" s="72">
        <v>3</v>
      </c>
      <c r="S41" s="72">
        <v>3</v>
      </c>
      <c r="T41" s="72">
        <v>3</v>
      </c>
      <c r="U41" s="72">
        <v>3</v>
      </c>
      <c r="V41" s="72"/>
      <c r="W41" s="72"/>
      <c r="X41" s="72"/>
      <c r="Y41" s="72"/>
      <c r="Z41" s="72"/>
      <c r="AA41" s="72">
        <v>2</v>
      </c>
      <c r="AB41" s="372">
        <f t="shared" ref="AB41:AB47" ca="1" si="0">Z41+IF(NOT(ISBLANK(OFFSET(AB41,0,6))),N(OFFSET(AB41,0,6)),N(OFFSET(AB41,0,7)))-AA41</f>
        <v>-2</v>
      </c>
      <c r="AC41" s="41"/>
      <c r="AD41" s="134"/>
      <c r="AE41" s="134"/>
      <c r="AF41" s="1"/>
      <c r="AG41" s="32"/>
      <c r="AH41" s="41"/>
      <c r="AI41" s="19">
        <v>0</v>
      </c>
      <c r="AJ41" s="19">
        <v>0</v>
      </c>
      <c r="AK41" s="19">
        <v>0</v>
      </c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17"/>
      <c r="AZ41" s="117"/>
      <c r="BA41" s="117"/>
      <c r="BB41" s="19"/>
      <c r="BC41" s="19"/>
      <c r="BD41" s="253" t="s">
        <v>512</v>
      </c>
      <c r="BE41" s="19"/>
    </row>
    <row r="42" spans="1:57" x14ac:dyDescent="0.3">
      <c r="A42" s="25" t="s">
        <v>444</v>
      </c>
      <c r="B42" s="72">
        <v>100</v>
      </c>
      <c r="C42" s="77">
        <v>355.78</v>
      </c>
      <c r="D42" s="234"/>
      <c r="E42" s="41"/>
      <c r="F42" s="72">
        <v>0</v>
      </c>
      <c r="G42" s="72">
        <v>0</v>
      </c>
      <c r="H42" s="72">
        <v>0</v>
      </c>
      <c r="I42" s="72">
        <v>0</v>
      </c>
      <c r="J42" s="72">
        <v>0</v>
      </c>
      <c r="K42" s="72">
        <v>0</v>
      </c>
      <c r="L42" s="72">
        <v>0</v>
      </c>
      <c r="M42" s="72">
        <v>0</v>
      </c>
      <c r="N42" s="72">
        <v>0</v>
      </c>
      <c r="O42" s="72">
        <v>0</v>
      </c>
      <c r="P42" s="72">
        <v>0</v>
      </c>
      <c r="Q42" s="72">
        <v>0</v>
      </c>
      <c r="R42" s="72">
        <v>0</v>
      </c>
      <c r="S42" s="72">
        <v>0</v>
      </c>
      <c r="T42" s="72">
        <v>0</v>
      </c>
      <c r="U42" s="72">
        <v>0</v>
      </c>
      <c r="V42" s="72"/>
      <c r="W42" s="72"/>
      <c r="X42" s="72"/>
      <c r="Y42" s="72"/>
      <c r="Z42" s="72"/>
      <c r="AA42" s="72">
        <v>0</v>
      </c>
      <c r="AB42" s="372">
        <f t="shared" ca="1" si="0"/>
        <v>0</v>
      </c>
      <c r="AC42" s="41"/>
      <c r="AD42" s="78"/>
      <c r="AE42" s="78"/>
      <c r="AF42" s="1"/>
      <c r="AG42" s="32"/>
      <c r="AH42" s="41"/>
      <c r="AI42" s="19">
        <v>0</v>
      </c>
      <c r="AJ42" s="19">
        <v>0</v>
      </c>
      <c r="AK42" s="19">
        <v>0</v>
      </c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17"/>
      <c r="AZ42" s="117"/>
      <c r="BA42" s="117"/>
      <c r="BB42" s="19"/>
      <c r="BC42" s="19"/>
      <c r="BD42" s="253" t="s">
        <v>506</v>
      </c>
      <c r="BE42" s="19"/>
    </row>
    <row r="43" spans="1:57" x14ac:dyDescent="0.3">
      <c r="A43" s="25" t="s">
        <v>445</v>
      </c>
      <c r="B43" s="72">
        <v>50</v>
      </c>
      <c r="C43" s="77">
        <v>249.26</v>
      </c>
      <c r="D43" s="234"/>
      <c r="E43" s="41"/>
      <c r="F43" s="72">
        <v>5</v>
      </c>
      <c r="G43" s="72">
        <v>5</v>
      </c>
      <c r="H43" s="72">
        <v>5</v>
      </c>
      <c r="I43" s="72">
        <v>5</v>
      </c>
      <c r="J43" s="72">
        <v>5</v>
      </c>
      <c r="K43" s="72">
        <v>5</v>
      </c>
      <c r="L43" s="72">
        <v>5</v>
      </c>
      <c r="M43" s="72">
        <v>5</v>
      </c>
      <c r="N43" s="72">
        <v>5</v>
      </c>
      <c r="O43" s="72">
        <v>5</v>
      </c>
      <c r="P43" s="72">
        <v>5</v>
      </c>
      <c r="Q43" s="72">
        <v>5</v>
      </c>
      <c r="R43" s="72">
        <v>5</v>
      </c>
      <c r="S43" s="72">
        <v>5</v>
      </c>
      <c r="T43" s="72">
        <v>4</v>
      </c>
      <c r="U43" s="72">
        <v>4</v>
      </c>
      <c r="V43" s="72"/>
      <c r="W43" s="72"/>
      <c r="X43" s="72"/>
      <c r="Y43" s="72"/>
      <c r="Z43" s="72"/>
      <c r="AA43" s="72">
        <v>3</v>
      </c>
      <c r="AB43" s="372">
        <f t="shared" ca="1" si="0"/>
        <v>-3</v>
      </c>
      <c r="AC43" s="41"/>
      <c r="AD43" s="134"/>
      <c r="AE43" s="134"/>
      <c r="AF43" s="3"/>
      <c r="AG43" s="32"/>
      <c r="AH43" s="41"/>
      <c r="AI43" s="19">
        <v>0</v>
      </c>
      <c r="AJ43" s="19">
        <v>0</v>
      </c>
      <c r="AK43" s="19">
        <v>0</v>
      </c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17"/>
      <c r="AZ43" s="117"/>
      <c r="BA43" s="117"/>
      <c r="BB43" s="19"/>
      <c r="BC43" s="19"/>
      <c r="BD43" s="253" t="s">
        <v>506</v>
      </c>
      <c r="BE43" s="19"/>
    </row>
    <row r="44" spans="1:57" x14ac:dyDescent="0.3">
      <c r="A44" s="25" t="s">
        <v>513</v>
      </c>
      <c r="B44" s="6">
        <v>500</v>
      </c>
      <c r="C44" s="66">
        <v>138.53</v>
      </c>
      <c r="D44" s="234"/>
      <c r="E44" s="1"/>
      <c r="F44" s="72">
        <v>0</v>
      </c>
      <c r="G44" s="72">
        <v>1</v>
      </c>
      <c r="H44" s="72">
        <v>1</v>
      </c>
      <c r="I44" s="72">
        <v>1</v>
      </c>
      <c r="J44" s="72">
        <v>1</v>
      </c>
      <c r="K44" s="72">
        <v>1</v>
      </c>
      <c r="L44" s="72">
        <v>1</v>
      </c>
      <c r="M44" s="72">
        <v>1</v>
      </c>
      <c r="N44" s="72">
        <v>1</v>
      </c>
      <c r="O44" s="72">
        <v>1</v>
      </c>
      <c r="P44" s="72">
        <v>1</v>
      </c>
      <c r="Q44" s="72">
        <v>1</v>
      </c>
      <c r="R44" s="72">
        <v>1</v>
      </c>
      <c r="S44" s="72">
        <v>1</v>
      </c>
      <c r="T44" s="72">
        <v>1</v>
      </c>
      <c r="U44" s="72">
        <v>1</v>
      </c>
      <c r="V44" s="72">
        <v>1</v>
      </c>
      <c r="W44" s="72">
        <v>1</v>
      </c>
      <c r="X44" s="72">
        <v>1</v>
      </c>
      <c r="Y44" s="72">
        <v>1</v>
      </c>
      <c r="Z44" s="72">
        <v>1</v>
      </c>
      <c r="AA44" s="72">
        <v>1</v>
      </c>
      <c r="AB44" s="372">
        <f t="shared" ca="1" si="0"/>
        <v>0</v>
      </c>
      <c r="AC44" s="41"/>
      <c r="AD44" s="134"/>
      <c r="AE44" s="134"/>
      <c r="AF44" s="7"/>
      <c r="AG44" s="32"/>
      <c r="AH44" s="41"/>
      <c r="AI44" s="19">
        <v>0</v>
      </c>
      <c r="AJ44" s="19">
        <v>0</v>
      </c>
      <c r="AK44" s="19">
        <v>0</v>
      </c>
      <c r="AL44" s="19"/>
      <c r="AM44" s="19"/>
      <c r="AN44" s="19"/>
      <c r="AO44" s="19"/>
      <c r="AP44" s="19"/>
      <c r="AQ44" s="19"/>
      <c r="AR44" s="19">
        <v>1</v>
      </c>
      <c r="AS44" s="19"/>
      <c r="AT44" s="19"/>
      <c r="AU44" s="19"/>
      <c r="AV44" s="19"/>
      <c r="AW44" s="19"/>
      <c r="AX44" s="19"/>
      <c r="AY44" s="117"/>
      <c r="AZ44" s="117"/>
      <c r="BA44" s="117"/>
      <c r="BB44" s="19"/>
      <c r="BC44" s="19"/>
      <c r="BD44" s="117"/>
      <c r="BE44" s="19"/>
    </row>
    <row r="45" spans="1:57" x14ac:dyDescent="0.3">
      <c r="A45" s="25" t="s">
        <v>514</v>
      </c>
      <c r="B45" s="83">
        <v>1000</v>
      </c>
      <c r="C45" s="66">
        <v>181.15</v>
      </c>
      <c r="D45" s="234"/>
      <c r="E45" s="1"/>
      <c r="F45" s="72">
        <v>0</v>
      </c>
      <c r="G45" s="72">
        <v>1</v>
      </c>
      <c r="H45" s="72">
        <v>1</v>
      </c>
      <c r="I45" s="72">
        <v>1</v>
      </c>
      <c r="J45" s="72">
        <v>1</v>
      </c>
      <c r="K45" s="72">
        <v>1</v>
      </c>
      <c r="L45" s="72">
        <v>1</v>
      </c>
      <c r="M45" s="72">
        <v>1</v>
      </c>
      <c r="N45" s="72">
        <v>1</v>
      </c>
      <c r="O45" s="72">
        <v>1</v>
      </c>
      <c r="P45" s="72">
        <v>1</v>
      </c>
      <c r="Q45" s="72">
        <v>1</v>
      </c>
      <c r="R45" s="72">
        <v>1</v>
      </c>
      <c r="S45" s="72">
        <v>1</v>
      </c>
      <c r="T45" s="72">
        <v>1</v>
      </c>
      <c r="U45" s="72">
        <v>1</v>
      </c>
      <c r="V45" s="72">
        <v>1</v>
      </c>
      <c r="W45" s="72">
        <v>1</v>
      </c>
      <c r="X45" s="72">
        <v>1</v>
      </c>
      <c r="Y45" s="72">
        <v>1</v>
      </c>
      <c r="Z45" s="72">
        <v>1</v>
      </c>
      <c r="AA45" s="72">
        <v>1</v>
      </c>
      <c r="AB45" s="372">
        <f t="shared" ca="1" si="0"/>
        <v>0</v>
      </c>
      <c r="AC45" s="41"/>
      <c r="AD45" s="78"/>
      <c r="AE45" s="78"/>
      <c r="AF45" s="7"/>
      <c r="AG45" s="32"/>
      <c r="AH45" s="41"/>
      <c r="AI45" s="19">
        <v>0</v>
      </c>
      <c r="AJ45" s="19">
        <v>0</v>
      </c>
      <c r="AK45" s="19">
        <v>0</v>
      </c>
      <c r="AL45" s="19"/>
      <c r="AM45" s="19"/>
      <c r="AN45" s="19"/>
      <c r="AO45" s="19"/>
      <c r="AP45" s="19"/>
      <c r="AQ45" s="19"/>
      <c r="AR45" s="19">
        <v>1</v>
      </c>
      <c r="AS45" s="19"/>
      <c r="AT45" s="19"/>
      <c r="AU45" s="19"/>
      <c r="AV45" s="19"/>
      <c r="AW45" s="19"/>
      <c r="AX45" s="19"/>
      <c r="AY45" s="117"/>
      <c r="AZ45" s="117"/>
      <c r="BA45" s="117"/>
      <c r="BB45" s="19"/>
      <c r="BC45" s="19"/>
      <c r="BD45" s="117"/>
      <c r="BE45" s="19"/>
    </row>
    <row r="46" spans="1:57" x14ac:dyDescent="0.3">
      <c r="A46" s="25" t="s">
        <v>515</v>
      </c>
      <c r="B46" s="6">
        <v>3000</v>
      </c>
      <c r="C46" s="66">
        <v>223.78</v>
      </c>
      <c r="D46" s="234"/>
      <c r="E46" s="1"/>
      <c r="F46" s="72">
        <v>0</v>
      </c>
      <c r="G46" s="72">
        <v>1</v>
      </c>
      <c r="H46" s="72">
        <v>1</v>
      </c>
      <c r="I46" s="72">
        <v>1</v>
      </c>
      <c r="J46" s="72">
        <v>1</v>
      </c>
      <c r="K46" s="72">
        <v>1</v>
      </c>
      <c r="L46" s="72">
        <v>1</v>
      </c>
      <c r="M46" s="72">
        <v>2</v>
      </c>
      <c r="N46" s="72">
        <v>2</v>
      </c>
      <c r="O46" s="72">
        <v>2</v>
      </c>
      <c r="P46" s="72">
        <v>2</v>
      </c>
      <c r="Q46" s="72">
        <v>2</v>
      </c>
      <c r="R46" s="72">
        <v>2</v>
      </c>
      <c r="S46" s="72">
        <v>2</v>
      </c>
      <c r="T46" s="72">
        <v>2</v>
      </c>
      <c r="U46" s="72">
        <v>2</v>
      </c>
      <c r="V46" s="72">
        <v>2</v>
      </c>
      <c r="W46" s="72">
        <v>2</v>
      </c>
      <c r="X46" s="72">
        <v>2</v>
      </c>
      <c r="Y46" s="72">
        <v>2</v>
      </c>
      <c r="Z46" s="72">
        <v>2</v>
      </c>
      <c r="AA46" s="72">
        <v>2</v>
      </c>
      <c r="AB46" s="372">
        <f t="shared" ca="1" si="0"/>
        <v>0</v>
      </c>
      <c r="AC46" s="41"/>
      <c r="AD46" s="134"/>
      <c r="AE46" s="134"/>
      <c r="AF46" s="7"/>
      <c r="AG46" s="32"/>
      <c r="AH46" s="41"/>
      <c r="AI46" s="19">
        <v>0</v>
      </c>
      <c r="AJ46" s="19">
        <v>0</v>
      </c>
      <c r="AK46" s="19">
        <v>0</v>
      </c>
      <c r="AL46" s="19"/>
      <c r="AM46" s="19"/>
      <c r="AN46" s="19"/>
      <c r="AO46" s="19"/>
      <c r="AP46" s="19"/>
      <c r="AQ46" s="19"/>
      <c r="AR46" s="19">
        <v>1</v>
      </c>
      <c r="AS46" s="19"/>
      <c r="AT46" s="19"/>
      <c r="AU46" s="19"/>
      <c r="AV46" s="19"/>
      <c r="AW46" s="19"/>
      <c r="AX46" s="19"/>
      <c r="AY46" s="117"/>
      <c r="AZ46" s="117"/>
      <c r="BA46" s="117"/>
      <c r="BB46" s="19"/>
      <c r="BC46" s="19"/>
      <c r="BD46" s="117"/>
      <c r="BE46" s="19"/>
    </row>
    <row r="47" spans="1:57" x14ac:dyDescent="0.3">
      <c r="A47" s="25" t="s">
        <v>446</v>
      </c>
      <c r="B47" s="6">
        <v>200</v>
      </c>
      <c r="C47" s="66">
        <v>249.78</v>
      </c>
      <c r="D47" s="234"/>
      <c r="E47" s="1"/>
      <c r="F47" s="72">
        <v>160</v>
      </c>
      <c r="G47" s="72">
        <v>153</v>
      </c>
      <c r="H47" s="72">
        <v>149</v>
      </c>
      <c r="I47" s="72">
        <v>149</v>
      </c>
      <c r="J47" s="72">
        <v>149</v>
      </c>
      <c r="K47" s="72">
        <v>137</v>
      </c>
      <c r="L47" s="72">
        <v>124</v>
      </c>
      <c r="M47" s="72">
        <v>123</v>
      </c>
      <c r="N47" s="72">
        <v>120</v>
      </c>
      <c r="O47" s="72">
        <v>120</v>
      </c>
      <c r="P47" s="72">
        <v>149</v>
      </c>
      <c r="Q47" s="72">
        <v>101</v>
      </c>
      <c r="R47" s="72">
        <v>92</v>
      </c>
      <c r="S47" s="72">
        <v>96</v>
      </c>
      <c r="T47" s="72">
        <v>89</v>
      </c>
      <c r="U47" s="72">
        <v>67</v>
      </c>
      <c r="V47" s="72">
        <v>58</v>
      </c>
      <c r="W47" s="72">
        <v>50</v>
      </c>
      <c r="X47" s="72">
        <v>46</v>
      </c>
      <c r="Y47" s="72">
        <v>42</v>
      </c>
      <c r="Z47" s="72">
        <v>42</v>
      </c>
      <c r="AA47" s="72">
        <v>42</v>
      </c>
      <c r="AB47" s="372">
        <f t="shared" ca="1" si="0"/>
        <v>0</v>
      </c>
      <c r="AC47" s="41"/>
      <c r="AD47" s="134"/>
      <c r="AE47" s="134"/>
      <c r="AF47" s="7"/>
      <c r="AG47" s="32"/>
      <c r="AH47" s="41"/>
      <c r="AI47" s="19">
        <v>0</v>
      </c>
      <c r="AJ47" s="19">
        <v>0</v>
      </c>
      <c r="AK47" s="19">
        <v>0</v>
      </c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17"/>
      <c r="AZ47" s="117"/>
      <c r="BA47" s="117"/>
      <c r="BB47" s="19"/>
      <c r="BC47" s="19"/>
      <c r="BD47" s="253" t="s">
        <v>495</v>
      </c>
      <c r="BE47" s="19"/>
    </row>
    <row r="48" spans="1:57" x14ac:dyDescent="0.3">
      <c r="B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C48" s="41"/>
      <c r="AF48" s="41"/>
      <c r="AH48" s="41"/>
    </row>
    <row r="49" spans="1:57" x14ac:dyDescent="0.3">
      <c r="A49" s="143" t="s">
        <v>447</v>
      </c>
      <c r="B49" s="144"/>
      <c r="C49" s="144"/>
      <c r="D49" s="144"/>
      <c r="E49" s="1"/>
      <c r="F49" s="13">
        <v>46006</v>
      </c>
      <c r="G49" s="13">
        <v>46013</v>
      </c>
      <c r="H49" s="13">
        <v>46020</v>
      </c>
      <c r="I49" s="13">
        <v>46027</v>
      </c>
      <c r="J49" s="13">
        <v>46034</v>
      </c>
      <c r="K49" s="13">
        <v>46041</v>
      </c>
      <c r="L49" s="13">
        <v>46048</v>
      </c>
      <c r="M49" s="13">
        <v>46055</v>
      </c>
      <c r="N49" s="13">
        <v>46062</v>
      </c>
      <c r="O49" s="13">
        <v>46069</v>
      </c>
      <c r="P49" s="13">
        <v>46076</v>
      </c>
      <c r="Q49" s="13">
        <v>46083</v>
      </c>
      <c r="R49" s="13">
        <v>46090</v>
      </c>
      <c r="S49" s="13">
        <v>46097</v>
      </c>
      <c r="T49" s="13">
        <v>46104</v>
      </c>
      <c r="U49" s="13">
        <v>46111</v>
      </c>
      <c r="V49" s="13">
        <v>46118</v>
      </c>
      <c r="W49" s="13">
        <v>46125</v>
      </c>
      <c r="X49" s="13">
        <v>46132</v>
      </c>
      <c r="Y49" s="13">
        <v>46139</v>
      </c>
      <c r="Z49" s="13">
        <v>46146</v>
      </c>
      <c r="AA49" s="13">
        <v>46154</v>
      </c>
      <c r="AB49" s="35" t="s">
        <v>129</v>
      </c>
      <c r="AC49" s="41"/>
      <c r="AD49" s="29" t="s">
        <v>126</v>
      </c>
      <c r="AE49" s="29" t="s">
        <v>126</v>
      </c>
      <c r="AG49" s="9" t="s">
        <v>127</v>
      </c>
      <c r="AH49" s="41"/>
      <c r="AI49" s="17">
        <v>46149</v>
      </c>
      <c r="AJ49" s="17">
        <v>46142</v>
      </c>
      <c r="AK49" s="17">
        <v>46114</v>
      </c>
      <c r="AL49" s="17">
        <v>46099</v>
      </c>
      <c r="AM49" s="294">
        <v>46065</v>
      </c>
      <c r="AN49" s="17">
        <v>46077</v>
      </c>
      <c r="AO49" s="292">
        <v>46045</v>
      </c>
      <c r="AP49" s="17">
        <v>46056</v>
      </c>
      <c r="AQ49" s="17">
        <v>46017</v>
      </c>
      <c r="AR49" s="17">
        <v>46007</v>
      </c>
      <c r="AS49" s="17">
        <v>46001</v>
      </c>
      <c r="AT49" s="17">
        <v>45994</v>
      </c>
      <c r="AU49" s="17">
        <v>45986</v>
      </c>
      <c r="AV49" s="17">
        <v>45980</v>
      </c>
      <c r="AW49" s="17">
        <v>45980</v>
      </c>
      <c r="AX49" s="17">
        <v>45973</v>
      </c>
      <c r="AY49" s="207">
        <v>45982</v>
      </c>
      <c r="AZ49" s="207">
        <v>45979</v>
      </c>
      <c r="BA49" s="269">
        <v>45974</v>
      </c>
      <c r="BB49" s="269">
        <v>45972</v>
      </c>
      <c r="BC49" s="258">
        <v>45968</v>
      </c>
      <c r="BD49" s="207">
        <v>45967</v>
      </c>
      <c r="BE49" s="274">
        <v>45964</v>
      </c>
    </row>
    <row r="50" spans="1:57" x14ac:dyDescent="0.3">
      <c r="A50" s="25" t="s">
        <v>448</v>
      </c>
      <c r="B50" s="72">
        <v>100</v>
      </c>
      <c r="C50" s="77">
        <v>539.70000000000005</v>
      </c>
      <c r="D50" s="234"/>
      <c r="E50" s="41"/>
      <c r="F50" s="72">
        <v>8</v>
      </c>
      <c r="G50" s="72">
        <v>8</v>
      </c>
      <c r="H50" s="72">
        <v>8</v>
      </c>
      <c r="I50" s="72">
        <v>8</v>
      </c>
      <c r="J50" s="72">
        <v>8</v>
      </c>
      <c r="K50" s="72">
        <v>8</v>
      </c>
      <c r="L50" s="72">
        <v>8</v>
      </c>
      <c r="M50" s="72">
        <v>8</v>
      </c>
      <c r="N50" s="72">
        <v>2</v>
      </c>
      <c r="O50" s="72">
        <v>2</v>
      </c>
      <c r="P50" s="72">
        <v>2</v>
      </c>
      <c r="Q50" s="72">
        <v>2</v>
      </c>
      <c r="R50" s="72">
        <v>2</v>
      </c>
      <c r="S50" s="295">
        <v>6</v>
      </c>
      <c r="T50" s="72">
        <v>6</v>
      </c>
      <c r="U50" s="72">
        <v>6</v>
      </c>
      <c r="V50" s="72"/>
      <c r="W50" s="72"/>
      <c r="X50" s="72"/>
      <c r="Y50" s="72"/>
      <c r="Z50" s="72"/>
      <c r="AA50" s="72">
        <v>6</v>
      </c>
      <c r="AB50" s="372">
        <f ca="1">Z50+IF(NOT(ISBLANK(OFFSET(AB50,0,6))),N(OFFSET(AB50,0,6)),N(OFFSET(AB50,0,7)))-AA50</f>
        <v>-6</v>
      </c>
      <c r="AC50" s="41"/>
      <c r="AD50" s="134"/>
      <c r="AE50" s="134"/>
      <c r="AF50" s="7"/>
      <c r="AG50" s="32"/>
      <c r="AH50" s="41"/>
      <c r="AI50" s="19">
        <v>0</v>
      </c>
      <c r="AJ50" s="19">
        <v>0</v>
      </c>
      <c r="AK50" s="19">
        <v>0</v>
      </c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17"/>
      <c r="AZ50" s="117"/>
      <c r="BA50" s="117"/>
      <c r="BB50" s="19"/>
      <c r="BC50" s="19"/>
      <c r="BD50" s="253" t="s">
        <v>502</v>
      </c>
      <c r="BE50" s="19"/>
    </row>
    <row r="51" spans="1:57" x14ac:dyDescent="0.3">
      <c r="A51" s="25" t="s">
        <v>449</v>
      </c>
      <c r="B51" s="72">
        <v>100</v>
      </c>
      <c r="C51" s="77">
        <v>652.04999999999995</v>
      </c>
      <c r="D51" s="234"/>
      <c r="E51" s="41"/>
      <c r="F51" s="72">
        <v>10</v>
      </c>
      <c r="G51" s="72">
        <v>10</v>
      </c>
      <c r="H51" s="72">
        <v>10</v>
      </c>
      <c r="I51" s="72">
        <v>10</v>
      </c>
      <c r="J51" s="72">
        <v>10</v>
      </c>
      <c r="K51" s="72">
        <v>10</v>
      </c>
      <c r="L51" s="72">
        <v>10</v>
      </c>
      <c r="M51" s="72">
        <v>10</v>
      </c>
      <c r="N51" s="72">
        <v>9</v>
      </c>
      <c r="O51" s="72">
        <v>9</v>
      </c>
      <c r="P51" s="72">
        <v>9</v>
      </c>
      <c r="Q51" s="72">
        <v>9</v>
      </c>
      <c r="R51" s="72">
        <v>9</v>
      </c>
      <c r="S51" s="72">
        <v>8</v>
      </c>
      <c r="T51" s="72">
        <v>8</v>
      </c>
      <c r="U51" s="72">
        <v>8</v>
      </c>
      <c r="V51" s="72"/>
      <c r="W51" s="72"/>
      <c r="X51" s="72"/>
      <c r="Y51" s="72"/>
      <c r="Z51" s="72"/>
      <c r="AA51" s="72">
        <v>6</v>
      </c>
      <c r="AB51" s="372">
        <f ca="1">Z51+IF(NOT(ISBLANK(OFFSET(AB51,0,6))),N(OFFSET(AB51,0,6)),N(OFFSET(AB51,0,7)))-AA51</f>
        <v>-6</v>
      </c>
      <c r="AC51" s="41"/>
      <c r="AD51" s="134"/>
      <c r="AE51" s="134"/>
      <c r="AF51" s="1"/>
      <c r="AG51" s="32"/>
      <c r="AH51" s="41"/>
      <c r="AI51" s="19">
        <v>0</v>
      </c>
      <c r="AJ51" s="19">
        <v>0</v>
      </c>
      <c r="AK51" s="19">
        <v>0</v>
      </c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17"/>
      <c r="AZ51" s="117"/>
      <c r="BA51" s="117"/>
      <c r="BB51" s="19"/>
      <c r="BC51" s="19"/>
      <c r="BD51" s="253" t="s">
        <v>502</v>
      </c>
      <c r="BE51" s="19"/>
    </row>
    <row r="52" spans="1:57" x14ac:dyDescent="0.3">
      <c r="A52" s="25" t="s">
        <v>450</v>
      </c>
      <c r="B52" s="72">
        <v>50</v>
      </c>
      <c r="C52" s="77">
        <v>567.53</v>
      </c>
      <c r="D52" s="234"/>
      <c r="E52" s="41"/>
      <c r="F52" s="72">
        <v>10</v>
      </c>
      <c r="G52" s="72">
        <v>10</v>
      </c>
      <c r="H52" s="72">
        <v>10</v>
      </c>
      <c r="I52" s="72">
        <v>10</v>
      </c>
      <c r="J52" s="72">
        <v>10</v>
      </c>
      <c r="K52" s="72">
        <v>10</v>
      </c>
      <c r="L52" s="72">
        <v>10</v>
      </c>
      <c r="M52" s="72">
        <v>10</v>
      </c>
      <c r="N52" s="72">
        <v>10</v>
      </c>
      <c r="O52" s="72">
        <v>10</v>
      </c>
      <c r="P52" s="72">
        <v>10</v>
      </c>
      <c r="Q52" s="72">
        <v>10</v>
      </c>
      <c r="R52" s="72">
        <v>10</v>
      </c>
      <c r="S52" s="72">
        <v>10</v>
      </c>
      <c r="T52" s="72">
        <v>10</v>
      </c>
      <c r="U52" s="72">
        <v>10</v>
      </c>
      <c r="V52" s="72"/>
      <c r="W52" s="72"/>
      <c r="X52" s="72"/>
      <c r="Y52" s="72"/>
      <c r="Z52" s="72"/>
      <c r="AA52" s="72">
        <v>9</v>
      </c>
      <c r="AB52" s="372">
        <f ca="1">Z52+IF(NOT(ISBLANK(OFFSET(AB52,0,6))),N(OFFSET(AB52,0,6)),N(OFFSET(AB52,0,7)))-AA52</f>
        <v>-9</v>
      </c>
      <c r="AC52" s="41"/>
      <c r="AD52" s="134"/>
      <c r="AE52" s="134"/>
      <c r="AF52" s="1"/>
      <c r="AG52" s="32"/>
      <c r="AH52" s="41"/>
      <c r="AI52" s="19">
        <v>0</v>
      </c>
      <c r="AJ52" s="19">
        <v>0</v>
      </c>
      <c r="AK52" s="19">
        <v>0</v>
      </c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17"/>
      <c r="AZ52" s="117"/>
      <c r="BA52" s="117"/>
      <c r="BB52" s="19"/>
      <c r="BC52" s="19"/>
      <c r="BD52" s="253" t="s">
        <v>502</v>
      </c>
      <c r="BE52" s="19"/>
    </row>
    <row r="53" spans="1:57" x14ac:dyDescent="0.3"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F53" s="41"/>
      <c r="AH53" s="41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  <c r="AZ53" s="116"/>
      <c r="BA53" s="116"/>
      <c r="BB53" s="116"/>
      <c r="BC53" s="116"/>
      <c r="BD53" s="116"/>
      <c r="BE53" s="116"/>
    </row>
    <row r="54" spans="1:57" x14ac:dyDescent="0.3">
      <c r="A54" s="145" t="s">
        <v>451</v>
      </c>
      <c r="B54" s="146"/>
      <c r="C54" s="146"/>
      <c r="D54" s="146"/>
      <c r="E54" s="1"/>
      <c r="F54" s="13">
        <v>46006</v>
      </c>
      <c r="G54" s="13">
        <v>46013</v>
      </c>
      <c r="H54" s="13">
        <v>46020</v>
      </c>
      <c r="I54" s="13">
        <v>46027</v>
      </c>
      <c r="J54" s="13">
        <v>46034</v>
      </c>
      <c r="K54" s="13">
        <v>46041</v>
      </c>
      <c r="L54" s="13">
        <v>46048</v>
      </c>
      <c r="M54" s="13">
        <v>46055</v>
      </c>
      <c r="N54" s="13">
        <v>46062</v>
      </c>
      <c r="O54" s="13">
        <v>46069</v>
      </c>
      <c r="P54" s="13">
        <v>46076</v>
      </c>
      <c r="Q54" s="13">
        <v>46083</v>
      </c>
      <c r="R54" s="13">
        <v>46090</v>
      </c>
      <c r="S54" s="13">
        <v>46097</v>
      </c>
      <c r="T54" s="13">
        <v>46104</v>
      </c>
      <c r="U54" s="13">
        <v>46111</v>
      </c>
      <c r="V54" s="13">
        <v>46118</v>
      </c>
      <c r="W54" s="13">
        <v>46125</v>
      </c>
      <c r="X54" s="13">
        <v>46132</v>
      </c>
      <c r="Y54" s="13">
        <v>46139</v>
      </c>
      <c r="Z54" s="13">
        <v>46146</v>
      </c>
      <c r="AA54" s="13">
        <v>46154</v>
      </c>
      <c r="AB54" s="35" t="s">
        <v>129</v>
      </c>
      <c r="AC54" s="41"/>
      <c r="AD54" s="29" t="s">
        <v>126</v>
      </c>
      <c r="AE54" s="29" t="s">
        <v>126</v>
      </c>
      <c r="AG54" s="9" t="s">
        <v>127</v>
      </c>
      <c r="AH54" s="41"/>
      <c r="AI54" s="17">
        <v>46149</v>
      </c>
      <c r="AJ54" s="17">
        <v>46142</v>
      </c>
      <c r="AK54" s="17">
        <v>46114</v>
      </c>
      <c r="AL54" s="17">
        <v>46099</v>
      </c>
      <c r="AM54" s="294">
        <v>46065</v>
      </c>
      <c r="AN54" s="17">
        <v>46077</v>
      </c>
      <c r="AO54" s="292">
        <v>46045</v>
      </c>
      <c r="AP54" s="17">
        <v>46056</v>
      </c>
      <c r="AQ54" s="17">
        <v>46017</v>
      </c>
      <c r="AR54" s="17">
        <v>46007</v>
      </c>
      <c r="AS54" s="17">
        <v>46001</v>
      </c>
      <c r="AT54" s="17">
        <v>45994</v>
      </c>
      <c r="AU54" s="17">
        <v>45986</v>
      </c>
      <c r="AV54" s="17">
        <v>45980</v>
      </c>
      <c r="AW54" s="17">
        <v>45980</v>
      </c>
      <c r="AX54" s="17">
        <v>45973</v>
      </c>
      <c r="AY54" s="207">
        <v>45982</v>
      </c>
      <c r="AZ54" s="207">
        <v>45979</v>
      </c>
      <c r="BA54" s="269">
        <v>45974</v>
      </c>
      <c r="BB54" s="269">
        <v>45972</v>
      </c>
      <c r="BC54" s="258">
        <v>45968</v>
      </c>
      <c r="BD54" s="207">
        <v>45967</v>
      </c>
      <c r="BE54" s="274">
        <v>45964</v>
      </c>
    </row>
    <row r="55" spans="1:57" x14ac:dyDescent="0.3">
      <c r="A55" s="25" t="s">
        <v>452</v>
      </c>
      <c r="B55" s="6">
        <v>300</v>
      </c>
      <c r="C55" s="66">
        <v>169.8</v>
      </c>
      <c r="D55" s="234"/>
      <c r="E55" s="1"/>
      <c r="F55" s="39">
        <v>0</v>
      </c>
      <c r="G55" s="39">
        <v>0</v>
      </c>
      <c r="H55" s="39">
        <v>0</v>
      </c>
      <c r="I55" s="39">
        <v>0</v>
      </c>
      <c r="J55" s="39">
        <v>0</v>
      </c>
      <c r="K55" s="39">
        <v>0</v>
      </c>
      <c r="L55" s="39">
        <v>0</v>
      </c>
      <c r="M55" s="39">
        <v>0</v>
      </c>
      <c r="N55" s="39">
        <v>0</v>
      </c>
      <c r="O55" s="39">
        <v>0</v>
      </c>
      <c r="P55" s="39">
        <v>0</v>
      </c>
      <c r="Q55" s="39">
        <v>0</v>
      </c>
      <c r="R55" s="39">
        <v>0</v>
      </c>
      <c r="S55" s="39">
        <v>0</v>
      </c>
      <c r="T55" s="39">
        <v>0</v>
      </c>
      <c r="U55" s="39">
        <v>0</v>
      </c>
      <c r="V55" s="39">
        <v>0</v>
      </c>
      <c r="W55" s="39">
        <v>0</v>
      </c>
      <c r="X55" s="39">
        <v>0</v>
      </c>
      <c r="Y55" s="39">
        <v>0</v>
      </c>
      <c r="Z55" s="39">
        <v>0</v>
      </c>
      <c r="AA55" s="39">
        <v>0</v>
      </c>
      <c r="AB55" s="372">
        <f t="shared" ref="AB55:AB64" ca="1" si="1">Z55+IF(NOT(ISBLANK(OFFSET(AB55,0,6))),N(OFFSET(AB55,0,6)),N(OFFSET(AB55,0,7)))-AA55</f>
        <v>0</v>
      </c>
      <c r="AC55" s="41"/>
      <c r="AD55" s="134"/>
      <c r="AE55" s="134"/>
      <c r="AG55" s="76"/>
      <c r="AH55" s="41"/>
      <c r="AI55" s="19">
        <v>0</v>
      </c>
      <c r="AJ55" s="19">
        <v>0</v>
      </c>
      <c r="AK55" s="19">
        <v>0</v>
      </c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17"/>
      <c r="AZ55" s="117"/>
      <c r="BA55" s="117"/>
      <c r="BB55" s="19"/>
      <c r="BC55" s="19"/>
      <c r="BD55" s="117"/>
      <c r="BE55" s="19"/>
    </row>
    <row r="56" spans="1:57" x14ac:dyDescent="0.3">
      <c r="A56" s="25" t="s">
        <v>453</v>
      </c>
      <c r="B56" s="6">
        <v>200</v>
      </c>
      <c r="C56" s="66">
        <v>175.22</v>
      </c>
      <c r="D56" s="234"/>
      <c r="E56" s="1"/>
      <c r="F56" s="39">
        <v>0</v>
      </c>
      <c r="G56" s="39">
        <v>0</v>
      </c>
      <c r="H56" s="39">
        <v>0</v>
      </c>
      <c r="I56" s="39">
        <v>0</v>
      </c>
      <c r="J56" s="39">
        <v>0</v>
      </c>
      <c r="K56" s="39">
        <v>0</v>
      </c>
      <c r="L56" s="39">
        <v>0</v>
      </c>
      <c r="M56" s="39">
        <v>0</v>
      </c>
      <c r="N56" s="39">
        <v>0</v>
      </c>
      <c r="O56" s="39">
        <v>0</v>
      </c>
      <c r="P56" s="39">
        <v>0</v>
      </c>
      <c r="Q56" s="39">
        <v>0</v>
      </c>
      <c r="R56" s="39">
        <v>0</v>
      </c>
      <c r="S56" s="39">
        <v>0</v>
      </c>
      <c r="T56" s="39">
        <v>0</v>
      </c>
      <c r="U56" s="39">
        <v>0</v>
      </c>
      <c r="V56" s="39">
        <v>0</v>
      </c>
      <c r="W56" s="39">
        <v>0</v>
      </c>
      <c r="X56" s="39">
        <v>0</v>
      </c>
      <c r="Y56" s="39">
        <v>0</v>
      </c>
      <c r="Z56" s="39">
        <v>0</v>
      </c>
      <c r="AA56" s="39">
        <v>0</v>
      </c>
      <c r="AB56" s="372">
        <f t="shared" ca="1" si="1"/>
        <v>0</v>
      </c>
      <c r="AC56" s="41"/>
      <c r="AD56" s="134"/>
      <c r="AE56" s="134"/>
      <c r="AG56" s="76"/>
      <c r="AH56" s="41"/>
      <c r="AI56" s="19">
        <v>0</v>
      </c>
      <c r="AJ56" s="19">
        <v>0</v>
      </c>
      <c r="AK56" s="19">
        <v>0</v>
      </c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17"/>
      <c r="AZ56" s="117"/>
      <c r="BA56" s="117"/>
      <c r="BB56" s="19"/>
      <c r="BC56" s="19"/>
      <c r="BD56" s="117"/>
      <c r="BE56" s="19"/>
    </row>
    <row r="57" spans="1:57" x14ac:dyDescent="0.3">
      <c r="A57" s="25" t="s">
        <v>454</v>
      </c>
      <c r="B57" s="6">
        <v>200</v>
      </c>
      <c r="C57" s="66">
        <v>230.34</v>
      </c>
      <c r="D57" s="234"/>
      <c r="E57" s="1"/>
      <c r="F57" s="39">
        <v>0</v>
      </c>
      <c r="G57" s="39">
        <v>0</v>
      </c>
      <c r="H57" s="39">
        <v>0</v>
      </c>
      <c r="I57" s="39">
        <v>0</v>
      </c>
      <c r="J57" s="39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72">
        <f t="shared" ca="1" si="1"/>
        <v>0</v>
      </c>
      <c r="AC57" s="41"/>
      <c r="AD57" s="134"/>
      <c r="AE57" s="134"/>
      <c r="AG57" s="76"/>
      <c r="AH57" s="41"/>
      <c r="AI57" s="19">
        <v>0</v>
      </c>
      <c r="AJ57" s="19">
        <v>0</v>
      </c>
      <c r="AK57" s="19">
        <v>0</v>
      </c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17"/>
      <c r="AZ57" s="117"/>
      <c r="BA57" s="117"/>
      <c r="BB57" s="19"/>
      <c r="BC57" s="19"/>
      <c r="BD57" s="117"/>
      <c r="BE57" s="19"/>
    </row>
    <row r="58" spans="1:57" x14ac:dyDescent="0.3">
      <c r="A58" s="95" t="s">
        <v>516</v>
      </c>
      <c r="B58" s="72">
        <v>100</v>
      </c>
      <c r="C58" s="77">
        <v>22.98</v>
      </c>
      <c r="D58" s="234"/>
      <c r="F58" s="39">
        <v>0</v>
      </c>
      <c r="G58" s="39">
        <v>0</v>
      </c>
      <c r="H58" s="39">
        <v>0</v>
      </c>
      <c r="I58" s="39">
        <v>0</v>
      </c>
      <c r="J58" s="39">
        <v>0</v>
      </c>
      <c r="K58" s="39">
        <v>0</v>
      </c>
      <c r="L58" s="39">
        <v>0</v>
      </c>
      <c r="M58" s="39">
        <v>0</v>
      </c>
      <c r="N58" s="39">
        <v>0</v>
      </c>
      <c r="O58" s="39">
        <v>0</v>
      </c>
      <c r="P58" s="39">
        <v>0</v>
      </c>
      <c r="Q58" s="39">
        <v>0</v>
      </c>
      <c r="R58" s="39">
        <v>0</v>
      </c>
      <c r="S58" s="39">
        <v>0</v>
      </c>
      <c r="T58" s="39">
        <v>0</v>
      </c>
      <c r="U58" s="39">
        <v>0</v>
      </c>
      <c r="V58" s="39">
        <v>0</v>
      </c>
      <c r="W58" s="39">
        <v>0</v>
      </c>
      <c r="X58" s="39">
        <v>0</v>
      </c>
      <c r="Y58" s="39">
        <v>0</v>
      </c>
      <c r="Z58" s="39">
        <v>0</v>
      </c>
      <c r="AA58" s="39">
        <v>0</v>
      </c>
      <c r="AB58" s="372">
        <f t="shared" ca="1" si="1"/>
        <v>0</v>
      </c>
      <c r="AD58" s="134"/>
      <c r="AE58" s="134"/>
      <c r="AF58" s="1"/>
      <c r="AG58" s="32"/>
      <c r="AH58" s="41"/>
      <c r="AI58" s="19">
        <v>0</v>
      </c>
      <c r="AJ58" s="19">
        <v>0</v>
      </c>
      <c r="AK58" s="19">
        <v>0</v>
      </c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17"/>
      <c r="AZ58" s="117"/>
      <c r="BA58" s="117"/>
      <c r="BB58" s="19"/>
      <c r="BC58" s="19"/>
      <c r="BD58" s="117"/>
      <c r="BE58" s="19"/>
    </row>
    <row r="59" spans="1:57" x14ac:dyDescent="0.3">
      <c r="A59" s="25" t="s">
        <v>517</v>
      </c>
      <c r="B59" s="6">
        <v>1000</v>
      </c>
      <c r="C59" s="66">
        <v>7.75</v>
      </c>
      <c r="D59" s="234"/>
      <c r="E59" s="1"/>
      <c r="F59" s="39">
        <v>0</v>
      </c>
      <c r="G59" s="39">
        <v>0</v>
      </c>
      <c r="H59" s="39">
        <v>0</v>
      </c>
      <c r="I59" s="39">
        <v>0</v>
      </c>
      <c r="J59" s="39">
        <v>0</v>
      </c>
      <c r="K59" s="39">
        <v>0</v>
      </c>
      <c r="L59" s="39">
        <v>0</v>
      </c>
      <c r="M59" s="39">
        <v>0</v>
      </c>
      <c r="N59" s="39">
        <v>0</v>
      </c>
      <c r="O59" s="39">
        <v>0</v>
      </c>
      <c r="P59" s="39">
        <v>0</v>
      </c>
      <c r="Q59" s="39">
        <v>0</v>
      </c>
      <c r="R59" s="39">
        <v>0</v>
      </c>
      <c r="S59" s="39">
        <v>0</v>
      </c>
      <c r="T59" s="39">
        <v>0</v>
      </c>
      <c r="U59" s="39">
        <v>0</v>
      </c>
      <c r="V59" s="39">
        <v>0</v>
      </c>
      <c r="W59" s="39">
        <v>0</v>
      </c>
      <c r="X59" s="39">
        <v>0</v>
      </c>
      <c r="Y59" s="39">
        <v>0</v>
      </c>
      <c r="Z59" s="39">
        <v>0</v>
      </c>
      <c r="AA59" s="39">
        <v>0</v>
      </c>
      <c r="AB59" s="372">
        <f t="shared" ca="1" si="1"/>
        <v>0</v>
      </c>
      <c r="AC59" s="41"/>
      <c r="AD59" s="134"/>
      <c r="AE59" s="134"/>
      <c r="AG59" s="76"/>
      <c r="AH59" s="41"/>
      <c r="AI59" s="19">
        <v>0</v>
      </c>
      <c r="AJ59" s="19">
        <v>0</v>
      </c>
      <c r="AK59" s="19">
        <v>0</v>
      </c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17"/>
      <c r="AZ59" s="117"/>
      <c r="BA59" s="117"/>
      <c r="BB59" s="19"/>
      <c r="BC59" s="19"/>
      <c r="BD59" s="117"/>
      <c r="BE59" s="19"/>
    </row>
    <row r="60" spans="1:57" x14ac:dyDescent="0.3">
      <c r="A60" s="25" t="s">
        <v>518</v>
      </c>
      <c r="B60" s="6">
        <v>300</v>
      </c>
      <c r="C60" s="66">
        <v>53.97</v>
      </c>
      <c r="D60" s="234"/>
      <c r="E60" s="1"/>
      <c r="F60" s="39">
        <v>0</v>
      </c>
      <c r="G60" s="39">
        <v>0</v>
      </c>
      <c r="H60" s="39">
        <v>0</v>
      </c>
      <c r="I60" s="39">
        <v>0</v>
      </c>
      <c r="J60" s="39">
        <v>0</v>
      </c>
      <c r="K60" s="39">
        <v>0</v>
      </c>
      <c r="L60" s="39">
        <v>0</v>
      </c>
      <c r="M60" s="39">
        <v>0</v>
      </c>
      <c r="N60" s="39">
        <v>0</v>
      </c>
      <c r="O60" s="39">
        <v>0</v>
      </c>
      <c r="P60" s="39">
        <v>0</v>
      </c>
      <c r="Q60" s="39">
        <v>0</v>
      </c>
      <c r="R60" s="39">
        <v>0</v>
      </c>
      <c r="S60" s="39">
        <v>0</v>
      </c>
      <c r="T60" s="39">
        <v>0</v>
      </c>
      <c r="U60" s="39">
        <v>0</v>
      </c>
      <c r="V60" s="39">
        <v>0</v>
      </c>
      <c r="W60" s="39">
        <v>0</v>
      </c>
      <c r="X60" s="39">
        <v>0</v>
      </c>
      <c r="Y60" s="39">
        <v>0</v>
      </c>
      <c r="Z60" s="39">
        <v>0</v>
      </c>
      <c r="AA60" s="39">
        <v>0</v>
      </c>
      <c r="AB60" s="372">
        <f t="shared" ca="1" si="1"/>
        <v>0</v>
      </c>
      <c r="AC60" s="41"/>
      <c r="AD60" s="134"/>
      <c r="AE60" s="134"/>
      <c r="AG60" s="76"/>
      <c r="AH60" s="41"/>
      <c r="AI60" s="19">
        <v>0</v>
      </c>
      <c r="AJ60" s="19">
        <v>0</v>
      </c>
      <c r="AK60" s="19">
        <v>0</v>
      </c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17"/>
      <c r="AZ60" s="117"/>
      <c r="BA60" s="117"/>
      <c r="BB60" s="19"/>
      <c r="BC60" s="19"/>
      <c r="BD60" s="117"/>
      <c r="BE60" s="19"/>
    </row>
    <row r="61" spans="1:57" x14ac:dyDescent="0.3">
      <c r="A61" s="25" t="s">
        <v>519</v>
      </c>
      <c r="B61" s="6">
        <v>3000</v>
      </c>
      <c r="C61" s="66">
        <v>213</v>
      </c>
      <c r="D61" s="234"/>
      <c r="E61" s="1"/>
      <c r="F61" s="39">
        <v>0</v>
      </c>
      <c r="G61" s="39">
        <v>0</v>
      </c>
      <c r="H61" s="39">
        <v>0</v>
      </c>
      <c r="I61" s="39">
        <v>0</v>
      </c>
      <c r="J61" s="39">
        <v>0</v>
      </c>
      <c r="K61" s="39">
        <v>0</v>
      </c>
      <c r="L61" s="39">
        <v>0</v>
      </c>
      <c r="M61" s="39">
        <v>0</v>
      </c>
      <c r="N61" s="39">
        <v>0</v>
      </c>
      <c r="O61" s="39">
        <v>0</v>
      </c>
      <c r="P61" s="39">
        <v>0</v>
      </c>
      <c r="Q61" s="39">
        <v>0</v>
      </c>
      <c r="R61" s="39">
        <v>0</v>
      </c>
      <c r="S61" s="39">
        <v>0</v>
      </c>
      <c r="T61" s="39">
        <v>0</v>
      </c>
      <c r="U61" s="39">
        <v>0</v>
      </c>
      <c r="V61" s="39">
        <v>0</v>
      </c>
      <c r="W61" s="39">
        <v>0</v>
      </c>
      <c r="X61" s="39">
        <v>0</v>
      </c>
      <c r="Y61" s="39">
        <v>0</v>
      </c>
      <c r="Z61" s="39">
        <v>0</v>
      </c>
      <c r="AA61" s="39">
        <v>0</v>
      </c>
      <c r="AB61" s="372">
        <f t="shared" ca="1" si="1"/>
        <v>0</v>
      </c>
      <c r="AC61" s="41"/>
      <c r="AD61" s="134"/>
      <c r="AE61" s="134"/>
      <c r="AG61" s="76"/>
      <c r="AH61" s="41"/>
      <c r="AI61" s="19">
        <v>0</v>
      </c>
      <c r="AJ61" s="19">
        <v>0</v>
      </c>
      <c r="AK61" s="19">
        <v>0</v>
      </c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17"/>
      <c r="AZ61" s="117"/>
      <c r="BA61" s="117"/>
      <c r="BB61" s="19"/>
      <c r="BC61" s="19"/>
      <c r="BD61" s="117"/>
      <c r="BE61" s="19"/>
    </row>
    <row r="62" spans="1:57" x14ac:dyDescent="0.3">
      <c r="A62" s="25" t="s">
        <v>455</v>
      </c>
      <c r="B62" s="6">
        <v>150</v>
      </c>
      <c r="C62" s="66">
        <v>306</v>
      </c>
      <c r="D62" s="234"/>
      <c r="E62" s="1"/>
      <c r="F62" s="39">
        <v>20</v>
      </c>
      <c r="G62" s="39">
        <v>19</v>
      </c>
      <c r="H62" s="39">
        <v>19</v>
      </c>
      <c r="I62" s="39">
        <v>19</v>
      </c>
      <c r="J62" s="39">
        <v>19</v>
      </c>
      <c r="K62" s="39">
        <v>19</v>
      </c>
      <c r="L62" s="39">
        <v>19</v>
      </c>
      <c r="M62" s="39">
        <v>19</v>
      </c>
      <c r="N62" s="39">
        <v>19</v>
      </c>
      <c r="O62" s="39">
        <v>19</v>
      </c>
      <c r="P62" s="39">
        <v>19</v>
      </c>
      <c r="Q62" s="39">
        <v>19</v>
      </c>
      <c r="R62" s="39">
        <v>19</v>
      </c>
      <c r="S62" s="39">
        <v>19</v>
      </c>
      <c r="T62" s="39">
        <v>19</v>
      </c>
      <c r="U62" s="39">
        <v>18</v>
      </c>
      <c r="V62" s="39"/>
      <c r="W62" s="39"/>
      <c r="X62" s="39"/>
      <c r="Y62" s="39"/>
      <c r="Z62" s="39"/>
      <c r="AA62" s="39">
        <v>17</v>
      </c>
      <c r="AB62" s="372">
        <f t="shared" ca="1" si="1"/>
        <v>-17</v>
      </c>
      <c r="AC62" s="41"/>
      <c r="AD62" s="134"/>
      <c r="AE62" s="134"/>
      <c r="AG62" s="76"/>
      <c r="AH62" s="41"/>
      <c r="AI62" s="19">
        <v>0</v>
      </c>
      <c r="AJ62" s="19">
        <v>0</v>
      </c>
      <c r="AK62" s="19">
        <v>0</v>
      </c>
      <c r="AL62" s="159"/>
      <c r="AM62" s="159"/>
      <c r="AN62" s="159"/>
      <c r="AO62" s="159"/>
      <c r="AP62" s="159"/>
      <c r="AQ62" s="159"/>
      <c r="AR62" s="159"/>
      <c r="AS62" s="159"/>
      <c r="AT62" s="159"/>
      <c r="AU62" s="159"/>
      <c r="AV62" s="159"/>
      <c r="AW62" s="159"/>
      <c r="AX62" s="159"/>
      <c r="AY62" s="159"/>
      <c r="AZ62" s="159"/>
      <c r="BA62" s="159"/>
      <c r="BB62" s="159"/>
      <c r="BC62" s="159"/>
      <c r="BD62" s="255" t="s">
        <v>520</v>
      </c>
      <c r="BE62" s="159"/>
    </row>
    <row r="63" spans="1:57" x14ac:dyDescent="0.3">
      <c r="A63" s="25" t="s">
        <v>456</v>
      </c>
      <c r="B63" s="6">
        <v>75</v>
      </c>
      <c r="C63" s="66">
        <v>216.38</v>
      </c>
      <c r="D63" s="234"/>
      <c r="E63" s="1"/>
      <c r="F63" s="39">
        <v>10</v>
      </c>
      <c r="G63" s="39">
        <v>9</v>
      </c>
      <c r="H63" s="39">
        <v>9</v>
      </c>
      <c r="I63" s="39">
        <v>9</v>
      </c>
      <c r="J63" s="39">
        <v>9</v>
      </c>
      <c r="K63" s="39">
        <v>9</v>
      </c>
      <c r="L63" s="39">
        <v>9</v>
      </c>
      <c r="M63" s="39">
        <v>9</v>
      </c>
      <c r="N63" s="39">
        <v>9</v>
      </c>
      <c r="O63" s="39">
        <v>9</v>
      </c>
      <c r="P63" s="39">
        <v>9</v>
      </c>
      <c r="Q63" s="39">
        <v>9</v>
      </c>
      <c r="R63" s="39">
        <v>9</v>
      </c>
      <c r="S63" s="39">
        <v>9</v>
      </c>
      <c r="T63" s="39">
        <v>9</v>
      </c>
      <c r="U63" s="39">
        <v>9</v>
      </c>
      <c r="V63" s="39"/>
      <c r="W63" s="39"/>
      <c r="X63" s="39"/>
      <c r="Y63" s="39"/>
      <c r="Z63" s="39"/>
      <c r="AA63" s="39">
        <v>9</v>
      </c>
      <c r="AB63" s="372">
        <f t="shared" ca="1" si="1"/>
        <v>-9</v>
      </c>
      <c r="AC63" s="41"/>
      <c r="AD63" s="134"/>
      <c r="AE63" s="134"/>
      <c r="AG63" s="76"/>
      <c r="AH63" s="41"/>
      <c r="AI63" s="19">
        <v>0</v>
      </c>
      <c r="AJ63" s="19">
        <v>0</v>
      </c>
      <c r="AK63" s="19">
        <v>0</v>
      </c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17"/>
      <c r="AZ63" s="117"/>
      <c r="BA63" s="117"/>
      <c r="BB63" s="19"/>
      <c r="BC63" s="19"/>
      <c r="BD63" s="253" t="s">
        <v>502</v>
      </c>
      <c r="BE63" s="19"/>
    </row>
    <row r="64" spans="1:57" x14ac:dyDescent="0.3">
      <c r="A64" s="25" t="s">
        <v>457</v>
      </c>
      <c r="B64" s="6">
        <v>100</v>
      </c>
      <c r="C64" s="66">
        <v>306</v>
      </c>
      <c r="D64" s="234"/>
      <c r="E64" s="1"/>
      <c r="F64" s="39">
        <v>5</v>
      </c>
      <c r="G64" s="39">
        <v>5</v>
      </c>
      <c r="H64" s="39">
        <v>5</v>
      </c>
      <c r="I64" s="39">
        <v>5</v>
      </c>
      <c r="J64" s="39">
        <v>5</v>
      </c>
      <c r="K64" s="39">
        <v>5</v>
      </c>
      <c r="L64" s="39">
        <v>5</v>
      </c>
      <c r="M64" s="39">
        <v>5</v>
      </c>
      <c r="N64" s="39">
        <v>5</v>
      </c>
      <c r="O64" s="39">
        <v>5</v>
      </c>
      <c r="P64" s="39">
        <v>5</v>
      </c>
      <c r="Q64" s="39">
        <v>5</v>
      </c>
      <c r="R64" s="39">
        <v>5</v>
      </c>
      <c r="S64" s="39">
        <v>3</v>
      </c>
      <c r="T64" s="39">
        <v>2</v>
      </c>
      <c r="U64" s="39">
        <v>2</v>
      </c>
      <c r="V64" s="39"/>
      <c r="W64" s="39"/>
      <c r="X64" s="39"/>
      <c r="Y64" s="39"/>
      <c r="Z64" s="39"/>
      <c r="AA64" s="39">
        <v>0</v>
      </c>
      <c r="AB64" s="372">
        <f t="shared" ca="1" si="1"/>
        <v>0</v>
      </c>
      <c r="AC64" s="41"/>
      <c r="AD64" s="134"/>
      <c r="AE64" s="134"/>
      <c r="AG64" s="76"/>
      <c r="AH64" s="41"/>
      <c r="AI64" s="19">
        <v>0</v>
      </c>
      <c r="AJ64" s="19">
        <v>0</v>
      </c>
      <c r="AK64" s="19">
        <v>0</v>
      </c>
      <c r="AL64" s="159"/>
      <c r="AM64" s="159"/>
      <c r="AN64" s="159"/>
      <c r="AO64" s="159"/>
      <c r="AP64" s="159"/>
      <c r="AQ64" s="159"/>
      <c r="AR64" s="159"/>
      <c r="AS64" s="159"/>
      <c r="AT64" s="159"/>
      <c r="AU64" s="159"/>
      <c r="AV64" s="159"/>
      <c r="AW64" s="159"/>
      <c r="AX64" s="159"/>
      <c r="AY64" s="159"/>
      <c r="AZ64" s="159"/>
      <c r="BA64" s="159"/>
      <c r="BB64" s="159"/>
      <c r="BC64" s="159"/>
      <c r="BD64" s="255" t="s">
        <v>521</v>
      </c>
      <c r="BE64" s="159"/>
    </row>
    <row r="65" spans="1:57" x14ac:dyDescent="0.3">
      <c r="B65" s="41"/>
      <c r="C65" s="120"/>
      <c r="D65" s="120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D65" s="75"/>
      <c r="AF65" s="1"/>
      <c r="AG65" s="15"/>
      <c r="AH65" s="41"/>
      <c r="AI65" s="75"/>
      <c r="AJ65" s="75"/>
      <c r="AK65" s="75"/>
      <c r="AL65" s="75"/>
      <c r="AM65" s="75"/>
      <c r="AN65" s="75"/>
      <c r="AO65" s="75"/>
      <c r="AP65" s="75"/>
      <c r="AQ65" s="75"/>
      <c r="AR65" s="75"/>
      <c r="AS65" s="75"/>
      <c r="AT65" s="75"/>
      <c r="AU65" s="75"/>
      <c r="AV65" s="75"/>
      <c r="AW65" s="75"/>
      <c r="AX65" s="75"/>
      <c r="AY65" s="201"/>
      <c r="AZ65" s="201"/>
      <c r="BA65" s="201"/>
      <c r="BB65" s="75"/>
      <c r="BC65" s="75"/>
      <c r="BD65" s="201"/>
      <c r="BE65" s="75"/>
    </row>
    <row r="66" spans="1:57" x14ac:dyDescent="0.3">
      <c r="A66" s="215" t="s">
        <v>458</v>
      </c>
      <c r="B66" s="216"/>
      <c r="C66" s="216"/>
      <c r="D66" s="216"/>
      <c r="F66" s="13">
        <v>46006</v>
      </c>
      <c r="G66" s="13">
        <v>46013</v>
      </c>
      <c r="H66" s="13">
        <v>46020</v>
      </c>
      <c r="I66" s="13">
        <v>46027</v>
      </c>
      <c r="J66" s="13">
        <v>46034</v>
      </c>
      <c r="K66" s="13">
        <v>46041</v>
      </c>
      <c r="L66" s="13">
        <v>46048</v>
      </c>
      <c r="M66" s="13">
        <v>46055</v>
      </c>
      <c r="N66" s="13">
        <v>46062</v>
      </c>
      <c r="O66" s="13">
        <v>46069</v>
      </c>
      <c r="P66" s="13">
        <v>46076</v>
      </c>
      <c r="Q66" s="13">
        <v>46083</v>
      </c>
      <c r="R66" s="13">
        <v>46090</v>
      </c>
      <c r="S66" s="13">
        <v>46097</v>
      </c>
      <c r="T66" s="13">
        <v>46104</v>
      </c>
      <c r="U66" s="13">
        <v>46111</v>
      </c>
      <c r="V66" s="13">
        <v>46118</v>
      </c>
      <c r="W66" s="13">
        <v>46125</v>
      </c>
      <c r="X66" s="13">
        <v>46132</v>
      </c>
      <c r="Y66" s="13">
        <v>46139</v>
      </c>
      <c r="Z66" s="13">
        <v>46146</v>
      </c>
      <c r="AA66" s="13">
        <v>46154</v>
      </c>
      <c r="AB66" s="35" t="s">
        <v>129</v>
      </c>
      <c r="AD66" s="29" t="s">
        <v>126</v>
      </c>
      <c r="AE66" s="29" t="s">
        <v>126</v>
      </c>
      <c r="AF66" s="1"/>
      <c r="AG66" s="9" t="s">
        <v>127</v>
      </c>
      <c r="AH66" s="41"/>
      <c r="AI66" s="17">
        <v>46149</v>
      </c>
      <c r="AJ66" s="17">
        <v>46142</v>
      </c>
      <c r="AK66" s="17">
        <v>46114</v>
      </c>
      <c r="AL66" s="17">
        <v>46099</v>
      </c>
      <c r="AM66" s="294">
        <v>46065</v>
      </c>
      <c r="AN66" s="17">
        <v>46077</v>
      </c>
      <c r="AO66" s="292">
        <v>46045</v>
      </c>
      <c r="AP66" s="17">
        <v>46056</v>
      </c>
      <c r="AQ66" s="17">
        <v>46017</v>
      </c>
      <c r="AR66" s="17">
        <v>46007</v>
      </c>
      <c r="AS66" s="17">
        <v>46001</v>
      </c>
      <c r="AT66" s="17">
        <v>45994</v>
      </c>
      <c r="AU66" s="17">
        <v>45986</v>
      </c>
      <c r="AV66" s="17">
        <v>45980</v>
      </c>
      <c r="AW66" s="17">
        <v>45980</v>
      </c>
      <c r="AX66" s="17">
        <v>45973</v>
      </c>
      <c r="AY66" s="207">
        <v>45982</v>
      </c>
      <c r="AZ66" s="207">
        <v>45979</v>
      </c>
      <c r="BA66" s="269">
        <v>45974</v>
      </c>
      <c r="BB66" s="269">
        <v>45972</v>
      </c>
      <c r="BC66" s="258">
        <v>45968</v>
      </c>
      <c r="BD66" s="207">
        <v>45967</v>
      </c>
      <c r="BE66" s="274">
        <v>45964</v>
      </c>
    </row>
    <row r="67" spans="1:57" x14ac:dyDescent="0.3">
      <c r="A67" s="25" t="s">
        <v>459</v>
      </c>
      <c r="B67" s="6">
        <v>200</v>
      </c>
      <c r="C67" s="66">
        <v>183.24</v>
      </c>
      <c r="D67" s="234"/>
      <c r="F67" s="39">
        <v>821</v>
      </c>
      <c r="G67" s="39">
        <v>1221</v>
      </c>
      <c r="H67" s="39">
        <v>1808</v>
      </c>
      <c r="I67" s="39">
        <v>1808</v>
      </c>
      <c r="J67" s="39">
        <v>1278</v>
      </c>
      <c r="K67" s="39">
        <v>1346</v>
      </c>
      <c r="L67" s="39">
        <v>1208</v>
      </c>
      <c r="M67" s="39">
        <v>1144</v>
      </c>
      <c r="N67" s="39">
        <v>1088</v>
      </c>
      <c r="O67" s="39">
        <v>1020</v>
      </c>
      <c r="P67" s="39">
        <v>1007</v>
      </c>
      <c r="Q67" s="39">
        <v>940</v>
      </c>
      <c r="R67" s="39">
        <v>823</v>
      </c>
      <c r="S67" s="39">
        <v>740</v>
      </c>
      <c r="T67" s="39">
        <v>655</v>
      </c>
      <c r="U67" s="39">
        <v>541</v>
      </c>
      <c r="V67" s="39">
        <v>490</v>
      </c>
      <c r="W67" s="39">
        <v>400</v>
      </c>
      <c r="X67" s="39">
        <v>288</v>
      </c>
      <c r="Y67" s="39">
        <v>252</v>
      </c>
      <c r="Z67" s="39">
        <v>0</v>
      </c>
      <c r="AA67" s="39">
        <f>0+AI67</f>
        <v>400</v>
      </c>
      <c r="AB67" s="372">
        <f t="shared" ref="AB67:AB78" ca="1" si="2">Z67+IF(NOT(ISBLANK(OFFSET(AB67,0,6))),N(OFFSET(AB67,0,6)),N(OFFSET(AB67,0,7)))-AA67</f>
        <v>0</v>
      </c>
      <c r="AD67" s="134"/>
      <c r="AE67" s="134"/>
      <c r="AF67" s="1"/>
      <c r="AG67" s="76"/>
      <c r="AH67" s="41"/>
      <c r="AI67" s="19">
        <v>400</v>
      </c>
      <c r="AJ67" s="19">
        <v>0</v>
      </c>
      <c r="AK67" s="19">
        <v>0</v>
      </c>
      <c r="AL67" s="19"/>
      <c r="AM67" s="19"/>
      <c r="AN67" s="19"/>
      <c r="AO67" s="19"/>
      <c r="AP67" s="19"/>
      <c r="AQ67" s="19"/>
      <c r="AR67" s="19"/>
      <c r="AS67" s="19">
        <v>400</v>
      </c>
      <c r="AT67" s="19">
        <v>400</v>
      </c>
      <c r="AU67" s="19">
        <v>200</v>
      </c>
      <c r="AV67" s="19">
        <v>400</v>
      </c>
      <c r="AW67" s="19"/>
      <c r="AX67" s="19"/>
      <c r="AY67" s="117"/>
      <c r="AZ67" s="117"/>
      <c r="BA67" s="117"/>
      <c r="BB67" s="19"/>
      <c r="BC67" s="19"/>
      <c r="BD67" s="117"/>
      <c r="BE67" s="19"/>
    </row>
    <row r="68" spans="1:57" x14ac:dyDescent="0.3">
      <c r="A68" s="25" t="s">
        <v>461</v>
      </c>
      <c r="B68" s="6">
        <v>200</v>
      </c>
      <c r="C68" s="66">
        <v>240.83</v>
      </c>
      <c r="D68" s="234"/>
      <c r="F68" s="39">
        <v>295</v>
      </c>
      <c r="G68" s="39">
        <v>502</v>
      </c>
      <c r="H68" s="39">
        <v>635</v>
      </c>
      <c r="I68" s="39">
        <f>628+AQ68</f>
        <v>828</v>
      </c>
      <c r="J68" s="39">
        <v>804</v>
      </c>
      <c r="K68" s="39">
        <v>800</v>
      </c>
      <c r="L68" s="39">
        <v>800</v>
      </c>
      <c r="M68" s="39">
        <v>760</v>
      </c>
      <c r="N68" s="39">
        <v>915</v>
      </c>
      <c r="O68" s="39">
        <v>680</v>
      </c>
      <c r="P68" s="39">
        <v>619</v>
      </c>
      <c r="Q68" s="39">
        <v>619</v>
      </c>
      <c r="R68" s="39">
        <v>486</v>
      </c>
      <c r="S68" s="39">
        <v>414</v>
      </c>
      <c r="T68" s="39">
        <f>351+AL68</f>
        <v>751</v>
      </c>
      <c r="U68" s="39">
        <v>734</v>
      </c>
      <c r="V68" s="39">
        <v>701</v>
      </c>
      <c r="W68" s="39">
        <v>600</v>
      </c>
      <c r="X68" s="39">
        <v>380</v>
      </c>
      <c r="Y68" s="39">
        <v>320</v>
      </c>
      <c r="Z68" s="39">
        <v>200</v>
      </c>
      <c r="AA68" s="39">
        <v>200</v>
      </c>
      <c r="AB68" s="372">
        <f t="shared" ca="1" si="2"/>
        <v>0</v>
      </c>
      <c r="AD68" s="134"/>
      <c r="AE68" s="134"/>
      <c r="AF68" s="1"/>
      <c r="AG68" s="76"/>
      <c r="AH68" s="41"/>
      <c r="AI68" s="19">
        <v>0</v>
      </c>
      <c r="AJ68" s="19">
        <v>0</v>
      </c>
      <c r="AK68" s="19">
        <v>0</v>
      </c>
      <c r="AL68" s="19">
        <v>400</v>
      </c>
      <c r="AM68" s="19"/>
      <c r="AN68" s="19"/>
      <c r="AO68" s="19"/>
      <c r="AP68" s="19"/>
      <c r="AQ68" s="19">
        <v>200</v>
      </c>
      <c r="AR68" s="19">
        <v>200</v>
      </c>
      <c r="AS68" s="19">
        <v>200</v>
      </c>
      <c r="AT68" s="19"/>
      <c r="AU68" s="19">
        <v>200</v>
      </c>
      <c r="AV68" s="19"/>
      <c r="AW68" s="19">
        <v>200</v>
      </c>
      <c r="AX68" s="19"/>
      <c r="AY68" s="117"/>
      <c r="AZ68" s="117"/>
      <c r="BA68" s="117"/>
      <c r="BB68" s="19"/>
      <c r="BC68" s="19"/>
      <c r="BD68" s="117"/>
      <c r="BE68" s="19"/>
    </row>
    <row r="69" spans="1:57" x14ac:dyDescent="0.3">
      <c r="A69" s="25" t="s">
        <v>462</v>
      </c>
      <c r="B69" s="6">
        <v>100</v>
      </c>
      <c r="C69" s="66">
        <v>175.13</v>
      </c>
      <c r="D69" s="234"/>
      <c r="F69" s="39">
        <v>81</v>
      </c>
      <c r="G69" s="39">
        <v>81</v>
      </c>
      <c r="H69" s="39">
        <v>4</v>
      </c>
      <c r="I69" s="39">
        <v>204</v>
      </c>
      <c r="J69" s="39">
        <v>200</v>
      </c>
      <c r="K69" s="39">
        <v>200</v>
      </c>
      <c r="L69" s="39">
        <v>200</v>
      </c>
      <c r="M69" s="39">
        <v>483</v>
      </c>
      <c r="N69" s="39">
        <v>302</v>
      </c>
      <c r="O69" s="39">
        <v>263</v>
      </c>
      <c r="P69" s="39">
        <v>216</v>
      </c>
      <c r="Q69" s="39">
        <v>204</v>
      </c>
      <c r="R69" s="39">
        <v>162</v>
      </c>
      <c r="S69" s="39">
        <v>141</v>
      </c>
      <c r="T69" s="39">
        <v>103</v>
      </c>
      <c r="U69" s="39">
        <v>69</v>
      </c>
      <c r="V69" s="39">
        <v>152</v>
      </c>
      <c r="W69" s="39">
        <v>110</v>
      </c>
      <c r="X69" s="39">
        <v>0</v>
      </c>
      <c r="Y69" s="39">
        <v>0</v>
      </c>
      <c r="Z69" s="39">
        <v>0</v>
      </c>
      <c r="AA69" s="39">
        <v>0</v>
      </c>
      <c r="AB69" s="372">
        <f t="shared" ca="1" si="2"/>
        <v>0</v>
      </c>
      <c r="AD69" s="134" t="s">
        <v>501</v>
      </c>
      <c r="AE69" s="134"/>
      <c r="AF69" s="1"/>
      <c r="AG69" s="76"/>
      <c r="AH69" s="41"/>
      <c r="AI69" s="19">
        <v>0</v>
      </c>
      <c r="AJ69" s="19">
        <v>0</v>
      </c>
      <c r="AK69" s="19">
        <v>0</v>
      </c>
      <c r="AL69" s="19"/>
      <c r="AM69" s="19"/>
      <c r="AN69" s="19"/>
      <c r="AO69" s="19"/>
      <c r="AP69" s="19"/>
      <c r="AQ69" s="19">
        <v>200</v>
      </c>
      <c r="AR69" s="19">
        <v>100</v>
      </c>
      <c r="AS69" s="19">
        <v>100</v>
      </c>
      <c r="AT69" s="19">
        <v>100</v>
      </c>
      <c r="AU69" s="19"/>
      <c r="AV69" s="19"/>
      <c r="AW69" s="19">
        <v>100</v>
      </c>
      <c r="AX69" s="19"/>
      <c r="AY69" s="117"/>
      <c r="AZ69" s="117"/>
      <c r="BA69" s="117"/>
      <c r="BB69" s="19"/>
      <c r="BC69" s="19"/>
      <c r="BD69" s="253" t="s">
        <v>501</v>
      </c>
      <c r="BE69" s="19"/>
    </row>
    <row r="70" spans="1:57" x14ac:dyDescent="0.3">
      <c r="A70" s="95" t="s">
        <v>522</v>
      </c>
      <c r="B70" s="217">
        <v>200</v>
      </c>
      <c r="C70" s="218">
        <v>29.77</v>
      </c>
      <c r="D70" s="234"/>
      <c r="F70" s="39">
        <v>1</v>
      </c>
      <c r="G70" s="39">
        <v>1</v>
      </c>
      <c r="H70" s="39">
        <v>3</v>
      </c>
      <c r="I70" s="39">
        <v>3</v>
      </c>
      <c r="J70" s="39">
        <v>3</v>
      </c>
      <c r="K70" s="39">
        <v>3</v>
      </c>
      <c r="L70" s="39">
        <v>3</v>
      </c>
      <c r="M70" s="39">
        <v>3</v>
      </c>
      <c r="N70" s="39">
        <v>3</v>
      </c>
      <c r="O70" s="39">
        <v>3</v>
      </c>
      <c r="P70" s="39">
        <v>3</v>
      </c>
      <c r="Q70" s="39">
        <v>3</v>
      </c>
      <c r="R70" s="39">
        <v>3</v>
      </c>
      <c r="S70" s="39">
        <v>3</v>
      </c>
      <c r="T70" s="39">
        <v>3</v>
      </c>
      <c r="U70" s="39">
        <v>3</v>
      </c>
      <c r="V70" s="39">
        <v>3</v>
      </c>
      <c r="W70" s="39">
        <v>3</v>
      </c>
      <c r="X70" s="39">
        <v>3</v>
      </c>
      <c r="Y70" s="39">
        <v>3</v>
      </c>
      <c r="Z70" s="39">
        <v>3</v>
      </c>
      <c r="AA70" s="39">
        <v>3</v>
      </c>
      <c r="AB70" s="372">
        <f t="shared" ca="1" si="2"/>
        <v>0</v>
      </c>
      <c r="AD70" s="134"/>
      <c r="AE70" s="134"/>
      <c r="AF70" s="1"/>
      <c r="AG70" s="32"/>
      <c r="AH70" s="41"/>
      <c r="AI70" s="19">
        <v>0</v>
      </c>
      <c r="AJ70" s="19">
        <v>0</v>
      </c>
      <c r="AK70" s="19">
        <v>0</v>
      </c>
      <c r="AL70" s="19"/>
      <c r="AM70" s="19"/>
      <c r="AN70" s="19"/>
      <c r="AO70" s="19"/>
      <c r="AP70" s="19"/>
      <c r="AQ70" s="19"/>
      <c r="AR70" s="19"/>
      <c r="AS70" s="19">
        <v>1</v>
      </c>
      <c r="AT70" s="19"/>
      <c r="AU70" s="19"/>
      <c r="AV70" s="19"/>
      <c r="AW70" s="19">
        <v>2</v>
      </c>
      <c r="AX70" s="19"/>
      <c r="AY70" s="117"/>
      <c r="AZ70" s="117"/>
      <c r="BA70" s="117"/>
      <c r="BB70" s="19"/>
      <c r="BC70" s="19"/>
      <c r="BD70" s="117"/>
      <c r="BE70" s="19"/>
    </row>
    <row r="71" spans="1:57" x14ac:dyDescent="0.3">
      <c r="A71" s="95" t="s">
        <v>523</v>
      </c>
      <c r="B71" s="217">
        <v>1000</v>
      </c>
      <c r="C71" s="218">
        <v>70</v>
      </c>
      <c r="D71" s="234"/>
      <c r="F71" s="39">
        <v>1</v>
      </c>
      <c r="G71" s="39">
        <v>1</v>
      </c>
      <c r="H71" s="39">
        <v>2</v>
      </c>
      <c r="I71" s="39">
        <v>2</v>
      </c>
      <c r="J71" s="39">
        <v>2</v>
      </c>
      <c r="K71" s="39">
        <v>2</v>
      </c>
      <c r="L71" s="39">
        <v>2</v>
      </c>
      <c r="M71" s="39">
        <v>2</v>
      </c>
      <c r="N71" s="39">
        <v>2</v>
      </c>
      <c r="O71" s="39">
        <v>2</v>
      </c>
      <c r="P71" s="39">
        <v>2</v>
      </c>
      <c r="Q71" s="39">
        <v>2</v>
      </c>
      <c r="R71" s="39">
        <v>2</v>
      </c>
      <c r="S71" s="39">
        <v>2</v>
      </c>
      <c r="T71" s="39">
        <v>2</v>
      </c>
      <c r="U71" s="39">
        <v>2</v>
      </c>
      <c r="V71" s="39">
        <v>2</v>
      </c>
      <c r="W71" s="39">
        <v>2</v>
      </c>
      <c r="X71" s="39">
        <v>2</v>
      </c>
      <c r="Y71" s="39">
        <v>2</v>
      </c>
      <c r="Z71" s="39">
        <v>2</v>
      </c>
      <c r="AA71" s="39">
        <v>2</v>
      </c>
      <c r="AB71" s="372">
        <f t="shared" ca="1" si="2"/>
        <v>0</v>
      </c>
      <c r="AD71" s="134"/>
      <c r="AE71" s="134"/>
      <c r="AF71" s="1"/>
      <c r="AG71" s="76"/>
      <c r="AH71" s="41"/>
      <c r="AI71" s="19">
        <v>0</v>
      </c>
      <c r="AJ71" s="19">
        <v>0</v>
      </c>
      <c r="AK71" s="19">
        <v>0</v>
      </c>
      <c r="AL71" s="19"/>
      <c r="AM71" s="19"/>
      <c r="AN71" s="19"/>
      <c r="AO71" s="19"/>
      <c r="AP71" s="19"/>
      <c r="AQ71" s="19"/>
      <c r="AR71" s="19"/>
      <c r="AS71" s="19">
        <v>1</v>
      </c>
      <c r="AT71" s="19"/>
      <c r="AU71" s="19"/>
      <c r="AV71" s="19"/>
      <c r="AW71" s="19">
        <v>2</v>
      </c>
      <c r="AX71" s="19"/>
      <c r="AY71" s="117"/>
      <c r="AZ71" s="117"/>
      <c r="BA71" s="117"/>
      <c r="BB71" s="19"/>
      <c r="BC71" s="19"/>
      <c r="BD71" s="117"/>
      <c r="BE71" s="19"/>
    </row>
    <row r="72" spans="1:57" x14ac:dyDescent="0.3">
      <c r="A72" s="95" t="s">
        <v>524</v>
      </c>
      <c r="B72" s="219">
        <v>2000</v>
      </c>
      <c r="C72" s="218">
        <v>71</v>
      </c>
      <c r="D72" s="234"/>
      <c r="F72" s="39">
        <v>0</v>
      </c>
      <c r="G72" s="39">
        <v>0</v>
      </c>
      <c r="H72" s="39">
        <v>0</v>
      </c>
      <c r="I72" s="39">
        <v>0</v>
      </c>
      <c r="J72" s="39">
        <v>0</v>
      </c>
      <c r="K72" s="39">
        <v>0</v>
      </c>
      <c r="L72" s="39">
        <v>0</v>
      </c>
      <c r="M72" s="39">
        <v>0</v>
      </c>
      <c r="N72" s="39">
        <v>0</v>
      </c>
      <c r="O72" s="39">
        <v>0</v>
      </c>
      <c r="P72" s="39">
        <v>0</v>
      </c>
      <c r="Q72" s="39">
        <v>0</v>
      </c>
      <c r="R72" s="39">
        <v>0</v>
      </c>
      <c r="S72" s="39">
        <v>0</v>
      </c>
      <c r="T72" s="39">
        <v>0</v>
      </c>
      <c r="U72" s="39">
        <v>0</v>
      </c>
      <c r="V72" s="39">
        <v>0</v>
      </c>
      <c r="W72" s="39">
        <v>0</v>
      </c>
      <c r="X72" s="39">
        <v>0</v>
      </c>
      <c r="Y72" s="39">
        <v>0</v>
      </c>
      <c r="Z72" s="39">
        <v>0</v>
      </c>
      <c r="AA72" s="39">
        <v>0</v>
      </c>
      <c r="AB72" s="372">
        <f t="shared" ca="1" si="2"/>
        <v>0</v>
      </c>
      <c r="AD72" s="134"/>
      <c r="AE72" s="134"/>
      <c r="AF72" s="1"/>
      <c r="AG72" s="76"/>
      <c r="AH72" s="41"/>
      <c r="AI72" s="19">
        <v>0</v>
      </c>
      <c r="AJ72" s="19">
        <v>0</v>
      </c>
      <c r="AK72" s="19">
        <v>0</v>
      </c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17"/>
      <c r="AZ72" s="117"/>
      <c r="BA72" s="117"/>
      <c r="BB72" s="19"/>
      <c r="BC72" s="19"/>
      <c r="BD72" s="117"/>
      <c r="BE72" s="19"/>
    </row>
    <row r="73" spans="1:57" x14ac:dyDescent="0.3">
      <c r="A73" s="95" t="s">
        <v>464</v>
      </c>
      <c r="B73" s="217">
        <v>200</v>
      </c>
      <c r="C73" s="218">
        <v>184.13</v>
      </c>
      <c r="D73" s="234"/>
      <c r="F73" s="39">
        <v>1</v>
      </c>
      <c r="G73" s="39">
        <v>1</v>
      </c>
      <c r="H73" s="39">
        <v>1</v>
      </c>
      <c r="I73" s="39">
        <v>1</v>
      </c>
      <c r="J73" s="39">
        <v>1</v>
      </c>
      <c r="K73" s="39">
        <v>1</v>
      </c>
      <c r="L73" s="39">
        <v>1</v>
      </c>
      <c r="M73" s="39">
        <v>1</v>
      </c>
      <c r="N73" s="39">
        <v>0</v>
      </c>
      <c r="O73" s="39">
        <v>0</v>
      </c>
      <c r="P73" s="39">
        <v>0</v>
      </c>
      <c r="Q73" s="39">
        <v>0</v>
      </c>
      <c r="R73" s="39">
        <v>0</v>
      </c>
      <c r="S73" s="39">
        <v>0</v>
      </c>
      <c r="T73" s="39">
        <v>0</v>
      </c>
      <c r="U73" s="39">
        <v>0</v>
      </c>
      <c r="V73" s="39"/>
      <c r="W73" s="39"/>
      <c r="X73" s="39"/>
      <c r="Y73" s="39"/>
      <c r="Z73" s="39"/>
      <c r="AA73" s="39">
        <v>0</v>
      </c>
      <c r="AB73" s="372">
        <f t="shared" ca="1" si="2"/>
        <v>0</v>
      </c>
      <c r="AD73" s="134"/>
      <c r="AE73" s="134"/>
      <c r="AF73" s="1"/>
      <c r="AG73" s="76"/>
      <c r="AH73" s="41"/>
      <c r="AI73" s="19">
        <v>0</v>
      </c>
      <c r="AJ73" s="19">
        <v>0</v>
      </c>
      <c r="AK73" s="19">
        <v>0</v>
      </c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17"/>
      <c r="AZ73" s="117"/>
      <c r="BA73" s="117"/>
      <c r="BB73" s="19"/>
      <c r="BC73" s="19"/>
      <c r="BD73" s="253" t="s">
        <v>521</v>
      </c>
      <c r="BE73" s="19"/>
    </row>
    <row r="74" spans="1:57" x14ac:dyDescent="0.3">
      <c r="A74" s="95" t="s">
        <v>465</v>
      </c>
      <c r="B74" s="217">
        <v>150</v>
      </c>
      <c r="C74" s="218">
        <v>181.4</v>
      </c>
      <c r="D74" s="234"/>
      <c r="F74" s="39">
        <v>3</v>
      </c>
      <c r="G74" s="39">
        <v>3</v>
      </c>
      <c r="H74" s="39">
        <v>3</v>
      </c>
      <c r="I74" s="39">
        <v>3</v>
      </c>
      <c r="J74" s="39">
        <v>3</v>
      </c>
      <c r="K74" s="39">
        <v>3</v>
      </c>
      <c r="L74" s="39">
        <v>3</v>
      </c>
      <c r="M74" s="39">
        <v>3</v>
      </c>
      <c r="N74" s="39">
        <v>2</v>
      </c>
      <c r="O74" s="39">
        <v>2</v>
      </c>
      <c r="P74" s="39">
        <v>2</v>
      </c>
      <c r="Q74" s="39">
        <v>2</v>
      </c>
      <c r="R74" s="39">
        <v>2</v>
      </c>
      <c r="S74" s="39">
        <v>2</v>
      </c>
      <c r="T74" s="39">
        <v>2</v>
      </c>
      <c r="U74" s="39">
        <v>2</v>
      </c>
      <c r="V74" s="39"/>
      <c r="W74" s="39"/>
      <c r="X74" s="39"/>
      <c r="Y74" s="39"/>
      <c r="Z74" s="39"/>
      <c r="AA74" s="39">
        <v>2</v>
      </c>
      <c r="AB74" s="372">
        <f t="shared" ca="1" si="2"/>
        <v>-2</v>
      </c>
      <c r="AD74" s="134"/>
      <c r="AE74" s="134"/>
      <c r="AF74" s="1"/>
      <c r="AG74" s="76"/>
      <c r="AH74" s="41"/>
      <c r="AI74" s="19">
        <v>0</v>
      </c>
      <c r="AJ74" s="19">
        <v>0</v>
      </c>
      <c r="AK74" s="19">
        <v>0</v>
      </c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17"/>
      <c r="AZ74" s="117"/>
      <c r="BA74" s="117"/>
      <c r="BB74" s="19"/>
      <c r="BC74" s="19"/>
      <c r="BD74" s="253" t="s">
        <v>506</v>
      </c>
      <c r="BE74" s="19"/>
    </row>
    <row r="75" spans="1:57" x14ac:dyDescent="0.3">
      <c r="A75" s="95" t="s">
        <v>466</v>
      </c>
      <c r="B75" s="217" t="s">
        <v>467</v>
      </c>
      <c r="C75" s="218" t="s">
        <v>467</v>
      </c>
      <c r="D75" s="234"/>
      <c r="F75" s="39">
        <v>0</v>
      </c>
      <c r="G75" s="39">
        <v>0</v>
      </c>
      <c r="H75" s="39">
        <v>0</v>
      </c>
      <c r="I75" s="39">
        <v>0</v>
      </c>
      <c r="J75" s="39">
        <v>0</v>
      </c>
      <c r="K75" s="39">
        <v>0</v>
      </c>
      <c r="L75" s="39">
        <v>0</v>
      </c>
      <c r="M75" s="39">
        <v>0</v>
      </c>
      <c r="N75" s="39">
        <v>0</v>
      </c>
      <c r="O75" s="39">
        <v>0</v>
      </c>
      <c r="P75" s="39">
        <v>0</v>
      </c>
      <c r="Q75" s="39">
        <v>0</v>
      </c>
      <c r="R75" s="39">
        <v>0</v>
      </c>
      <c r="S75" s="39">
        <v>0</v>
      </c>
      <c r="T75" s="39">
        <v>0</v>
      </c>
      <c r="U75" s="39">
        <v>0</v>
      </c>
      <c r="V75" s="39"/>
      <c r="W75" s="39"/>
      <c r="X75" s="39"/>
      <c r="Y75" s="39"/>
      <c r="Z75" s="39"/>
      <c r="AA75" s="39">
        <v>0</v>
      </c>
      <c r="AB75" s="372">
        <f t="shared" ca="1" si="2"/>
        <v>0</v>
      </c>
      <c r="AD75" s="134"/>
      <c r="AE75" s="134"/>
      <c r="AF75" s="1"/>
      <c r="AG75" s="76"/>
      <c r="AH75" s="41"/>
      <c r="AI75" s="19">
        <v>0</v>
      </c>
      <c r="AJ75" s="19">
        <v>0</v>
      </c>
      <c r="AK75" s="19">
        <v>0</v>
      </c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17"/>
      <c r="AZ75" s="117"/>
      <c r="BA75" s="117"/>
      <c r="BB75" s="19"/>
      <c r="BC75" s="19"/>
      <c r="BD75" s="117"/>
      <c r="BE75" s="19"/>
    </row>
    <row r="76" spans="1:57" x14ac:dyDescent="0.3">
      <c r="A76" s="95" t="s">
        <v>468</v>
      </c>
      <c r="B76" s="217">
        <v>150</v>
      </c>
      <c r="C76" s="218">
        <v>400.5</v>
      </c>
      <c r="D76" s="234"/>
      <c r="F76" s="39">
        <v>0</v>
      </c>
      <c r="G76" s="39">
        <v>0</v>
      </c>
      <c r="H76" s="39">
        <v>0</v>
      </c>
      <c r="I76" s="39">
        <v>0</v>
      </c>
      <c r="J76" s="39">
        <v>0</v>
      </c>
      <c r="K76" s="39">
        <v>0</v>
      </c>
      <c r="L76" s="39">
        <v>0</v>
      </c>
      <c r="M76" s="39">
        <v>0</v>
      </c>
      <c r="N76" s="206">
        <v>9</v>
      </c>
      <c r="O76" s="39">
        <v>9</v>
      </c>
      <c r="P76" s="39">
        <v>9</v>
      </c>
      <c r="Q76" s="39">
        <v>9</v>
      </c>
      <c r="R76" s="39">
        <v>9</v>
      </c>
      <c r="S76" s="39">
        <v>6</v>
      </c>
      <c r="T76" s="39">
        <v>6</v>
      </c>
      <c r="U76" s="39">
        <v>6</v>
      </c>
      <c r="V76" s="39"/>
      <c r="W76" s="39"/>
      <c r="X76" s="39"/>
      <c r="Y76" s="39"/>
      <c r="Z76" s="39"/>
      <c r="AA76" s="39">
        <v>6</v>
      </c>
      <c r="AB76" s="372">
        <f t="shared" ca="1" si="2"/>
        <v>-6</v>
      </c>
      <c r="AD76" s="134" t="s">
        <v>525</v>
      </c>
      <c r="AE76" s="134"/>
      <c r="AF76" s="1"/>
      <c r="AG76" s="76"/>
      <c r="AH76" s="41"/>
      <c r="AI76" s="19">
        <v>0</v>
      </c>
      <c r="AJ76" s="19">
        <v>0</v>
      </c>
      <c r="AK76" s="19">
        <v>0</v>
      </c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17"/>
      <c r="AZ76" s="117"/>
      <c r="BA76" s="117"/>
      <c r="BB76" s="19"/>
      <c r="BC76" s="19"/>
      <c r="BD76" s="253" t="s">
        <v>502</v>
      </c>
      <c r="BE76" s="19"/>
    </row>
    <row r="77" spans="1:57" x14ac:dyDescent="0.3">
      <c r="A77" s="95" t="s">
        <v>469</v>
      </c>
      <c r="B77" s="217">
        <v>100</v>
      </c>
      <c r="C77" s="218">
        <v>365</v>
      </c>
      <c r="D77" s="234"/>
      <c r="F77" s="39">
        <v>0</v>
      </c>
      <c r="G77" s="39">
        <v>0</v>
      </c>
      <c r="H77" s="39">
        <v>0</v>
      </c>
      <c r="I77" s="39">
        <v>0</v>
      </c>
      <c r="J77" s="39">
        <v>0</v>
      </c>
      <c r="K77" s="39">
        <v>0</v>
      </c>
      <c r="L77" s="39">
        <v>0</v>
      </c>
      <c r="M77" s="39">
        <v>0</v>
      </c>
      <c r="N77" s="39">
        <v>0</v>
      </c>
      <c r="O77" s="39">
        <v>0</v>
      </c>
      <c r="P77" s="39">
        <v>0</v>
      </c>
      <c r="Q77" s="39">
        <v>0</v>
      </c>
      <c r="R77" s="39">
        <v>0</v>
      </c>
      <c r="S77" s="39">
        <v>0</v>
      </c>
      <c r="T77" s="39">
        <v>0</v>
      </c>
      <c r="U77" s="39">
        <v>0</v>
      </c>
      <c r="V77" s="39"/>
      <c r="W77" s="39"/>
      <c r="X77" s="39"/>
      <c r="Y77" s="39"/>
      <c r="Z77" s="39"/>
      <c r="AA77" s="39">
        <v>0</v>
      </c>
      <c r="AB77" s="372">
        <f t="shared" ca="1" si="2"/>
        <v>0</v>
      </c>
      <c r="AD77" s="134"/>
      <c r="AE77" s="134"/>
      <c r="AF77" s="1"/>
      <c r="AG77" s="76"/>
      <c r="AH77" s="41"/>
      <c r="AI77" s="19">
        <v>0</v>
      </c>
      <c r="AJ77" s="19">
        <v>0</v>
      </c>
      <c r="AK77" s="19">
        <v>0</v>
      </c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17"/>
      <c r="AZ77" s="117"/>
      <c r="BA77" s="117"/>
      <c r="BB77" s="19"/>
      <c r="BC77" s="19"/>
      <c r="BD77" s="117"/>
      <c r="BE77" s="19"/>
    </row>
    <row r="78" spans="1:57" x14ac:dyDescent="0.3">
      <c r="A78" s="95" t="s">
        <v>470</v>
      </c>
      <c r="B78" s="217">
        <v>75</v>
      </c>
      <c r="C78" s="218">
        <v>438.75</v>
      </c>
      <c r="D78" s="234"/>
      <c r="F78" s="39">
        <v>10</v>
      </c>
      <c r="G78" s="39">
        <v>10</v>
      </c>
      <c r="H78" s="39">
        <v>10</v>
      </c>
      <c r="I78" s="39">
        <v>10</v>
      </c>
      <c r="J78" s="39">
        <v>10</v>
      </c>
      <c r="K78" s="39">
        <v>10</v>
      </c>
      <c r="L78" s="39">
        <v>10</v>
      </c>
      <c r="M78" s="39">
        <v>10</v>
      </c>
      <c r="N78" s="39">
        <v>10</v>
      </c>
      <c r="O78" s="39">
        <v>10</v>
      </c>
      <c r="P78" s="39">
        <v>10</v>
      </c>
      <c r="Q78" s="39">
        <v>10</v>
      </c>
      <c r="R78" s="39">
        <v>10</v>
      </c>
      <c r="S78" s="39">
        <v>10</v>
      </c>
      <c r="T78" s="39">
        <v>10</v>
      </c>
      <c r="U78" s="39">
        <v>10</v>
      </c>
      <c r="V78" s="39"/>
      <c r="W78" s="39"/>
      <c r="X78" s="39"/>
      <c r="Y78" s="39"/>
      <c r="Z78" s="39"/>
      <c r="AA78" s="39">
        <v>10</v>
      </c>
      <c r="AB78" s="372">
        <f t="shared" ca="1" si="2"/>
        <v>-10</v>
      </c>
      <c r="AD78" s="134"/>
      <c r="AE78" s="134"/>
      <c r="AF78" s="1"/>
      <c r="AG78" s="76"/>
      <c r="AH78" s="41"/>
      <c r="AI78" s="19">
        <v>0</v>
      </c>
      <c r="AJ78" s="19">
        <v>0</v>
      </c>
      <c r="AK78" s="19">
        <v>0</v>
      </c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17"/>
      <c r="AZ78" s="117"/>
      <c r="BA78" s="117"/>
      <c r="BB78" s="19"/>
      <c r="BC78" s="19"/>
      <c r="BD78" s="253" t="s">
        <v>502</v>
      </c>
      <c r="BE78" s="19"/>
    </row>
    <row r="79" spans="1:57" x14ac:dyDescent="0.3">
      <c r="B79" s="41"/>
      <c r="C79" s="120"/>
      <c r="D79" s="120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D79" s="75"/>
      <c r="AE79" s="75"/>
      <c r="AF79" s="1"/>
      <c r="AG79" s="15"/>
      <c r="AH79" s="41"/>
      <c r="AI79" s="75"/>
      <c r="AJ79" s="75"/>
      <c r="AK79" s="75"/>
      <c r="AL79" s="75"/>
      <c r="AM79" s="75"/>
      <c r="AN79" s="75"/>
      <c r="AO79" s="75"/>
      <c r="AP79" s="75"/>
      <c r="AQ79" s="75"/>
      <c r="AR79" s="75"/>
      <c r="AS79" s="75"/>
      <c r="AT79" s="75"/>
      <c r="AU79" s="75"/>
      <c r="AV79" s="75"/>
      <c r="AW79" s="75"/>
      <c r="AX79" s="75"/>
      <c r="AY79" s="201"/>
      <c r="AZ79" s="201"/>
      <c r="BA79" s="201"/>
      <c r="BB79" s="75"/>
      <c r="BC79" s="75"/>
      <c r="BD79" s="201"/>
      <c r="BE79" s="75"/>
    </row>
    <row r="80" spans="1:57" x14ac:dyDescent="0.3">
      <c r="A80" s="270" t="s">
        <v>478</v>
      </c>
      <c r="B80" s="271" t="s">
        <v>151</v>
      </c>
      <c r="C80" s="271" t="s">
        <v>152</v>
      </c>
      <c r="D80" s="271"/>
      <c r="F80" s="13">
        <v>46006</v>
      </c>
      <c r="G80" s="13">
        <v>46013</v>
      </c>
      <c r="H80" s="13">
        <v>46020</v>
      </c>
      <c r="I80" s="13">
        <v>46027</v>
      </c>
      <c r="J80" s="13">
        <v>46034</v>
      </c>
      <c r="K80" s="13">
        <v>46041</v>
      </c>
      <c r="L80" s="13">
        <v>46048</v>
      </c>
      <c r="M80" s="13">
        <v>46055</v>
      </c>
      <c r="N80" s="13">
        <v>46062</v>
      </c>
      <c r="O80" s="13">
        <v>46069</v>
      </c>
      <c r="P80" s="13">
        <v>46076</v>
      </c>
      <c r="Q80" s="13">
        <v>46083</v>
      </c>
      <c r="R80" s="13">
        <v>46090</v>
      </c>
      <c r="S80" s="13">
        <v>46097</v>
      </c>
      <c r="T80" s="13">
        <v>46104</v>
      </c>
      <c r="U80" s="13">
        <v>46111</v>
      </c>
      <c r="V80" s="13">
        <v>46118</v>
      </c>
      <c r="W80" s="13">
        <v>46125</v>
      </c>
      <c r="X80" s="13">
        <v>46132</v>
      </c>
      <c r="Y80" s="13">
        <v>46139</v>
      </c>
      <c r="Z80" s="13">
        <v>46146</v>
      </c>
      <c r="AA80" s="13">
        <v>46154</v>
      </c>
      <c r="AB80" s="35" t="s">
        <v>129</v>
      </c>
      <c r="AY80" s="204"/>
      <c r="AZ80" s="204"/>
      <c r="BA80" s="204"/>
      <c r="BD80" s="204"/>
    </row>
    <row r="81" spans="1:57" x14ac:dyDescent="0.3">
      <c r="A81" s="25" t="s">
        <v>138</v>
      </c>
      <c r="B81" s="6">
        <v>200</v>
      </c>
      <c r="C81" s="66">
        <v>336</v>
      </c>
      <c r="D81" s="234"/>
      <c r="F81" s="39">
        <v>124</v>
      </c>
      <c r="G81" s="39">
        <v>124</v>
      </c>
      <c r="H81" s="39">
        <v>124</v>
      </c>
      <c r="I81" s="39">
        <v>124</v>
      </c>
      <c r="J81" s="39">
        <v>124</v>
      </c>
      <c r="K81" s="39">
        <v>124</v>
      </c>
      <c r="L81" s="39">
        <v>124</v>
      </c>
      <c r="M81" s="39">
        <v>124</v>
      </c>
      <c r="N81" s="39">
        <v>142</v>
      </c>
      <c r="O81" s="39">
        <v>142</v>
      </c>
      <c r="P81" s="39">
        <v>142</v>
      </c>
      <c r="Q81" s="39">
        <v>142</v>
      </c>
      <c r="R81" s="39">
        <v>131</v>
      </c>
      <c r="S81" s="39">
        <v>123</v>
      </c>
      <c r="T81" s="39">
        <v>123</v>
      </c>
      <c r="U81" s="39">
        <v>123</v>
      </c>
      <c r="V81" s="39"/>
      <c r="W81" s="39"/>
      <c r="X81" s="39"/>
      <c r="Y81" s="39"/>
      <c r="Z81" s="39"/>
      <c r="AA81" s="39">
        <v>24</v>
      </c>
      <c r="AB81" s="372">
        <f ca="1">Z81+IF(NOT(ISBLANK(OFFSET(AB81,0,6))),N(OFFSET(AB81,0,6)),N(OFFSET(AB81,0,7)))-AA81</f>
        <v>-24</v>
      </c>
      <c r="AY81" s="204"/>
      <c r="AZ81" s="204"/>
      <c r="BA81" s="204"/>
      <c r="BD81" s="204"/>
    </row>
    <row r="82" spans="1:57" x14ac:dyDescent="0.3">
      <c r="A82" s="25" t="s">
        <v>143</v>
      </c>
      <c r="B82" s="6">
        <v>200</v>
      </c>
      <c r="C82" s="66">
        <v>54</v>
      </c>
      <c r="D82" s="234"/>
      <c r="F82" s="39">
        <v>138</v>
      </c>
      <c r="G82" s="39">
        <v>137</v>
      </c>
      <c r="H82" s="39">
        <v>137</v>
      </c>
      <c r="I82" s="39">
        <v>137</v>
      </c>
      <c r="J82" s="39">
        <v>137</v>
      </c>
      <c r="K82" s="39">
        <v>137</v>
      </c>
      <c r="L82" s="39">
        <v>137</v>
      </c>
      <c r="M82" s="39">
        <v>137</v>
      </c>
      <c r="N82" s="39">
        <v>143</v>
      </c>
      <c r="O82" s="39">
        <v>143</v>
      </c>
      <c r="P82" s="39">
        <v>143</v>
      </c>
      <c r="Q82" s="39">
        <v>143</v>
      </c>
      <c r="R82" s="39">
        <v>143</v>
      </c>
      <c r="S82" s="39">
        <v>140</v>
      </c>
      <c r="T82" s="39">
        <v>140</v>
      </c>
      <c r="U82" s="39">
        <v>140</v>
      </c>
      <c r="V82" s="39"/>
      <c r="W82" s="39"/>
      <c r="X82" s="39"/>
      <c r="Y82" s="39"/>
      <c r="Z82" s="39"/>
      <c r="AA82" s="39">
        <v>130</v>
      </c>
      <c r="AB82" s="372">
        <f ca="1">Z82+IF(NOT(ISBLANK(OFFSET(AB82,0,6))),N(OFFSET(AB82,0,6)),N(OFFSET(AB82,0,7)))-AA82</f>
        <v>-130</v>
      </c>
      <c r="AD82" s="75"/>
      <c r="AE82" s="75"/>
      <c r="AF82" s="1"/>
      <c r="AG82" s="15"/>
      <c r="AH82" s="41"/>
      <c r="AI82" s="75"/>
      <c r="AJ82" s="75"/>
      <c r="AK82" s="75"/>
      <c r="AL82" s="75"/>
      <c r="AM82" s="75"/>
      <c r="AN82" s="75"/>
      <c r="AO82" s="75"/>
      <c r="AP82" s="75"/>
      <c r="AQ82" s="75"/>
      <c r="AR82" s="75"/>
      <c r="AS82" s="75"/>
      <c r="AT82" s="75"/>
      <c r="AU82" s="75"/>
      <c r="AV82" s="75"/>
      <c r="AW82" s="75"/>
      <c r="AX82" s="75"/>
      <c r="AY82" s="201"/>
      <c r="AZ82" s="201"/>
      <c r="BA82" s="201"/>
      <c r="BB82" s="75"/>
      <c r="BC82" s="75"/>
      <c r="BD82" s="201"/>
      <c r="BE82" s="75"/>
    </row>
    <row r="83" spans="1:57" x14ac:dyDescent="0.3">
      <c r="A83" s="25" t="s">
        <v>479</v>
      </c>
      <c r="B83" s="6">
        <v>200</v>
      </c>
      <c r="C83" s="66">
        <v>40</v>
      </c>
      <c r="D83" s="234"/>
      <c r="F83" s="39">
        <v>2</v>
      </c>
      <c r="G83" s="39">
        <v>2</v>
      </c>
      <c r="H83" s="39">
        <v>2</v>
      </c>
      <c r="I83" s="39">
        <v>2</v>
      </c>
      <c r="J83" s="39">
        <v>2</v>
      </c>
      <c r="K83" s="39">
        <v>2</v>
      </c>
      <c r="L83" s="39">
        <v>1</v>
      </c>
      <c r="M83" s="39">
        <v>1</v>
      </c>
      <c r="N83" s="39">
        <v>1</v>
      </c>
      <c r="O83" s="39">
        <v>1</v>
      </c>
      <c r="P83" s="39">
        <v>1</v>
      </c>
      <c r="Q83" s="39">
        <v>1</v>
      </c>
      <c r="R83" s="39">
        <v>1</v>
      </c>
      <c r="S83" s="39">
        <v>1</v>
      </c>
      <c r="T83" s="39">
        <v>1</v>
      </c>
      <c r="U83" s="39">
        <v>0</v>
      </c>
      <c r="V83" s="39"/>
      <c r="W83" s="39"/>
      <c r="X83" s="39"/>
      <c r="Y83" s="39"/>
      <c r="Z83" s="39"/>
      <c r="AA83" s="39">
        <v>0</v>
      </c>
      <c r="AB83" s="372">
        <f ca="1">Z83+IF(NOT(ISBLANK(OFFSET(AB83,0,6))),N(OFFSET(AB83,0,6)),N(OFFSET(AB83,0,7)))-AA83</f>
        <v>0</v>
      </c>
      <c r="AD83" s="75"/>
      <c r="AE83" s="75"/>
      <c r="AF83" s="1"/>
      <c r="AG83" s="15"/>
      <c r="AH83" s="41"/>
      <c r="AI83" s="75"/>
      <c r="AJ83" s="75"/>
      <c r="AK83" s="75"/>
      <c r="AL83" s="75"/>
      <c r="AM83" s="75"/>
      <c r="AN83" s="75"/>
      <c r="AO83" s="75"/>
      <c r="AP83" s="75"/>
      <c r="AQ83" s="75"/>
      <c r="AR83" s="75"/>
      <c r="AS83" s="75"/>
      <c r="AT83" s="75"/>
      <c r="AU83" s="75"/>
      <c r="AV83" s="75"/>
      <c r="AW83" s="75"/>
      <c r="AX83" s="75"/>
      <c r="AY83" s="201"/>
      <c r="AZ83" s="201"/>
      <c r="BA83" s="201"/>
      <c r="BB83" s="75"/>
      <c r="BC83" s="75"/>
      <c r="BD83" s="201"/>
      <c r="BE83" s="75"/>
    </row>
    <row r="84" spans="1:57" x14ac:dyDescent="0.3">
      <c r="A84" s="153" t="s">
        <v>156</v>
      </c>
      <c r="B84" s="72">
        <v>100</v>
      </c>
      <c r="C84" s="77">
        <v>904</v>
      </c>
      <c r="D84" s="72"/>
      <c r="F84" s="39">
        <v>28</v>
      </c>
      <c r="G84" s="39">
        <v>25</v>
      </c>
      <c r="H84" s="39">
        <v>25</v>
      </c>
      <c r="I84" s="39">
        <v>25</v>
      </c>
      <c r="J84" s="39">
        <v>25</v>
      </c>
      <c r="K84" s="39">
        <v>25</v>
      </c>
      <c r="L84" s="39">
        <v>25</v>
      </c>
      <c r="M84" s="39">
        <v>25</v>
      </c>
      <c r="N84" s="39">
        <v>25</v>
      </c>
      <c r="O84" s="39">
        <v>25</v>
      </c>
      <c r="P84" s="39">
        <v>25</v>
      </c>
      <c r="Q84" s="39">
        <v>25</v>
      </c>
      <c r="R84" s="39">
        <v>25</v>
      </c>
      <c r="S84" s="39">
        <v>24</v>
      </c>
      <c r="T84" s="39">
        <v>24</v>
      </c>
      <c r="U84" s="39">
        <v>24</v>
      </c>
      <c r="V84" s="39"/>
      <c r="W84" s="39"/>
      <c r="X84" s="39"/>
      <c r="Y84" s="39"/>
      <c r="Z84" s="39"/>
      <c r="AA84" s="39">
        <v>23</v>
      </c>
      <c r="AB84" s="372">
        <f ca="1">Z84+IF(NOT(ISBLANK(OFFSET(AB84,0,6))),N(OFFSET(AB84,0,6)),N(OFFSET(AB84,0,7)))-AA84</f>
        <v>-23</v>
      </c>
    </row>
    <row r="85" spans="1:57" x14ac:dyDescent="0.3">
      <c r="A85" s="153" t="s">
        <v>158</v>
      </c>
      <c r="B85" s="72">
        <v>200</v>
      </c>
      <c r="C85" s="77">
        <v>464</v>
      </c>
      <c r="D85" s="72"/>
      <c r="F85" s="39">
        <v>30</v>
      </c>
      <c r="G85" s="39">
        <v>30</v>
      </c>
      <c r="H85" s="39">
        <v>29</v>
      </c>
      <c r="I85" s="39">
        <v>29</v>
      </c>
      <c r="J85" s="39">
        <v>29</v>
      </c>
      <c r="K85" s="39">
        <v>29</v>
      </c>
      <c r="L85" s="39">
        <v>29</v>
      </c>
      <c r="M85" s="39">
        <v>29</v>
      </c>
      <c r="N85" s="39">
        <v>29</v>
      </c>
      <c r="O85" s="39">
        <v>29</v>
      </c>
      <c r="P85" s="39">
        <v>29</v>
      </c>
      <c r="Q85" s="39">
        <v>29</v>
      </c>
      <c r="R85" s="39">
        <v>29</v>
      </c>
      <c r="S85" s="39">
        <v>28</v>
      </c>
      <c r="T85" s="39">
        <v>28</v>
      </c>
      <c r="U85" s="39">
        <v>28</v>
      </c>
      <c r="V85" s="39"/>
      <c r="W85" s="39"/>
      <c r="X85" s="39"/>
      <c r="Y85" s="39"/>
      <c r="Z85" s="39"/>
      <c r="AA85" s="39">
        <v>21</v>
      </c>
      <c r="AB85" s="372">
        <f ca="1">Z85+IF(NOT(ISBLANK(OFFSET(AB85,0,6))),N(OFFSET(AB85,0,6)),N(OFFSET(AB85,0,7)))-AA85</f>
        <v>-21</v>
      </c>
    </row>
    <row r="87" spans="1:57" x14ac:dyDescent="0.3">
      <c r="A87" s="272" t="s">
        <v>480</v>
      </c>
      <c r="B87" s="248" t="s">
        <v>151</v>
      </c>
      <c r="C87" s="248" t="s">
        <v>152</v>
      </c>
      <c r="D87" s="248"/>
      <c r="F87" s="13">
        <v>46006</v>
      </c>
      <c r="G87" s="13">
        <v>46013</v>
      </c>
      <c r="H87" s="13">
        <v>46020</v>
      </c>
      <c r="I87" s="13">
        <v>46027</v>
      </c>
      <c r="J87" s="13">
        <v>46034</v>
      </c>
      <c r="K87" s="13">
        <v>46041</v>
      </c>
      <c r="L87" s="13">
        <v>46048</v>
      </c>
      <c r="M87" s="13">
        <v>46055</v>
      </c>
      <c r="N87" s="13">
        <v>46062</v>
      </c>
      <c r="O87" s="13">
        <v>46069</v>
      </c>
      <c r="P87" s="13">
        <v>46076</v>
      </c>
      <c r="Q87" s="13">
        <v>46083</v>
      </c>
      <c r="R87" s="13">
        <v>46090</v>
      </c>
      <c r="S87" s="13">
        <v>46097</v>
      </c>
      <c r="T87" s="13">
        <v>46104</v>
      </c>
      <c r="U87" s="13">
        <v>46111</v>
      </c>
      <c r="V87" s="13">
        <v>46118</v>
      </c>
      <c r="W87" s="13">
        <v>46125</v>
      </c>
      <c r="X87" s="13">
        <v>46132</v>
      </c>
      <c r="Y87" s="13">
        <v>46139</v>
      </c>
      <c r="Z87" s="13">
        <v>46146</v>
      </c>
      <c r="AA87" s="13">
        <v>46154</v>
      </c>
      <c r="AB87" s="35" t="s">
        <v>129</v>
      </c>
    </row>
    <row r="88" spans="1:57" hidden="1" x14ac:dyDescent="0.3">
      <c r="A88" s="25" t="s">
        <v>419</v>
      </c>
      <c r="B88" s="6">
        <v>200</v>
      </c>
      <c r="C88" s="66">
        <v>274.2</v>
      </c>
      <c r="D88" s="234"/>
      <c r="F88" s="39">
        <v>99</v>
      </c>
      <c r="G88" s="39">
        <v>54</v>
      </c>
      <c r="H88" s="39">
        <v>40</v>
      </c>
      <c r="I88" s="39">
        <v>38</v>
      </c>
      <c r="J88" s="39">
        <v>28</v>
      </c>
      <c r="K88" s="39">
        <v>0</v>
      </c>
      <c r="L88" s="39">
        <v>0</v>
      </c>
      <c r="M88" s="39">
        <v>0</v>
      </c>
      <c r="N88" s="39">
        <v>0</v>
      </c>
      <c r="O88" s="39">
        <v>0</v>
      </c>
      <c r="P88" s="39">
        <v>0</v>
      </c>
      <c r="Q88" s="39">
        <v>0</v>
      </c>
      <c r="R88" s="39">
        <v>0</v>
      </c>
      <c r="S88" s="39">
        <v>0</v>
      </c>
      <c r="T88" s="39"/>
      <c r="U88" s="39"/>
      <c r="V88" s="39"/>
      <c r="W88" s="39"/>
      <c r="X88" s="39"/>
      <c r="Y88" s="39"/>
      <c r="Z88" s="39"/>
      <c r="AA88" s="39"/>
      <c r="AB88" s="26" t="e">
        <f ca="1">Z88+IF(NOT(ISBLANK(OFFSET(AB88,0,6))),N(OFFSET(AB88,0,6)),N(OFFSET(AB88,0,7)))-#REF!</f>
        <v>#REF!</v>
      </c>
    </row>
    <row r="89" spans="1:57" hidden="1" x14ac:dyDescent="0.3">
      <c r="A89" s="25" t="s">
        <v>421</v>
      </c>
      <c r="B89" s="6">
        <v>200</v>
      </c>
      <c r="C89" s="66">
        <v>347.8</v>
      </c>
      <c r="D89" s="234"/>
      <c r="F89" s="39">
        <v>158</v>
      </c>
      <c r="G89" s="39">
        <v>141</v>
      </c>
      <c r="H89" s="39">
        <v>121</v>
      </c>
      <c r="I89" s="39">
        <v>121</v>
      </c>
      <c r="J89" s="39">
        <v>121</v>
      </c>
      <c r="K89" s="39">
        <v>0</v>
      </c>
      <c r="L89" s="39">
        <v>0</v>
      </c>
      <c r="M89" s="39">
        <v>0</v>
      </c>
      <c r="N89" s="39">
        <v>0</v>
      </c>
      <c r="O89" s="39">
        <v>0</v>
      </c>
      <c r="P89" s="39">
        <v>0</v>
      </c>
      <c r="Q89" s="39">
        <v>0</v>
      </c>
      <c r="R89" s="39">
        <v>0</v>
      </c>
      <c r="S89" s="39">
        <v>0</v>
      </c>
      <c r="T89" s="39"/>
      <c r="U89" s="39"/>
      <c r="V89" s="39"/>
      <c r="W89" s="39"/>
      <c r="X89" s="39"/>
      <c r="Y89" s="39"/>
      <c r="Z89" s="39"/>
      <c r="AA89" s="39"/>
      <c r="AB89" s="26" t="e">
        <f ca="1">Z89+IF(NOT(ISBLANK(OFFSET(AB89,0,6))),N(OFFSET(AB89,0,6)),N(OFFSET(AB89,0,7)))-#REF!</f>
        <v>#REF!</v>
      </c>
    </row>
    <row r="90" spans="1:57" hidden="1" x14ac:dyDescent="0.3">
      <c r="A90" s="25" t="s">
        <v>422</v>
      </c>
      <c r="B90" s="6">
        <v>100</v>
      </c>
      <c r="C90" s="66">
        <v>267</v>
      </c>
      <c r="D90" s="234"/>
      <c r="F90" s="39">
        <v>32</v>
      </c>
      <c r="G90" s="39">
        <v>28</v>
      </c>
      <c r="H90" s="39">
        <v>28</v>
      </c>
      <c r="I90" s="39">
        <v>27</v>
      </c>
      <c r="J90" s="39">
        <v>27</v>
      </c>
      <c r="K90" s="39">
        <v>0</v>
      </c>
      <c r="L90" s="39">
        <v>0</v>
      </c>
      <c r="M90" s="39">
        <v>0</v>
      </c>
      <c r="N90" s="39">
        <v>0</v>
      </c>
      <c r="O90" s="39">
        <v>0</v>
      </c>
      <c r="P90" s="39">
        <v>0</v>
      </c>
      <c r="Q90" s="39">
        <v>0</v>
      </c>
      <c r="R90" s="39">
        <v>0</v>
      </c>
      <c r="S90" s="39">
        <v>0</v>
      </c>
      <c r="T90" s="39"/>
      <c r="U90" s="39"/>
      <c r="V90" s="39"/>
      <c r="W90" s="39"/>
      <c r="X90" s="39"/>
      <c r="Y90" s="39"/>
      <c r="Z90" s="39"/>
      <c r="AA90" s="39"/>
      <c r="AB90" s="26" t="e">
        <f ca="1">Z90+IF(NOT(ISBLANK(OFFSET(AB90,0,6))),N(OFFSET(AB90,0,6)),N(OFFSET(AB90,0,7)))-#REF!</f>
        <v>#REF!</v>
      </c>
    </row>
    <row r="91" spans="1:57" hidden="1" x14ac:dyDescent="0.3">
      <c r="A91" s="153" t="s">
        <v>481</v>
      </c>
      <c r="B91" s="72">
        <v>200</v>
      </c>
      <c r="C91" s="77">
        <v>44.4</v>
      </c>
      <c r="D91" s="72"/>
      <c r="F91" s="39">
        <v>0</v>
      </c>
      <c r="G91" s="39">
        <v>0</v>
      </c>
      <c r="H91" s="39">
        <v>0</v>
      </c>
      <c r="I91" s="39">
        <v>0</v>
      </c>
      <c r="J91" s="39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/>
      <c r="U91" s="39"/>
      <c r="V91" s="39"/>
      <c r="W91" s="39"/>
      <c r="X91" s="39"/>
      <c r="Y91" s="39"/>
      <c r="Z91" s="39"/>
      <c r="AA91" s="39"/>
      <c r="AB91" s="26" t="e">
        <f ca="1">Z91+IF(NOT(ISBLANK(OFFSET(AB91,0,6))),N(OFFSET(AB91,0,6)),N(OFFSET(AB91,0,7)))-#REF!</f>
        <v>#REF!</v>
      </c>
    </row>
    <row r="92" spans="1:57" x14ac:dyDescent="0.3">
      <c r="A92" s="153" t="s">
        <v>154</v>
      </c>
      <c r="B92" s="72">
        <v>150</v>
      </c>
      <c r="C92" s="77">
        <v>805.35</v>
      </c>
      <c r="D92" s="72"/>
      <c r="F92" s="39">
        <v>32</v>
      </c>
      <c r="G92" s="39">
        <v>19</v>
      </c>
      <c r="H92" s="39">
        <v>18</v>
      </c>
      <c r="I92" s="39">
        <v>18</v>
      </c>
      <c r="J92" s="39">
        <v>18</v>
      </c>
      <c r="K92" s="39">
        <v>18</v>
      </c>
      <c r="L92" s="39">
        <v>18</v>
      </c>
      <c r="M92" s="39">
        <v>18</v>
      </c>
      <c r="N92" s="39">
        <v>16</v>
      </c>
      <c r="O92" s="39">
        <v>16</v>
      </c>
      <c r="P92" s="39">
        <v>16</v>
      </c>
      <c r="Q92" s="39">
        <v>16</v>
      </c>
      <c r="R92" s="39">
        <v>16</v>
      </c>
      <c r="S92" s="39">
        <v>16</v>
      </c>
      <c r="T92" s="39">
        <v>16</v>
      </c>
      <c r="U92" s="39">
        <v>16</v>
      </c>
      <c r="V92" s="39"/>
      <c r="W92" s="39"/>
      <c r="X92" s="39"/>
      <c r="Y92" s="39"/>
      <c r="Z92" s="39"/>
      <c r="AA92" s="39">
        <v>15</v>
      </c>
      <c r="AB92" s="372">
        <f ca="1">Z92+IF(NOT(ISBLANK(OFFSET(AB92,0,6))),N(OFFSET(AB92,0,6)),N(OFFSET(AB92,0,7)))-AA92</f>
        <v>-15</v>
      </c>
    </row>
    <row r="93" spans="1:57" x14ac:dyDescent="0.3">
      <c r="A93" s="153" t="s">
        <v>156</v>
      </c>
      <c r="B93" s="72">
        <v>100</v>
      </c>
      <c r="C93" s="77">
        <v>792.2</v>
      </c>
      <c r="D93" s="72"/>
      <c r="F93" s="39">
        <v>58</v>
      </c>
      <c r="G93" s="39">
        <v>34</v>
      </c>
      <c r="H93" s="39">
        <v>34</v>
      </c>
      <c r="I93" s="39">
        <v>33</v>
      </c>
      <c r="J93" s="39">
        <v>33</v>
      </c>
      <c r="K93" s="39">
        <v>33</v>
      </c>
      <c r="L93" s="39">
        <v>33</v>
      </c>
      <c r="M93" s="39">
        <v>33</v>
      </c>
      <c r="N93" s="39">
        <v>23</v>
      </c>
      <c r="O93" s="39">
        <v>23</v>
      </c>
      <c r="P93" s="39">
        <v>23</v>
      </c>
      <c r="Q93" s="39">
        <v>23</v>
      </c>
      <c r="R93" s="39">
        <v>23</v>
      </c>
      <c r="S93" s="39">
        <v>22</v>
      </c>
      <c r="T93" s="39">
        <v>22</v>
      </c>
      <c r="U93" s="39">
        <v>22</v>
      </c>
      <c r="V93" s="39"/>
      <c r="W93" s="39"/>
      <c r="X93" s="39"/>
      <c r="Y93" s="39"/>
      <c r="Z93" s="39"/>
      <c r="AA93" s="39">
        <v>22</v>
      </c>
      <c r="AB93" s="372">
        <f ca="1">Z93+IF(NOT(ISBLANK(OFFSET(AB93,0,6))),N(OFFSET(AB93,0,6)),N(OFFSET(AB93,0,7)))-AA93</f>
        <v>-22</v>
      </c>
    </row>
    <row r="94" spans="1:57" x14ac:dyDescent="0.3">
      <c r="A94" s="153" t="s">
        <v>158</v>
      </c>
      <c r="B94" s="72">
        <v>200</v>
      </c>
      <c r="C94" s="77">
        <v>487.2</v>
      </c>
      <c r="D94" s="72"/>
      <c r="F94" s="39">
        <v>6</v>
      </c>
      <c r="G94" s="39">
        <v>6</v>
      </c>
      <c r="H94" s="39">
        <v>6</v>
      </c>
      <c r="I94" s="39">
        <v>6</v>
      </c>
      <c r="J94" s="39">
        <v>6</v>
      </c>
      <c r="K94" s="39">
        <v>6</v>
      </c>
      <c r="L94" s="39">
        <v>6</v>
      </c>
      <c r="M94" s="39">
        <v>6</v>
      </c>
      <c r="N94" s="39">
        <v>1</v>
      </c>
      <c r="O94" s="39">
        <v>1</v>
      </c>
      <c r="P94" s="39">
        <v>1</v>
      </c>
      <c r="Q94" s="39">
        <v>1</v>
      </c>
      <c r="R94" s="39">
        <v>1</v>
      </c>
      <c r="S94" s="39">
        <v>1</v>
      </c>
      <c r="T94" s="39">
        <v>1</v>
      </c>
      <c r="U94" s="39">
        <v>1</v>
      </c>
      <c r="V94" s="39"/>
      <c r="W94" s="39"/>
      <c r="X94" s="39"/>
      <c r="Y94" s="39"/>
      <c r="Z94" s="39"/>
      <c r="AA94" s="39">
        <v>1</v>
      </c>
      <c r="AB94" s="372">
        <f ca="1">Z94+IF(NOT(ISBLANK(OFFSET(AB94,0,6))),N(OFFSET(AB94,0,6)),N(OFFSET(AB94,0,7)))-AA94</f>
        <v>-1</v>
      </c>
    </row>
    <row r="95" spans="1:57" x14ac:dyDescent="0.3">
      <c r="A95" s="153" t="s">
        <v>160</v>
      </c>
      <c r="B95" s="72">
        <v>150</v>
      </c>
      <c r="C95" s="77">
        <v>460.35</v>
      </c>
      <c r="D95" s="72"/>
      <c r="F95" s="39">
        <v>52</v>
      </c>
      <c r="G95" s="39">
        <v>35</v>
      </c>
      <c r="H95" s="39">
        <v>34</v>
      </c>
      <c r="I95" s="39">
        <v>30</v>
      </c>
      <c r="J95" s="39">
        <v>30</v>
      </c>
      <c r="K95" s="39">
        <v>30</v>
      </c>
      <c r="L95" s="39">
        <v>30</v>
      </c>
      <c r="M95" s="39">
        <v>30</v>
      </c>
      <c r="N95" s="39">
        <v>30</v>
      </c>
      <c r="O95" s="39">
        <v>30</v>
      </c>
      <c r="P95" s="39">
        <v>30</v>
      </c>
      <c r="Q95" s="39">
        <v>30</v>
      </c>
      <c r="R95" s="39">
        <v>30</v>
      </c>
      <c r="S95" s="39">
        <v>31</v>
      </c>
      <c r="T95" s="39">
        <v>31</v>
      </c>
      <c r="U95" s="39">
        <v>31</v>
      </c>
      <c r="V95" s="39"/>
      <c r="W95" s="39"/>
      <c r="X95" s="39"/>
      <c r="Y95" s="39"/>
      <c r="Z95" s="39"/>
      <c r="AA95" s="39">
        <v>30</v>
      </c>
      <c r="AB95" s="372">
        <f ca="1">Z95+IF(NOT(ISBLANK(OFFSET(AB95,0,6))),N(OFFSET(AB95,0,6)),N(OFFSET(AB95,0,7)))-AA95</f>
        <v>-30</v>
      </c>
    </row>
    <row r="97" spans="1:28" x14ac:dyDescent="0.3">
      <c r="A97" s="256" t="s">
        <v>473</v>
      </c>
      <c r="B97" s="257" t="s">
        <v>151</v>
      </c>
      <c r="C97" s="257" t="s">
        <v>152</v>
      </c>
      <c r="D97" s="257"/>
      <c r="F97" s="13">
        <v>46006</v>
      </c>
      <c r="G97" s="13">
        <v>46013</v>
      </c>
      <c r="H97" s="13">
        <v>46020</v>
      </c>
      <c r="I97" s="13">
        <v>46027</v>
      </c>
      <c r="J97" s="13">
        <v>46034</v>
      </c>
      <c r="K97" s="13">
        <v>46041</v>
      </c>
      <c r="L97" s="13">
        <v>46048</v>
      </c>
      <c r="M97" s="13">
        <v>46055</v>
      </c>
      <c r="N97" s="13">
        <v>46062</v>
      </c>
      <c r="O97" s="13">
        <v>46069</v>
      </c>
      <c r="P97" s="13">
        <v>46076</v>
      </c>
      <c r="Q97" s="13">
        <v>46083</v>
      </c>
      <c r="R97" s="13">
        <v>46090</v>
      </c>
      <c r="S97" s="13">
        <v>46097</v>
      </c>
      <c r="T97" s="13">
        <v>46104</v>
      </c>
      <c r="U97" s="13">
        <v>46111</v>
      </c>
      <c r="V97" s="13">
        <v>46118</v>
      </c>
      <c r="W97" s="13">
        <v>46125</v>
      </c>
      <c r="X97" s="13">
        <v>46132</v>
      </c>
      <c r="Y97" s="13">
        <v>46139</v>
      </c>
      <c r="Z97" s="13">
        <v>46146</v>
      </c>
      <c r="AA97" s="13">
        <v>46154</v>
      </c>
      <c r="AB97" s="35" t="s">
        <v>129</v>
      </c>
    </row>
    <row r="98" spans="1:28" hidden="1" x14ac:dyDescent="0.3">
      <c r="A98" s="25" t="s">
        <v>474</v>
      </c>
      <c r="B98" s="6">
        <v>100</v>
      </c>
      <c r="C98" s="66">
        <v>316</v>
      </c>
      <c r="D98" s="234"/>
      <c r="F98" s="39">
        <v>0</v>
      </c>
      <c r="G98" s="39">
        <v>0</v>
      </c>
      <c r="H98" s="39">
        <v>0</v>
      </c>
      <c r="I98" s="39">
        <v>0</v>
      </c>
      <c r="J98" s="39">
        <v>0</v>
      </c>
      <c r="K98" s="39">
        <v>0</v>
      </c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26" t="e">
        <f ca="1">Z98+IF(NOT(ISBLANK(OFFSET(AB98,0,6))),N(OFFSET(AB98,0,6)),N(OFFSET(AB98,0,7)))-#REF!</f>
        <v>#REF!</v>
      </c>
    </row>
    <row r="99" spans="1:28" hidden="1" x14ac:dyDescent="0.3">
      <c r="A99" s="25" t="s">
        <v>475</v>
      </c>
      <c r="B99" s="6">
        <v>100</v>
      </c>
      <c r="C99" s="66">
        <v>41</v>
      </c>
      <c r="D99" s="234"/>
      <c r="F99" s="39">
        <v>0</v>
      </c>
      <c r="G99" s="39">
        <v>0</v>
      </c>
      <c r="H99" s="39">
        <v>0</v>
      </c>
      <c r="I99" s="39">
        <v>0</v>
      </c>
      <c r="J99" s="39">
        <v>0</v>
      </c>
      <c r="K99" s="39">
        <v>0</v>
      </c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26" t="e">
        <f ca="1">Z99+IF(NOT(ISBLANK(OFFSET(AB99,0,6))),N(OFFSET(AB99,0,6)),N(OFFSET(AB99,0,7)))-#REF!</f>
        <v>#REF!</v>
      </c>
    </row>
    <row r="100" spans="1:28" x14ac:dyDescent="0.3">
      <c r="A100" s="25" t="s">
        <v>476</v>
      </c>
      <c r="B100" s="6">
        <v>150</v>
      </c>
      <c r="C100" s="66">
        <v>478.5</v>
      </c>
      <c r="D100" s="234"/>
      <c r="F100" s="39">
        <v>10</v>
      </c>
      <c r="G100" s="39">
        <v>10</v>
      </c>
      <c r="H100" s="39">
        <v>10</v>
      </c>
      <c r="I100" s="39">
        <v>10</v>
      </c>
      <c r="J100" s="39">
        <v>10</v>
      </c>
      <c r="K100" s="39">
        <v>10</v>
      </c>
      <c r="L100" s="39">
        <v>10</v>
      </c>
      <c r="M100" s="39">
        <v>10</v>
      </c>
      <c r="N100" s="39">
        <v>10</v>
      </c>
      <c r="O100" s="39">
        <v>10</v>
      </c>
      <c r="P100" s="39">
        <v>10</v>
      </c>
      <c r="Q100" s="39">
        <v>10</v>
      </c>
      <c r="R100" s="39">
        <v>10</v>
      </c>
      <c r="S100" s="39">
        <v>10</v>
      </c>
      <c r="T100" s="39">
        <v>10</v>
      </c>
      <c r="U100" s="39">
        <v>10</v>
      </c>
      <c r="V100" s="39"/>
      <c r="W100" s="39"/>
      <c r="X100" s="39"/>
      <c r="Y100" s="39"/>
      <c r="Z100" s="39"/>
      <c r="AA100" s="39">
        <v>10</v>
      </c>
      <c r="AB100" s="372">
        <f ca="1">Z100+IF(NOT(ISBLANK(OFFSET(AB100,0,6))),N(OFFSET(AB100,0,6)),N(OFFSET(AB100,0,7)))-AA100</f>
        <v>-10</v>
      </c>
    </row>
    <row r="101" spans="1:28" ht="19.5" customHeight="1" thickBot="1" x14ac:dyDescent="0.35"/>
    <row r="102" spans="1:28" ht="24" customHeight="1" thickBot="1" x14ac:dyDescent="0.4">
      <c r="A102" s="499">
        <v>2026</v>
      </c>
      <c r="B102" s="497"/>
      <c r="C102" s="497"/>
      <c r="D102" s="497"/>
      <c r="E102" s="497"/>
      <c r="F102" s="497"/>
      <c r="G102" s="497"/>
      <c r="H102" s="497"/>
      <c r="I102" s="497"/>
      <c r="J102" s="497"/>
      <c r="K102" s="497"/>
      <c r="L102" s="497"/>
      <c r="M102" s="497"/>
      <c r="N102" s="497"/>
      <c r="O102" s="497"/>
      <c r="P102" s="497"/>
      <c r="Q102" s="497"/>
      <c r="R102" s="497"/>
      <c r="S102" s="497"/>
      <c r="T102" s="497"/>
      <c r="U102" s="497"/>
      <c r="V102" s="497"/>
      <c r="W102" s="497"/>
      <c r="X102" s="497"/>
      <c r="Y102" s="497"/>
      <c r="Z102" s="497"/>
      <c r="AA102" s="497"/>
      <c r="AB102" s="500"/>
    </row>
    <row r="104" spans="1:28" x14ac:dyDescent="0.3">
      <c r="A104" s="270" t="s">
        <v>485</v>
      </c>
      <c r="B104" s="271" t="s">
        <v>151</v>
      </c>
      <c r="C104" s="271" t="s">
        <v>152</v>
      </c>
      <c r="D104" s="271"/>
      <c r="N104" s="13">
        <v>46062</v>
      </c>
      <c r="O104" s="13">
        <v>46069</v>
      </c>
      <c r="P104" s="13">
        <v>46076</v>
      </c>
      <c r="Q104" s="13">
        <v>46083</v>
      </c>
      <c r="R104" s="13">
        <v>46090</v>
      </c>
      <c r="S104" s="13">
        <v>46097</v>
      </c>
      <c r="T104" s="13">
        <v>46104</v>
      </c>
      <c r="U104" s="13">
        <v>46111</v>
      </c>
      <c r="V104" s="13">
        <v>46118</v>
      </c>
      <c r="W104" s="13">
        <v>46125</v>
      </c>
      <c r="X104" s="13">
        <v>46132</v>
      </c>
      <c r="Y104" s="13">
        <v>46139</v>
      </c>
      <c r="Z104" s="13">
        <v>46146</v>
      </c>
      <c r="AA104" s="13">
        <v>46154</v>
      </c>
      <c r="AB104" s="35" t="s">
        <v>129</v>
      </c>
    </row>
    <row r="105" spans="1:28" x14ac:dyDescent="0.3">
      <c r="A105" s="25" t="s">
        <v>138</v>
      </c>
      <c r="B105" s="6">
        <v>150</v>
      </c>
      <c r="C105" s="66"/>
      <c r="D105" s="234"/>
      <c r="N105" s="39">
        <v>0</v>
      </c>
      <c r="O105" s="39">
        <v>0</v>
      </c>
      <c r="P105" s="39">
        <v>0</v>
      </c>
      <c r="Q105" s="39">
        <v>0</v>
      </c>
      <c r="R105" s="39">
        <f>AO10</f>
        <v>150</v>
      </c>
      <c r="S105" s="39">
        <v>150</v>
      </c>
      <c r="T105" s="39">
        <v>120</v>
      </c>
      <c r="U105" s="39">
        <v>117</v>
      </c>
      <c r="V105" s="39">
        <v>111</v>
      </c>
      <c r="W105" s="39">
        <v>95</v>
      </c>
      <c r="X105" s="39">
        <v>95</v>
      </c>
      <c r="Y105" s="39">
        <v>73</v>
      </c>
      <c r="Z105" s="39">
        <v>65</v>
      </c>
      <c r="AA105" s="39">
        <v>65</v>
      </c>
      <c r="AB105" s="372">
        <f t="shared" ref="AB105:AB111" ca="1" si="3">Z105+IF(NOT(ISBLANK(OFFSET(AB105,0,6))),N(OFFSET(AB105,0,6)),N(OFFSET(AB105,0,7)))-AA105</f>
        <v>0</v>
      </c>
    </row>
    <row r="106" spans="1:28" x14ac:dyDescent="0.3">
      <c r="A106" s="25" t="s">
        <v>486</v>
      </c>
      <c r="B106" s="6">
        <v>1000</v>
      </c>
      <c r="C106" s="66"/>
      <c r="D106" s="234"/>
      <c r="N106" s="39">
        <v>0</v>
      </c>
      <c r="O106" s="39">
        <v>0</v>
      </c>
      <c r="P106" s="39">
        <v>0</v>
      </c>
      <c r="Q106" s="39">
        <v>0</v>
      </c>
      <c r="R106" s="39">
        <f>AO17</f>
        <v>1</v>
      </c>
      <c r="S106" s="39">
        <v>1</v>
      </c>
      <c r="T106" s="39">
        <v>1</v>
      </c>
      <c r="U106" s="39">
        <v>1</v>
      </c>
      <c r="V106" s="39">
        <v>1</v>
      </c>
      <c r="W106" s="39">
        <v>1</v>
      </c>
      <c r="X106" s="39">
        <v>1</v>
      </c>
      <c r="Y106" s="39">
        <v>1</v>
      </c>
      <c r="Z106" s="39">
        <v>1</v>
      </c>
      <c r="AA106" s="39">
        <v>1</v>
      </c>
      <c r="AB106" s="372">
        <f t="shared" ca="1" si="3"/>
        <v>0</v>
      </c>
    </row>
    <row r="107" spans="1:28" x14ac:dyDescent="0.3">
      <c r="A107" s="25" t="s">
        <v>143</v>
      </c>
      <c r="B107" s="6">
        <v>200</v>
      </c>
      <c r="C107" s="66"/>
      <c r="D107" s="234"/>
      <c r="N107" s="39">
        <v>0</v>
      </c>
      <c r="O107" s="39">
        <v>0</v>
      </c>
      <c r="P107" s="39">
        <v>0</v>
      </c>
      <c r="Q107" s="39">
        <v>0</v>
      </c>
      <c r="R107" s="39">
        <f>AO16</f>
        <v>200</v>
      </c>
      <c r="S107" s="39">
        <v>200</v>
      </c>
      <c r="T107" s="39">
        <v>200</v>
      </c>
      <c r="U107" s="39">
        <v>1</v>
      </c>
      <c r="V107" s="39">
        <v>200</v>
      </c>
      <c r="W107" s="39">
        <v>200</v>
      </c>
      <c r="X107" s="39">
        <v>200</v>
      </c>
      <c r="Y107" s="39">
        <v>200</v>
      </c>
      <c r="Z107" s="39">
        <v>200</v>
      </c>
      <c r="AA107" s="39">
        <v>200</v>
      </c>
      <c r="AB107" s="372">
        <f t="shared" ca="1" si="3"/>
        <v>0</v>
      </c>
    </row>
    <row r="108" spans="1:28" x14ac:dyDescent="0.3">
      <c r="A108" s="25" t="s">
        <v>487</v>
      </c>
      <c r="B108" s="6">
        <v>150</v>
      </c>
      <c r="C108" s="66"/>
      <c r="D108" s="234"/>
      <c r="N108" s="39">
        <v>0</v>
      </c>
      <c r="O108" s="39">
        <v>0</v>
      </c>
      <c r="P108" s="39">
        <v>0</v>
      </c>
      <c r="Q108" s="39">
        <v>0</v>
      </c>
      <c r="R108" s="39">
        <v>0</v>
      </c>
      <c r="S108" s="39">
        <v>150</v>
      </c>
      <c r="T108" s="39">
        <v>130</v>
      </c>
      <c r="U108" s="39">
        <v>122</v>
      </c>
      <c r="V108" s="39"/>
      <c r="W108" s="39"/>
      <c r="X108" s="39"/>
      <c r="Y108" s="39"/>
      <c r="Z108" s="39"/>
      <c r="AA108" s="39">
        <v>33</v>
      </c>
      <c r="AB108" s="372">
        <f t="shared" ca="1" si="3"/>
        <v>-33</v>
      </c>
    </row>
    <row r="109" spans="1:28" x14ac:dyDescent="0.3">
      <c r="A109" s="25" t="s">
        <v>479</v>
      </c>
      <c r="B109" s="6">
        <v>200</v>
      </c>
      <c r="C109" s="66"/>
      <c r="D109" s="234"/>
      <c r="N109" s="39">
        <v>0</v>
      </c>
      <c r="O109" s="39">
        <v>0</v>
      </c>
      <c r="P109" s="39">
        <v>0</v>
      </c>
      <c r="Q109" s="39">
        <v>0</v>
      </c>
      <c r="R109" s="39">
        <v>0</v>
      </c>
      <c r="S109" s="39">
        <v>2</v>
      </c>
      <c r="T109" s="39">
        <v>3</v>
      </c>
      <c r="U109" s="39">
        <v>3</v>
      </c>
      <c r="V109" s="39"/>
      <c r="W109" s="39"/>
      <c r="X109" s="39"/>
      <c r="Y109" s="39"/>
      <c r="Z109" s="39"/>
      <c r="AA109" s="39">
        <v>3</v>
      </c>
      <c r="AB109" s="372">
        <f t="shared" ca="1" si="3"/>
        <v>-3</v>
      </c>
    </row>
    <row r="110" spans="1:28" x14ac:dyDescent="0.3">
      <c r="A110" s="153" t="s">
        <v>156</v>
      </c>
      <c r="B110" s="72">
        <v>100</v>
      </c>
      <c r="C110" s="77"/>
      <c r="D110" s="72"/>
      <c r="N110" s="39">
        <v>0</v>
      </c>
      <c r="O110" s="39">
        <v>0</v>
      </c>
      <c r="P110" s="39">
        <v>0</v>
      </c>
      <c r="Q110" s="39">
        <v>0</v>
      </c>
      <c r="R110" s="39">
        <v>0</v>
      </c>
      <c r="S110" s="39">
        <v>50</v>
      </c>
      <c r="T110" s="39">
        <v>50</v>
      </c>
      <c r="U110" s="39">
        <v>50</v>
      </c>
      <c r="V110" s="39"/>
      <c r="W110" s="39"/>
      <c r="X110" s="39"/>
      <c r="Y110" s="39"/>
      <c r="Z110" s="39"/>
      <c r="AA110" s="39">
        <v>49</v>
      </c>
      <c r="AB110" s="372">
        <f t="shared" ca="1" si="3"/>
        <v>-49</v>
      </c>
    </row>
    <row r="111" spans="1:28" x14ac:dyDescent="0.3">
      <c r="A111" s="153" t="s">
        <v>158</v>
      </c>
      <c r="B111" s="72">
        <v>200</v>
      </c>
      <c r="C111" s="77"/>
      <c r="D111" s="72"/>
      <c r="N111" s="39">
        <v>0</v>
      </c>
      <c r="O111" s="39">
        <v>0</v>
      </c>
      <c r="P111" s="39">
        <v>0</v>
      </c>
      <c r="Q111" s="39">
        <v>0</v>
      </c>
      <c r="R111" s="39">
        <v>0</v>
      </c>
      <c r="S111" s="39">
        <v>50</v>
      </c>
      <c r="T111" s="39">
        <v>50</v>
      </c>
      <c r="U111" s="39">
        <v>50</v>
      </c>
      <c r="V111" s="39"/>
      <c r="W111" s="39"/>
      <c r="X111" s="39"/>
      <c r="Y111" s="39"/>
      <c r="Z111" s="39"/>
      <c r="AA111" s="39">
        <v>49</v>
      </c>
      <c r="AB111" s="372">
        <f t="shared" ca="1" si="3"/>
        <v>-49</v>
      </c>
    </row>
    <row r="113" spans="1:28" x14ac:dyDescent="0.3">
      <c r="A113" s="272" t="s">
        <v>488</v>
      </c>
      <c r="B113" s="248" t="s">
        <v>151</v>
      </c>
      <c r="C113" s="248" t="s">
        <v>152</v>
      </c>
      <c r="D113" s="248"/>
      <c r="N113" s="13">
        <v>46062</v>
      </c>
      <c r="O113" s="13">
        <v>46069</v>
      </c>
      <c r="P113" s="13">
        <v>46076</v>
      </c>
      <c r="Q113" s="13">
        <v>46083</v>
      </c>
      <c r="R113" s="13">
        <v>46090</v>
      </c>
      <c r="S113" s="13">
        <v>46097</v>
      </c>
      <c r="T113" s="13">
        <v>46104</v>
      </c>
      <c r="U113" s="13">
        <v>46111</v>
      </c>
      <c r="V113" s="13">
        <v>46118</v>
      </c>
      <c r="W113" s="13">
        <v>46125</v>
      </c>
      <c r="X113" s="13">
        <v>46132</v>
      </c>
      <c r="Y113" s="13">
        <v>46139</v>
      </c>
      <c r="Z113" s="13">
        <v>46146</v>
      </c>
      <c r="AA113" s="13">
        <v>46154</v>
      </c>
      <c r="AB113" s="35" t="s">
        <v>129</v>
      </c>
    </row>
    <row r="114" spans="1:28" x14ac:dyDescent="0.3">
      <c r="A114" s="25" t="s">
        <v>419</v>
      </c>
      <c r="B114" s="6">
        <v>200</v>
      </c>
      <c r="C114" s="66"/>
      <c r="D114" s="234"/>
      <c r="N114" s="39">
        <v>0</v>
      </c>
      <c r="O114" s="39">
        <v>0</v>
      </c>
      <c r="P114" s="39">
        <v>0</v>
      </c>
      <c r="Q114" s="39">
        <v>0</v>
      </c>
      <c r="R114" s="39">
        <v>0</v>
      </c>
      <c r="S114" s="39">
        <v>0</v>
      </c>
      <c r="T114" s="39">
        <f>AM9</f>
        <v>400</v>
      </c>
      <c r="U114" s="39">
        <v>400</v>
      </c>
      <c r="V114" s="39">
        <v>400</v>
      </c>
      <c r="W114" s="39">
        <v>290</v>
      </c>
      <c r="X114" s="39">
        <v>200</v>
      </c>
      <c r="Y114" s="39">
        <v>200</v>
      </c>
      <c r="Z114" s="39">
        <v>170</v>
      </c>
      <c r="AA114" s="39">
        <v>0</v>
      </c>
      <c r="AB114" s="372">
        <f t="shared" ref="AB114:AB122" ca="1" si="4">Z114+IF(NOT(ISBLANK(OFFSET(AB114,0,6))),N(OFFSET(AB114,0,6)),N(OFFSET(AB114,0,7)))-AA114</f>
        <v>170</v>
      </c>
    </row>
    <row r="115" spans="1:28" x14ac:dyDescent="0.3">
      <c r="A115" s="25" t="s">
        <v>421</v>
      </c>
      <c r="B115" s="6">
        <v>200</v>
      </c>
      <c r="C115" s="66"/>
      <c r="D115" s="234"/>
      <c r="N115" s="39">
        <v>0</v>
      </c>
      <c r="O115" s="39">
        <v>0</v>
      </c>
      <c r="P115" s="39">
        <v>0</v>
      </c>
      <c r="Q115" s="39">
        <v>0</v>
      </c>
      <c r="R115" s="39">
        <v>0</v>
      </c>
      <c r="S115" s="39">
        <v>0</v>
      </c>
      <c r="T115" s="39">
        <f>AM10</f>
        <v>200</v>
      </c>
      <c r="U115" s="39">
        <v>200</v>
      </c>
      <c r="V115" s="39">
        <v>0</v>
      </c>
      <c r="W115" s="39">
        <v>0</v>
      </c>
      <c r="X115" s="39">
        <v>0</v>
      </c>
      <c r="Y115" s="39">
        <v>0</v>
      </c>
      <c r="Z115" s="39">
        <v>190</v>
      </c>
      <c r="AA115" s="39">
        <v>50</v>
      </c>
      <c r="AB115" s="372">
        <f t="shared" ca="1" si="4"/>
        <v>140</v>
      </c>
    </row>
    <row r="116" spans="1:28" x14ac:dyDescent="0.3">
      <c r="A116" s="25" t="s">
        <v>422</v>
      </c>
      <c r="B116" s="6">
        <v>100</v>
      </c>
      <c r="C116" s="66"/>
      <c r="D116" s="234"/>
      <c r="N116" s="39">
        <v>0</v>
      </c>
      <c r="O116" s="39">
        <v>0</v>
      </c>
      <c r="P116" s="39">
        <v>0</v>
      </c>
      <c r="Q116" s="39">
        <v>0</v>
      </c>
      <c r="R116" s="39">
        <v>0</v>
      </c>
      <c r="S116" s="39">
        <v>0</v>
      </c>
      <c r="T116" s="39">
        <f>AM11</f>
        <v>100</v>
      </c>
      <c r="U116" s="39">
        <v>100</v>
      </c>
      <c r="V116" s="39">
        <v>0</v>
      </c>
      <c r="W116" s="39">
        <v>0</v>
      </c>
      <c r="X116" s="39">
        <v>0</v>
      </c>
      <c r="Y116" s="39">
        <v>0</v>
      </c>
      <c r="Z116" s="39">
        <v>65</v>
      </c>
      <c r="AA116" s="39">
        <v>0</v>
      </c>
      <c r="AB116" s="372">
        <f t="shared" ca="1" si="4"/>
        <v>65</v>
      </c>
    </row>
    <row r="117" spans="1:28" x14ac:dyDescent="0.3">
      <c r="A117" s="25" t="s">
        <v>489</v>
      </c>
      <c r="B117" s="6">
        <v>200</v>
      </c>
      <c r="C117" s="66"/>
      <c r="D117" s="234"/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50</v>
      </c>
      <c r="V117" s="39"/>
      <c r="W117" s="39"/>
      <c r="X117" s="39"/>
      <c r="Y117" s="39"/>
      <c r="Z117" s="39"/>
      <c r="AA117" s="39">
        <v>0</v>
      </c>
      <c r="AB117" s="372">
        <f t="shared" ca="1" si="4"/>
        <v>0</v>
      </c>
    </row>
    <row r="118" spans="1:28" x14ac:dyDescent="0.3">
      <c r="A118" s="25" t="s">
        <v>487</v>
      </c>
      <c r="B118" s="6">
        <v>200</v>
      </c>
      <c r="C118" s="66"/>
      <c r="D118" s="234"/>
      <c r="N118" s="39">
        <v>0</v>
      </c>
      <c r="O118" s="39">
        <v>0</v>
      </c>
      <c r="P118" s="39">
        <v>0</v>
      </c>
      <c r="Q118" s="39">
        <v>0</v>
      </c>
      <c r="R118" s="39">
        <v>0</v>
      </c>
      <c r="S118" s="39">
        <v>0</v>
      </c>
      <c r="T118" s="39">
        <v>0</v>
      </c>
      <c r="U118" s="39">
        <v>50</v>
      </c>
      <c r="V118" s="39"/>
      <c r="W118" s="39"/>
      <c r="X118" s="39"/>
      <c r="Y118" s="39"/>
      <c r="Z118" s="39"/>
      <c r="AA118" s="39">
        <v>0</v>
      </c>
      <c r="AB118" s="372">
        <f t="shared" ca="1" si="4"/>
        <v>0</v>
      </c>
    </row>
    <row r="119" spans="1:28" x14ac:dyDescent="0.3">
      <c r="A119" s="153" t="s">
        <v>481</v>
      </c>
      <c r="B119" s="72">
        <v>200</v>
      </c>
      <c r="C119" s="77"/>
      <c r="D119" s="72"/>
      <c r="N119" s="39">
        <v>0</v>
      </c>
      <c r="O119" s="39">
        <v>0</v>
      </c>
      <c r="P119" s="39">
        <v>0</v>
      </c>
      <c r="Q119" s="39">
        <v>0</v>
      </c>
      <c r="R119" s="39">
        <v>0</v>
      </c>
      <c r="S119" s="39">
        <v>0</v>
      </c>
      <c r="T119" s="39">
        <v>0</v>
      </c>
      <c r="U119" s="39">
        <v>2</v>
      </c>
      <c r="V119" s="39"/>
      <c r="W119" s="39"/>
      <c r="X119" s="39"/>
      <c r="Y119" s="39"/>
      <c r="Z119" s="39"/>
      <c r="AA119" s="39">
        <v>1</v>
      </c>
      <c r="AB119" s="372">
        <f t="shared" ca="1" si="4"/>
        <v>-1</v>
      </c>
    </row>
    <row r="120" spans="1:28" x14ac:dyDescent="0.3">
      <c r="A120" s="153" t="s">
        <v>154</v>
      </c>
      <c r="B120" s="72">
        <v>150</v>
      </c>
      <c r="C120" s="77"/>
      <c r="D120" s="72"/>
      <c r="N120" s="39">
        <v>0</v>
      </c>
      <c r="O120" s="39">
        <v>0</v>
      </c>
      <c r="P120" s="39">
        <v>0</v>
      </c>
      <c r="Q120" s="39">
        <v>0</v>
      </c>
      <c r="R120" s="39">
        <v>0</v>
      </c>
      <c r="S120" s="39">
        <v>0</v>
      </c>
      <c r="T120" s="39">
        <v>0</v>
      </c>
      <c r="U120" s="39">
        <v>20</v>
      </c>
      <c r="V120" s="39"/>
      <c r="W120" s="39"/>
      <c r="X120" s="39"/>
      <c r="Y120" s="39"/>
      <c r="Z120" s="39"/>
      <c r="AA120" s="39">
        <v>0</v>
      </c>
      <c r="AB120" s="372">
        <f t="shared" ca="1" si="4"/>
        <v>0</v>
      </c>
    </row>
    <row r="121" spans="1:28" x14ac:dyDescent="0.3">
      <c r="A121" s="153" t="s">
        <v>156</v>
      </c>
      <c r="B121" s="72">
        <v>100</v>
      </c>
      <c r="C121" s="77"/>
      <c r="D121" s="72"/>
      <c r="N121" s="39">
        <v>0</v>
      </c>
      <c r="O121" s="39">
        <v>0</v>
      </c>
      <c r="P121" s="39">
        <v>0</v>
      </c>
      <c r="Q121" s="39">
        <v>0</v>
      </c>
      <c r="R121" s="39">
        <v>0</v>
      </c>
      <c r="S121" s="39">
        <v>0</v>
      </c>
      <c r="T121" s="39">
        <v>0</v>
      </c>
      <c r="U121" s="39">
        <v>30</v>
      </c>
      <c r="V121" s="39"/>
      <c r="W121" s="39"/>
      <c r="X121" s="39"/>
      <c r="Y121" s="39"/>
      <c r="Z121" s="39"/>
      <c r="AA121" s="39">
        <v>13</v>
      </c>
      <c r="AB121" s="372">
        <f t="shared" ca="1" si="4"/>
        <v>-13</v>
      </c>
    </row>
    <row r="122" spans="1:28" x14ac:dyDescent="0.3">
      <c r="A122" s="153" t="s">
        <v>160</v>
      </c>
      <c r="B122" s="72">
        <v>150</v>
      </c>
      <c r="C122" s="77"/>
      <c r="D122" s="72"/>
      <c r="N122" s="39">
        <v>0</v>
      </c>
      <c r="O122" s="39">
        <v>0</v>
      </c>
      <c r="P122" s="39">
        <v>0</v>
      </c>
      <c r="Q122" s="39">
        <v>0</v>
      </c>
      <c r="R122" s="39">
        <v>0</v>
      </c>
      <c r="S122" s="39">
        <v>0</v>
      </c>
      <c r="T122" s="39">
        <v>0</v>
      </c>
      <c r="U122" s="39">
        <v>50</v>
      </c>
      <c r="V122" s="39"/>
      <c r="W122" s="39"/>
      <c r="X122" s="39"/>
      <c r="Y122" s="39"/>
      <c r="Z122" s="39"/>
      <c r="AA122" s="39">
        <v>30</v>
      </c>
      <c r="AB122" s="372">
        <f t="shared" ca="1" si="4"/>
        <v>-30</v>
      </c>
    </row>
    <row r="124" spans="1:28" x14ac:dyDescent="0.3">
      <c r="A124" s="407" t="s">
        <v>477</v>
      </c>
      <c r="B124" s="408" t="s">
        <v>151</v>
      </c>
      <c r="C124" s="408" t="s">
        <v>152</v>
      </c>
      <c r="D124" s="408"/>
      <c r="S124" s="13">
        <v>46097</v>
      </c>
      <c r="T124" s="13">
        <v>46104</v>
      </c>
      <c r="U124" s="13">
        <v>46111</v>
      </c>
      <c r="V124" s="13">
        <v>46118</v>
      </c>
      <c r="W124" s="13">
        <v>46125</v>
      </c>
      <c r="X124" s="13">
        <v>46132</v>
      </c>
      <c r="Y124" s="13">
        <v>46139</v>
      </c>
      <c r="Z124" s="13">
        <v>46146</v>
      </c>
      <c r="AA124" s="13">
        <v>46154</v>
      </c>
      <c r="AB124" s="35" t="s">
        <v>129</v>
      </c>
    </row>
    <row r="125" spans="1:28" x14ac:dyDescent="0.3">
      <c r="A125" s="25" t="s">
        <v>156</v>
      </c>
      <c r="B125" s="6">
        <v>100</v>
      </c>
      <c r="C125" s="66">
        <v>1490</v>
      </c>
      <c r="D125" s="234"/>
      <c r="S125" s="39"/>
      <c r="T125" s="39"/>
      <c r="U125" s="39"/>
      <c r="V125" s="39"/>
      <c r="W125" s="39"/>
      <c r="X125" s="39"/>
      <c r="Y125" s="39"/>
      <c r="Z125" s="39"/>
      <c r="AA125" s="39">
        <v>30</v>
      </c>
      <c r="AB125" s="334"/>
    </row>
  </sheetData>
  <mergeCells count="9">
    <mergeCell ref="A5:A6"/>
    <mergeCell ref="B3:D3"/>
    <mergeCell ref="A1:AC1"/>
    <mergeCell ref="A102:AB102"/>
    <mergeCell ref="C5:C6"/>
    <mergeCell ref="F5:AB5"/>
    <mergeCell ref="B5:B6"/>
    <mergeCell ref="B2:D2"/>
    <mergeCell ref="D5:D6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49" orientation="landscape" horizontalDpi="4294967295" verticalDpi="4294967295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Planilha17">
    <tabColor rgb="FF7030A0"/>
  </sheetPr>
  <dimension ref="A1:BM199"/>
  <sheetViews>
    <sheetView topLeftCell="A172" zoomScaleNormal="100" workbookViewId="0">
      <pane xSplit="1" topLeftCell="V1" activePane="topRight" state="frozen"/>
      <selection pane="topRight" activeCell="X193" sqref="X193:X198"/>
    </sheetView>
  </sheetViews>
  <sheetFormatPr defaultRowHeight="15" x14ac:dyDescent="0.25"/>
  <cols>
    <col min="1" max="1" width="28.7109375" customWidth="1"/>
    <col min="2" max="26" width="9.140625" customWidth="1"/>
    <col min="28" max="32" width="9.140625" customWidth="1"/>
    <col min="34" max="37" width="9.140625" customWidth="1"/>
    <col min="39" max="43" width="9.140625" customWidth="1"/>
  </cols>
  <sheetData>
    <row r="1" spans="1:65" ht="18" customHeight="1" x14ac:dyDescent="0.25">
      <c r="A1" s="505" t="s">
        <v>542</v>
      </c>
      <c r="B1" s="506"/>
      <c r="C1" s="506"/>
      <c r="D1" s="506"/>
      <c r="E1" s="506"/>
      <c r="F1" s="506"/>
      <c r="G1" s="506"/>
      <c r="H1" s="506"/>
      <c r="I1" s="506"/>
      <c r="J1" s="506"/>
      <c r="K1" s="506"/>
      <c r="L1" s="506"/>
      <c r="M1" s="506"/>
      <c r="N1" s="506"/>
      <c r="O1" s="506"/>
      <c r="P1" s="506"/>
      <c r="Q1" s="506"/>
      <c r="R1" s="506"/>
      <c r="S1" s="506"/>
      <c r="T1" s="506"/>
      <c r="U1" s="506"/>
      <c r="V1" s="506"/>
      <c r="W1" s="506"/>
      <c r="X1" s="506"/>
      <c r="Y1" s="506"/>
      <c r="Z1" s="506"/>
      <c r="AA1" s="506"/>
      <c r="AB1" s="506"/>
      <c r="AC1" s="506"/>
      <c r="AD1" s="506"/>
      <c r="AE1" s="506"/>
      <c r="AF1" s="506"/>
      <c r="AG1" s="506"/>
      <c r="AH1" s="506"/>
      <c r="AI1" s="506"/>
      <c r="AJ1" s="506"/>
      <c r="AK1" s="506"/>
      <c r="AL1" s="506"/>
      <c r="AM1" s="506"/>
      <c r="AN1" s="506"/>
      <c r="AO1" s="506"/>
      <c r="AP1" s="506"/>
      <c r="AQ1" s="506"/>
      <c r="AR1" s="506"/>
      <c r="AS1" s="506"/>
      <c r="AT1" s="506"/>
      <c r="AU1" s="506"/>
      <c r="AV1" s="506"/>
      <c r="AW1" s="506"/>
      <c r="AX1" s="506"/>
      <c r="AY1" s="506"/>
      <c r="AZ1" s="506"/>
      <c r="BA1" s="506"/>
      <c r="BB1" s="506"/>
      <c r="BC1" s="506"/>
      <c r="BD1" s="506"/>
      <c r="BE1" s="506"/>
      <c r="BF1" s="506"/>
      <c r="BG1" s="506"/>
      <c r="BH1" s="506"/>
      <c r="BI1" s="506"/>
      <c r="BJ1" s="506"/>
      <c r="BK1" s="506"/>
      <c r="BL1" s="506"/>
      <c r="BM1" s="506"/>
    </row>
    <row r="2" spans="1:65" ht="18" customHeight="1" x14ac:dyDescent="0.25">
      <c r="A2" s="503" t="s">
        <v>119</v>
      </c>
      <c r="B2" s="503" t="s">
        <v>389</v>
      </c>
      <c r="C2" s="485"/>
      <c r="D2" s="485"/>
      <c r="E2" s="485"/>
      <c r="F2" s="486"/>
      <c r="G2" s="503" t="s">
        <v>390</v>
      </c>
      <c r="H2" s="485"/>
      <c r="I2" s="485"/>
      <c r="J2" s="485"/>
      <c r="K2" s="486"/>
      <c r="L2" s="503" t="s">
        <v>391</v>
      </c>
      <c r="M2" s="485"/>
      <c r="N2" s="485"/>
      <c r="O2" s="485"/>
      <c r="P2" s="485"/>
      <c r="Q2" s="486"/>
      <c r="R2" s="503" t="s">
        <v>413</v>
      </c>
      <c r="S2" s="485"/>
      <c r="T2" s="485"/>
      <c r="U2" s="485"/>
      <c r="V2" s="486"/>
      <c r="W2" s="503" t="s">
        <v>414</v>
      </c>
      <c r="X2" s="485"/>
      <c r="Y2" s="485"/>
      <c r="Z2" s="485"/>
      <c r="AA2" s="486"/>
      <c r="AB2" s="503" t="s">
        <v>543</v>
      </c>
      <c r="AC2" s="485"/>
      <c r="AD2" s="485"/>
      <c r="AE2" s="485"/>
      <c r="AF2" s="485"/>
      <c r="AG2" s="486"/>
      <c r="AH2" s="503" t="s">
        <v>544</v>
      </c>
      <c r="AI2" s="485"/>
      <c r="AJ2" s="485"/>
      <c r="AK2" s="485"/>
      <c r="AL2" s="486"/>
      <c r="AM2" s="503" t="s">
        <v>545</v>
      </c>
      <c r="AN2" s="485"/>
      <c r="AO2" s="485"/>
      <c r="AP2" s="485"/>
      <c r="AQ2" s="485"/>
      <c r="AR2" s="486"/>
      <c r="AS2" s="503" t="s">
        <v>546</v>
      </c>
      <c r="AT2" s="485"/>
      <c r="AU2" s="485"/>
      <c r="AV2" s="485"/>
      <c r="AW2" s="486"/>
      <c r="AX2" s="503" t="s">
        <v>547</v>
      </c>
      <c r="AY2" s="485"/>
      <c r="AZ2" s="485"/>
      <c r="BA2" s="485"/>
      <c r="BB2" s="486"/>
      <c r="BC2" s="503" t="s">
        <v>548</v>
      </c>
      <c r="BD2" s="485"/>
      <c r="BE2" s="485"/>
      <c r="BF2" s="485"/>
      <c r="BG2" s="485"/>
      <c r="BH2" s="486"/>
      <c r="BI2" s="503" t="s">
        <v>388</v>
      </c>
      <c r="BJ2" s="485"/>
      <c r="BK2" s="485"/>
      <c r="BL2" s="485"/>
      <c r="BM2" s="486"/>
    </row>
    <row r="3" spans="1:65" ht="15.75" customHeight="1" x14ac:dyDescent="0.25">
      <c r="A3" s="487"/>
      <c r="B3" s="85">
        <v>46027</v>
      </c>
      <c r="C3" s="85">
        <v>46034</v>
      </c>
      <c r="D3" s="85">
        <v>46041</v>
      </c>
      <c r="E3" s="85">
        <v>46048</v>
      </c>
      <c r="F3" s="86" t="s">
        <v>129</v>
      </c>
      <c r="G3" s="85">
        <v>46055</v>
      </c>
      <c r="H3" s="85">
        <v>46062</v>
      </c>
      <c r="I3" s="85">
        <v>46069</v>
      </c>
      <c r="J3" s="85">
        <v>46076</v>
      </c>
      <c r="K3" s="86" t="s">
        <v>129</v>
      </c>
      <c r="L3" s="85">
        <v>46083</v>
      </c>
      <c r="M3" s="85">
        <v>46090</v>
      </c>
      <c r="N3" s="85">
        <v>46097</v>
      </c>
      <c r="O3" s="85">
        <v>46104</v>
      </c>
      <c r="P3" s="85">
        <v>46111</v>
      </c>
      <c r="Q3" s="86" t="s">
        <v>129</v>
      </c>
      <c r="R3" s="85">
        <v>46118</v>
      </c>
      <c r="S3" s="85">
        <v>46125</v>
      </c>
      <c r="T3" s="85">
        <v>46132</v>
      </c>
      <c r="U3" s="85">
        <v>46139</v>
      </c>
      <c r="V3" s="86" t="s">
        <v>129</v>
      </c>
      <c r="W3" s="85">
        <v>46146</v>
      </c>
      <c r="X3" s="85">
        <v>46153</v>
      </c>
      <c r="Y3" s="85">
        <v>46160</v>
      </c>
      <c r="Z3" s="85">
        <v>46167</v>
      </c>
      <c r="AA3" s="86" t="s">
        <v>129</v>
      </c>
      <c r="AB3" s="85">
        <v>46174</v>
      </c>
      <c r="AC3" s="85">
        <v>46181</v>
      </c>
      <c r="AD3" s="85">
        <v>46188</v>
      </c>
      <c r="AE3" s="85">
        <v>46195</v>
      </c>
      <c r="AF3" s="85">
        <v>46202</v>
      </c>
      <c r="AG3" s="86" t="s">
        <v>129</v>
      </c>
      <c r="AH3" s="85">
        <v>46209</v>
      </c>
      <c r="AI3" s="85">
        <v>46216</v>
      </c>
      <c r="AJ3" s="85">
        <v>46223</v>
      </c>
      <c r="AK3" s="85">
        <v>46230</v>
      </c>
      <c r="AL3" s="86" t="s">
        <v>129</v>
      </c>
      <c r="AM3" s="85">
        <v>46237</v>
      </c>
      <c r="AN3" s="85">
        <v>46244</v>
      </c>
      <c r="AO3" s="85">
        <v>46251</v>
      </c>
      <c r="AP3" s="85">
        <v>46258</v>
      </c>
      <c r="AQ3" s="85">
        <v>46265</v>
      </c>
      <c r="AR3" s="86" t="s">
        <v>129</v>
      </c>
      <c r="AS3" s="85">
        <v>46272</v>
      </c>
      <c r="AT3" s="85">
        <v>46279</v>
      </c>
      <c r="AU3" s="85">
        <v>46286</v>
      </c>
      <c r="AV3" s="85">
        <v>46293</v>
      </c>
      <c r="AW3" s="86" t="s">
        <v>129</v>
      </c>
      <c r="AX3" s="85">
        <v>46300</v>
      </c>
      <c r="AY3" s="85">
        <v>46307</v>
      </c>
      <c r="AZ3" s="85">
        <v>46314</v>
      </c>
      <c r="BA3" s="85">
        <v>46321</v>
      </c>
      <c r="BB3" s="86" t="s">
        <v>129</v>
      </c>
      <c r="BC3" s="85">
        <v>46328</v>
      </c>
      <c r="BD3" s="85">
        <v>46335</v>
      </c>
      <c r="BE3" s="85">
        <v>46342</v>
      </c>
      <c r="BF3" s="85">
        <v>46349</v>
      </c>
      <c r="BG3" s="85">
        <v>46356</v>
      </c>
      <c r="BH3" s="86" t="s">
        <v>129</v>
      </c>
      <c r="BI3" s="85">
        <v>46363</v>
      </c>
      <c r="BJ3" s="85">
        <v>46370</v>
      </c>
      <c r="BK3" s="85">
        <v>46377</v>
      </c>
      <c r="BL3" s="85">
        <v>46384</v>
      </c>
      <c r="BM3" s="86" t="s">
        <v>129</v>
      </c>
    </row>
    <row r="4" spans="1:65" ht="15.75" customHeight="1" x14ac:dyDescent="0.25">
      <c r="A4" s="90" t="s">
        <v>132</v>
      </c>
      <c r="B4" s="88">
        <v>30</v>
      </c>
      <c r="C4" s="88">
        <v>150</v>
      </c>
      <c r="D4" s="88">
        <v>0</v>
      </c>
      <c r="E4" s="88">
        <v>60</v>
      </c>
      <c r="F4" s="89">
        <f t="shared" ref="F4:F11" si="0">B4+C4+D4+E4</f>
        <v>240</v>
      </c>
      <c r="G4" s="88">
        <v>40</v>
      </c>
      <c r="H4" s="88">
        <v>0</v>
      </c>
      <c r="I4" s="88">
        <v>20</v>
      </c>
      <c r="J4" s="88">
        <v>60</v>
      </c>
      <c r="K4" s="89">
        <f t="shared" ref="K4:K11" si="1">G4+H4+I4+J4</f>
        <v>120</v>
      </c>
      <c r="L4" s="88">
        <v>40</v>
      </c>
      <c r="M4" s="88">
        <v>40</v>
      </c>
      <c r="N4" s="88">
        <v>0</v>
      </c>
      <c r="O4" s="88">
        <v>0</v>
      </c>
      <c r="P4" s="88">
        <v>60</v>
      </c>
      <c r="Q4" s="89">
        <f t="shared" ref="Q4:Q11" si="2">L4+M4+N4+O4+P4</f>
        <v>140</v>
      </c>
      <c r="R4" s="88"/>
      <c r="S4" s="88"/>
      <c r="T4" s="88"/>
      <c r="U4" s="88"/>
      <c r="V4" s="89">
        <f t="shared" ref="V4:V11" si="3">R4+S4+T4+U4</f>
        <v>0</v>
      </c>
      <c r="W4" s="88">
        <v>0</v>
      </c>
      <c r="X4" s="88">
        <v>0</v>
      </c>
      <c r="Y4" s="88"/>
      <c r="Z4" s="88"/>
      <c r="AA4" s="89">
        <f t="shared" ref="AA4:AA11" si="4">W4+X4+Y4+Z4</f>
        <v>0</v>
      </c>
      <c r="AB4" s="88"/>
      <c r="AC4" s="88"/>
      <c r="AD4" s="88"/>
      <c r="AE4" s="88"/>
      <c r="AF4" s="88"/>
      <c r="AG4" s="89">
        <f t="shared" ref="AG4:AG11" si="5">AB4+AC4+AD4+AE4+AF4</f>
        <v>0</v>
      </c>
      <c r="AH4" s="88"/>
      <c r="AI4" s="88"/>
      <c r="AJ4" s="88"/>
      <c r="AK4" s="88"/>
      <c r="AL4" s="89">
        <f t="shared" ref="AL4:AL11" si="6">AH4+AI4+AJ4+AK4</f>
        <v>0</v>
      </c>
      <c r="AM4" s="88"/>
      <c r="AN4" s="88"/>
      <c r="AO4" s="88"/>
      <c r="AP4" s="88"/>
      <c r="AQ4" s="88"/>
      <c r="AR4" s="89">
        <f t="shared" ref="AR4:AR11" si="7">AM4+AN4+AO4+AP4+AQ4</f>
        <v>0</v>
      </c>
      <c r="AS4" s="88"/>
      <c r="AT4" s="88"/>
      <c r="AU4" s="88"/>
      <c r="AV4" s="88"/>
      <c r="AW4" s="89">
        <f t="shared" ref="AW4:AW11" si="8">AS4+AT4+AU4+AV4</f>
        <v>0</v>
      </c>
      <c r="AX4" s="88"/>
      <c r="AY4" s="88"/>
      <c r="AZ4" s="88"/>
      <c r="BA4" s="88"/>
      <c r="BB4" s="89">
        <f t="shared" ref="BB4:BB11" si="9">AX4+AY4+AZ4+BA4</f>
        <v>0</v>
      </c>
      <c r="BC4" s="88"/>
      <c r="BD4" s="88"/>
      <c r="BE4" s="88"/>
      <c r="BF4" s="88"/>
      <c r="BG4" s="88"/>
      <c r="BH4" s="89">
        <f t="shared" ref="BH4:BH11" si="10">BC4+BD4+BE4+BF4+BG4</f>
        <v>0</v>
      </c>
      <c r="BI4" s="88"/>
      <c r="BJ4" s="88"/>
      <c r="BK4" s="88"/>
      <c r="BL4" s="88"/>
      <c r="BM4" s="89">
        <f t="shared" ref="BM4:BM11" si="11">BI4+BJ4+BK4+BL4</f>
        <v>0</v>
      </c>
    </row>
    <row r="5" spans="1:65" ht="15.75" customHeight="1" x14ac:dyDescent="0.25">
      <c r="A5" s="90" t="s">
        <v>549</v>
      </c>
      <c r="B5" s="88">
        <v>60</v>
      </c>
      <c r="C5" s="88">
        <v>340</v>
      </c>
      <c r="D5" s="88">
        <v>80</v>
      </c>
      <c r="E5" s="88">
        <v>120</v>
      </c>
      <c r="F5" s="89">
        <f t="shared" si="0"/>
        <v>600</v>
      </c>
      <c r="G5" s="88">
        <v>140</v>
      </c>
      <c r="H5" s="88">
        <v>120</v>
      </c>
      <c r="I5" s="88">
        <v>20</v>
      </c>
      <c r="J5" s="88">
        <v>120</v>
      </c>
      <c r="K5" s="89">
        <f t="shared" si="1"/>
        <v>400</v>
      </c>
      <c r="L5" s="88">
        <v>100</v>
      </c>
      <c r="M5" s="88">
        <v>160</v>
      </c>
      <c r="N5" s="88">
        <v>200</v>
      </c>
      <c r="O5" s="88">
        <v>340</v>
      </c>
      <c r="P5" s="88">
        <v>100</v>
      </c>
      <c r="Q5" s="89">
        <f t="shared" si="2"/>
        <v>900</v>
      </c>
      <c r="R5" s="88"/>
      <c r="S5" s="88"/>
      <c r="T5" s="88"/>
      <c r="U5" s="88"/>
      <c r="V5" s="89">
        <f t="shared" si="3"/>
        <v>0</v>
      </c>
      <c r="W5" s="88">
        <v>0</v>
      </c>
      <c r="X5" s="88">
        <v>400</v>
      </c>
      <c r="Y5" s="88"/>
      <c r="Z5" s="88"/>
      <c r="AA5" s="89">
        <f t="shared" si="4"/>
        <v>400</v>
      </c>
      <c r="AB5" s="88"/>
      <c r="AC5" s="88"/>
      <c r="AD5" s="88"/>
      <c r="AE5" s="88"/>
      <c r="AF5" s="88"/>
      <c r="AG5" s="89">
        <f t="shared" si="5"/>
        <v>0</v>
      </c>
      <c r="AH5" s="88"/>
      <c r="AI5" s="88"/>
      <c r="AJ5" s="88"/>
      <c r="AK5" s="88"/>
      <c r="AL5" s="89">
        <f t="shared" si="6"/>
        <v>0</v>
      </c>
      <c r="AM5" s="88"/>
      <c r="AN5" s="88"/>
      <c r="AO5" s="88"/>
      <c r="AP5" s="88"/>
      <c r="AQ5" s="88"/>
      <c r="AR5" s="89">
        <f t="shared" si="7"/>
        <v>0</v>
      </c>
      <c r="AS5" s="88"/>
      <c r="AT5" s="88"/>
      <c r="AU5" s="88"/>
      <c r="AV5" s="88"/>
      <c r="AW5" s="89">
        <f t="shared" si="8"/>
        <v>0</v>
      </c>
      <c r="AX5" s="88"/>
      <c r="AY5" s="88"/>
      <c r="AZ5" s="88"/>
      <c r="BA5" s="88"/>
      <c r="BB5" s="89">
        <f t="shared" si="9"/>
        <v>0</v>
      </c>
      <c r="BC5" s="88"/>
      <c r="BD5" s="88"/>
      <c r="BE5" s="88"/>
      <c r="BF5" s="88"/>
      <c r="BG5" s="88"/>
      <c r="BH5" s="89">
        <f t="shared" si="10"/>
        <v>0</v>
      </c>
      <c r="BI5" s="88"/>
      <c r="BJ5" s="88"/>
      <c r="BK5" s="88"/>
      <c r="BL5" s="88"/>
      <c r="BM5" s="89">
        <f t="shared" si="11"/>
        <v>0</v>
      </c>
    </row>
    <row r="6" spans="1:65" ht="15.75" customHeight="1" x14ac:dyDescent="0.25">
      <c r="A6" s="90" t="s">
        <v>137</v>
      </c>
      <c r="B6" s="88">
        <v>0</v>
      </c>
      <c r="C6" s="88">
        <v>120</v>
      </c>
      <c r="D6" s="88">
        <v>0</v>
      </c>
      <c r="E6" s="88">
        <v>80</v>
      </c>
      <c r="F6" s="89">
        <f t="shared" si="0"/>
        <v>200</v>
      </c>
      <c r="G6" s="88">
        <v>40</v>
      </c>
      <c r="H6" s="88">
        <v>40</v>
      </c>
      <c r="I6" s="88">
        <v>0</v>
      </c>
      <c r="J6" s="88">
        <v>80</v>
      </c>
      <c r="K6" s="89">
        <f t="shared" si="1"/>
        <v>160</v>
      </c>
      <c r="L6" s="88">
        <v>0</v>
      </c>
      <c r="M6" s="88">
        <v>40</v>
      </c>
      <c r="N6" s="88">
        <v>0</v>
      </c>
      <c r="O6" s="88">
        <v>0</v>
      </c>
      <c r="P6" s="88">
        <v>60</v>
      </c>
      <c r="Q6" s="89">
        <f t="shared" si="2"/>
        <v>100</v>
      </c>
      <c r="R6" s="88"/>
      <c r="S6" s="88"/>
      <c r="T6" s="88"/>
      <c r="U6" s="88"/>
      <c r="V6" s="89">
        <f t="shared" si="3"/>
        <v>0</v>
      </c>
      <c r="W6" s="88">
        <v>0</v>
      </c>
      <c r="X6" s="88">
        <v>200</v>
      </c>
      <c r="Y6" s="88"/>
      <c r="Z6" s="88"/>
      <c r="AA6" s="89">
        <f t="shared" si="4"/>
        <v>200</v>
      </c>
      <c r="AB6" s="88"/>
      <c r="AC6" s="88"/>
      <c r="AD6" s="88"/>
      <c r="AE6" s="88"/>
      <c r="AF6" s="88"/>
      <c r="AG6" s="89">
        <f t="shared" si="5"/>
        <v>0</v>
      </c>
      <c r="AH6" s="88"/>
      <c r="AI6" s="88"/>
      <c r="AJ6" s="88"/>
      <c r="AK6" s="88"/>
      <c r="AL6" s="89">
        <f t="shared" si="6"/>
        <v>0</v>
      </c>
      <c r="AM6" s="88"/>
      <c r="AN6" s="88"/>
      <c r="AO6" s="88"/>
      <c r="AP6" s="88"/>
      <c r="AQ6" s="88"/>
      <c r="AR6" s="89">
        <f t="shared" si="7"/>
        <v>0</v>
      </c>
      <c r="AS6" s="88"/>
      <c r="AT6" s="88"/>
      <c r="AU6" s="88"/>
      <c r="AV6" s="88"/>
      <c r="AW6" s="89">
        <f t="shared" si="8"/>
        <v>0</v>
      </c>
      <c r="AX6" s="88"/>
      <c r="AY6" s="88"/>
      <c r="AZ6" s="88"/>
      <c r="BA6" s="88"/>
      <c r="BB6" s="89">
        <f t="shared" si="9"/>
        <v>0</v>
      </c>
      <c r="BC6" s="88"/>
      <c r="BD6" s="88"/>
      <c r="BE6" s="88"/>
      <c r="BF6" s="88"/>
      <c r="BG6" s="88"/>
      <c r="BH6" s="89">
        <f t="shared" si="10"/>
        <v>0</v>
      </c>
      <c r="BI6" s="88"/>
      <c r="BJ6" s="88"/>
      <c r="BK6" s="88"/>
      <c r="BL6" s="88"/>
      <c r="BM6" s="89">
        <f t="shared" si="11"/>
        <v>0</v>
      </c>
    </row>
    <row r="7" spans="1:65" ht="15.75" customHeight="1" x14ac:dyDescent="0.25">
      <c r="A7" s="91" t="s">
        <v>550</v>
      </c>
      <c r="B7" s="88">
        <v>0</v>
      </c>
      <c r="C7" s="88">
        <v>20</v>
      </c>
      <c r="D7" s="88">
        <v>0</v>
      </c>
      <c r="E7" s="88">
        <v>0</v>
      </c>
      <c r="F7" s="89">
        <f t="shared" si="0"/>
        <v>20</v>
      </c>
      <c r="G7" s="88">
        <v>0</v>
      </c>
      <c r="H7" s="88">
        <v>0</v>
      </c>
      <c r="I7" s="88">
        <v>0</v>
      </c>
      <c r="J7" s="88">
        <v>20</v>
      </c>
      <c r="K7" s="89">
        <f t="shared" si="1"/>
        <v>20</v>
      </c>
      <c r="L7" s="88">
        <v>20</v>
      </c>
      <c r="M7" s="88">
        <v>0</v>
      </c>
      <c r="N7" s="88">
        <v>0</v>
      </c>
      <c r="O7" s="88">
        <v>0</v>
      </c>
      <c r="P7" s="88">
        <v>0</v>
      </c>
      <c r="Q7" s="89">
        <f t="shared" si="2"/>
        <v>20</v>
      </c>
      <c r="R7" s="88"/>
      <c r="S7" s="88"/>
      <c r="T7" s="88"/>
      <c r="U7" s="88"/>
      <c r="V7" s="89">
        <f t="shared" si="3"/>
        <v>0</v>
      </c>
      <c r="W7" s="88">
        <v>0</v>
      </c>
      <c r="X7" s="88">
        <v>150</v>
      </c>
      <c r="Y7" s="88"/>
      <c r="Z7" s="88"/>
      <c r="AA7" s="89">
        <f t="shared" si="4"/>
        <v>150</v>
      </c>
      <c r="AB7" s="88"/>
      <c r="AC7" s="88"/>
      <c r="AD7" s="88"/>
      <c r="AE7" s="88"/>
      <c r="AF7" s="88"/>
      <c r="AG7" s="89">
        <f t="shared" si="5"/>
        <v>0</v>
      </c>
      <c r="AH7" s="88"/>
      <c r="AI7" s="88"/>
      <c r="AJ7" s="88"/>
      <c r="AK7" s="88"/>
      <c r="AL7" s="89">
        <f t="shared" si="6"/>
        <v>0</v>
      </c>
      <c r="AM7" s="88"/>
      <c r="AN7" s="88"/>
      <c r="AO7" s="88"/>
      <c r="AP7" s="88"/>
      <c r="AQ7" s="88"/>
      <c r="AR7" s="89">
        <f t="shared" si="7"/>
        <v>0</v>
      </c>
      <c r="AS7" s="88"/>
      <c r="AT7" s="88"/>
      <c r="AU7" s="88"/>
      <c r="AV7" s="88"/>
      <c r="AW7" s="89">
        <f t="shared" si="8"/>
        <v>0</v>
      </c>
      <c r="AX7" s="88"/>
      <c r="AY7" s="88"/>
      <c r="AZ7" s="88"/>
      <c r="BA7" s="88"/>
      <c r="BB7" s="89">
        <f t="shared" si="9"/>
        <v>0</v>
      </c>
      <c r="BC7" s="88"/>
      <c r="BD7" s="88"/>
      <c r="BE7" s="88"/>
      <c r="BF7" s="88"/>
      <c r="BG7" s="88"/>
      <c r="BH7" s="89">
        <f t="shared" si="10"/>
        <v>0</v>
      </c>
      <c r="BI7" s="88"/>
      <c r="BJ7" s="88"/>
      <c r="BK7" s="88"/>
      <c r="BL7" s="88"/>
      <c r="BM7" s="89">
        <f t="shared" si="11"/>
        <v>0</v>
      </c>
    </row>
    <row r="8" spans="1:65" ht="15.75" customHeight="1" x14ac:dyDescent="0.25">
      <c r="A8" s="92" t="s">
        <v>224</v>
      </c>
      <c r="B8" s="88">
        <v>1</v>
      </c>
      <c r="C8" s="88">
        <v>1</v>
      </c>
      <c r="D8" s="88">
        <v>1</v>
      </c>
      <c r="E8" s="88">
        <v>1</v>
      </c>
      <c r="F8" s="89">
        <f t="shared" si="0"/>
        <v>4</v>
      </c>
      <c r="G8" s="88">
        <v>0</v>
      </c>
      <c r="H8" s="88">
        <v>1</v>
      </c>
      <c r="I8" s="88">
        <v>1</v>
      </c>
      <c r="J8" s="88">
        <v>1</v>
      </c>
      <c r="K8" s="89">
        <f t="shared" si="1"/>
        <v>3</v>
      </c>
      <c r="L8" s="88">
        <v>0</v>
      </c>
      <c r="M8" s="88">
        <v>3</v>
      </c>
      <c r="N8" s="88">
        <v>0</v>
      </c>
      <c r="O8" s="88">
        <v>0</v>
      </c>
      <c r="P8" s="88">
        <v>0</v>
      </c>
      <c r="Q8" s="89">
        <f t="shared" si="2"/>
        <v>3</v>
      </c>
      <c r="R8" s="88"/>
      <c r="S8" s="88"/>
      <c r="T8" s="88"/>
      <c r="U8" s="88"/>
      <c r="V8" s="89">
        <f t="shared" si="3"/>
        <v>0</v>
      </c>
      <c r="W8" s="88">
        <v>0</v>
      </c>
      <c r="X8" s="88">
        <v>6</v>
      </c>
      <c r="Y8" s="88"/>
      <c r="Z8" s="88"/>
      <c r="AA8" s="89">
        <f t="shared" si="4"/>
        <v>6</v>
      </c>
      <c r="AB8" s="88"/>
      <c r="AC8" s="88"/>
      <c r="AD8" s="88"/>
      <c r="AE8" s="88"/>
      <c r="AF8" s="88"/>
      <c r="AG8" s="89">
        <f t="shared" si="5"/>
        <v>0</v>
      </c>
      <c r="AH8" s="88"/>
      <c r="AI8" s="88"/>
      <c r="AJ8" s="88"/>
      <c r="AK8" s="88"/>
      <c r="AL8" s="89">
        <f t="shared" si="6"/>
        <v>0</v>
      </c>
      <c r="AM8" s="88"/>
      <c r="AN8" s="88"/>
      <c r="AO8" s="88"/>
      <c r="AP8" s="88"/>
      <c r="AQ8" s="88"/>
      <c r="AR8" s="89">
        <f t="shared" si="7"/>
        <v>0</v>
      </c>
      <c r="AS8" s="88"/>
      <c r="AT8" s="88"/>
      <c r="AU8" s="88"/>
      <c r="AV8" s="88"/>
      <c r="AW8" s="89">
        <f t="shared" si="8"/>
        <v>0</v>
      </c>
      <c r="AX8" s="88"/>
      <c r="AY8" s="88"/>
      <c r="AZ8" s="88"/>
      <c r="BA8" s="88"/>
      <c r="BB8" s="89">
        <f t="shared" si="9"/>
        <v>0</v>
      </c>
      <c r="BC8" s="88"/>
      <c r="BD8" s="88"/>
      <c r="BE8" s="88"/>
      <c r="BF8" s="88"/>
      <c r="BG8" s="88"/>
      <c r="BH8" s="89">
        <f t="shared" si="10"/>
        <v>0</v>
      </c>
      <c r="BI8" s="88"/>
      <c r="BJ8" s="88"/>
      <c r="BK8" s="88"/>
      <c r="BL8" s="88"/>
      <c r="BM8" s="89">
        <f t="shared" si="11"/>
        <v>0</v>
      </c>
    </row>
    <row r="9" spans="1:65" ht="15.75" customHeight="1" x14ac:dyDescent="0.25">
      <c r="A9" s="92" t="s">
        <v>225</v>
      </c>
      <c r="B9" s="88">
        <v>0</v>
      </c>
      <c r="C9" s="88">
        <v>0</v>
      </c>
      <c r="D9" s="88">
        <v>0</v>
      </c>
      <c r="E9" s="88">
        <v>0</v>
      </c>
      <c r="F9" s="89">
        <f t="shared" si="0"/>
        <v>0</v>
      </c>
      <c r="G9" s="88">
        <v>0</v>
      </c>
      <c r="H9" s="88">
        <v>0</v>
      </c>
      <c r="I9" s="88">
        <v>0</v>
      </c>
      <c r="J9" s="88">
        <v>0</v>
      </c>
      <c r="K9" s="89">
        <f t="shared" si="1"/>
        <v>0</v>
      </c>
      <c r="L9" s="88">
        <v>1</v>
      </c>
      <c r="M9" s="88">
        <v>1</v>
      </c>
      <c r="N9" s="88">
        <v>0</v>
      </c>
      <c r="O9" s="88">
        <v>0</v>
      </c>
      <c r="P9" s="88">
        <v>0</v>
      </c>
      <c r="Q9" s="89">
        <f t="shared" si="2"/>
        <v>2</v>
      </c>
      <c r="R9" s="88"/>
      <c r="S9" s="88"/>
      <c r="T9" s="88"/>
      <c r="U9" s="88"/>
      <c r="V9" s="89">
        <f t="shared" si="3"/>
        <v>0</v>
      </c>
      <c r="W9" s="88">
        <v>0</v>
      </c>
      <c r="X9" s="88">
        <v>0</v>
      </c>
      <c r="Y9" s="88"/>
      <c r="Z9" s="88"/>
      <c r="AA9" s="89">
        <f t="shared" si="4"/>
        <v>0</v>
      </c>
      <c r="AB9" s="88"/>
      <c r="AC9" s="88"/>
      <c r="AD9" s="88"/>
      <c r="AE9" s="88"/>
      <c r="AF9" s="88"/>
      <c r="AG9" s="89">
        <f t="shared" si="5"/>
        <v>0</v>
      </c>
      <c r="AH9" s="88"/>
      <c r="AI9" s="88"/>
      <c r="AJ9" s="88"/>
      <c r="AK9" s="88"/>
      <c r="AL9" s="89">
        <f t="shared" si="6"/>
        <v>0</v>
      </c>
      <c r="AM9" s="88"/>
      <c r="AN9" s="88"/>
      <c r="AO9" s="88"/>
      <c r="AP9" s="88"/>
      <c r="AQ9" s="88"/>
      <c r="AR9" s="89">
        <f t="shared" si="7"/>
        <v>0</v>
      </c>
      <c r="AS9" s="88"/>
      <c r="AT9" s="88"/>
      <c r="AU9" s="88"/>
      <c r="AV9" s="88"/>
      <c r="AW9" s="89">
        <f t="shared" si="8"/>
        <v>0</v>
      </c>
      <c r="AX9" s="88"/>
      <c r="AY9" s="88"/>
      <c r="AZ9" s="88"/>
      <c r="BA9" s="88"/>
      <c r="BB9" s="89">
        <f t="shared" si="9"/>
        <v>0</v>
      </c>
      <c r="BC9" s="88"/>
      <c r="BD9" s="88"/>
      <c r="BE9" s="88"/>
      <c r="BF9" s="88"/>
      <c r="BG9" s="88"/>
      <c r="BH9" s="89">
        <f t="shared" si="10"/>
        <v>0</v>
      </c>
      <c r="BI9" s="88"/>
      <c r="BJ9" s="88"/>
      <c r="BK9" s="88"/>
      <c r="BL9" s="88"/>
      <c r="BM9" s="89">
        <f t="shared" si="11"/>
        <v>0</v>
      </c>
    </row>
    <row r="10" spans="1:65" ht="15.75" customHeight="1" x14ac:dyDescent="0.25">
      <c r="A10" s="92" t="s">
        <v>147</v>
      </c>
      <c r="B10" s="88">
        <v>0</v>
      </c>
      <c r="C10" s="88">
        <v>1</v>
      </c>
      <c r="D10" s="88">
        <v>0</v>
      </c>
      <c r="E10" s="88">
        <v>0</v>
      </c>
      <c r="F10" s="89">
        <f t="shared" si="0"/>
        <v>1</v>
      </c>
      <c r="G10" s="88">
        <v>0</v>
      </c>
      <c r="H10" s="88">
        <v>0</v>
      </c>
      <c r="I10" s="88">
        <v>1</v>
      </c>
      <c r="J10" s="88">
        <v>0</v>
      </c>
      <c r="K10" s="89">
        <f t="shared" si="1"/>
        <v>1</v>
      </c>
      <c r="L10" s="88">
        <v>1</v>
      </c>
      <c r="M10" s="88">
        <v>0</v>
      </c>
      <c r="N10" s="88">
        <v>1</v>
      </c>
      <c r="O10" s="88">
        <v>0</v>
      </c>
      <c r="P10" s="88">
        <v>0</v>
      </c>
      <c r="Q10" s="89">
        <f t="shared" si="2"/>
        <v>2</v>
      </c>
      <c r="R10" s="88"/>
      <c r="S10" s="88"/>
      <c r="T10" s="88"/>
      <c r="U10" s="88"/>
      <c r="V10" s="89">
        <f t="shared" si="3"/>
        <v>0</v>
      </c>
      <c r="W10" s="88">
        <v>0</v>
      </c>
      <c r="X10" s="88">
        <v>2</v>
      </c>
      <c r="Y10" s="88"/>
      <c r="Z10" s="88"/>
      <c r="AA10" s="89">
        <f t="shared" si="4"/>
        <v>2</v>
      </c>
      <c r="AB10" s="88"/>
      <c r="AC10" s="88"/>
      <c r="AD10" s="88"/>
      <c r="AE10" s="88"/>
      <c r="AF10" s="88"/>
      <c r="AG10" s="89">
        <f t="shared" si="5"/>
        <v>0</v>
      </c>
      <c r="AH10" s="88"/>
      <c r="AI10" s="88"/>
      <c r="AJ10" s="88"/>
      <c r="AK10" s="88"/>
      <c r="AL10" s="89">
        <f t="shared" si="6"/>
        <v>0</v>
      </c>
      <c r="AM10" s="88"/>
      <c r="AN10" s="88"/>
      <c r="AO10" s="88"/>
      <c r="AP10" s="88"/>
      <c r="AQ10" s="88"/>
      <c r="AR10" s="89">
        <f t="shared" si="7"/>
        <v>0</v>
      </c>
      <c r="AS10" s="88"/>
      <c r="AT10" s="88"/>
      <c r="AU10" s="88"/>
      <c r="AV10" s="88"/>
      <c r="AW10" s="89">
        <f t="shared" si="8"/>
        <v>0</v>
      </c>
      <c r="AX10" s="88"/>
      <c r="AY10" s="88"/>
      <c r="AZ10" s="88"/>
      <c r="BA10" s="88"/>
      <c r="BB10" s="89">
        <f t="shared" si="9"/>
        <v>0</v>
      </c>
      <c r="BC10" s="88"/>
      <c r="BD10" s="88"/>
      <c r="BE10" s="88"/>
      <c r="BF10" s="88"/>
      <c r="BG10" s="88"/>
      <c r="BH10" s="89">
        <f t="shared" si="10"/>
        <v>0</v>
      </c>
      <c r="BI10" s="88"/>
      <c r="BJ10" s="88"/>
      <c r="BK10" s="88"/>
      <c r="BL10" s="88"/>
      <c r="BM10" s="89">
        <f t="shared" si="11"/>
        <v>0</v>
      </c>
    </row>
    <row r="11" spans="1:65" ht="15.75" customHeight="1" x14ac:dyDescent="0.25">
      <c r="A11" s="92" t="s">
        <v>148</v>
      </c>
      <c r="B11" s="88">
        <v>1</v>
      </c>
      <c r="C11" s="88">
        <v>0</v>
      </c>
      <c r="D11" s="88">
        <v>0</v>
      </c>
      <c r="E11" s="88">
        <v>0</v>
      </c>
      <c r="F11" s="89">
        <f t="shared" si="0"/>
        <v>1</v>
      </c>
      <c r="G11" s="88">
        <v>1</v>
      </c>
      <c r="H11" s="88">
        <v>0</v>
      </c>
      <c r="I11" s="88">
        <v>0</v>
      </c>
      <c r="J11" s="88">
        <v>0</v>
      </c>
      <c r="K11" s="89">
        <f t="shared" si="1"/>
        <v>1</v>
      </c>
      <c r="L11" s="88">
        <v>1</v>
      </c>
      <c r="M11" s="88">
        <v>0</v>
      </c>
      <c r="N11" s="88">
        <v>0</v>
      </c>
      <c r="O11" s="88">
        <v>0</v>
      </c>
      <c r="P11" s="88">
        <v>0</v>
      </c>
      <c r="Q11" s="89">
        <f t="shared" si="2"/>
        <v>1</v>
      </c>
      <c r="R11" s="88"/>
      <c r="S11" s="88"/>
      <c r="T11" s="88"/>
      <c r="U11" s="88"/>
      <c r="V11" s="89">
        <f t="shared" si="3"/>
        <v>0</v>
      </c>
      <c r="W11" s="88">
        <v>0</v>
      </c>
      <c r="X11" s="88">
        <v>2</v>
      </c>
      <c r="Y11" s="88"/>
      <c r="Z11" s="88"/>
      <c r="AA11" s="89">
        <f t="shared" si="4"/>
        <v>2</v>
      </c>
      <c r="AB11" s="88"/>
      <c r="AC11" s="88"/>
      <c r="AD11" s="88"/>
      <c r="AE11" s="88"/>
      <c r="AF11" s="88"/>
      <c r="AG11" s="89">
        <f t="shared" si="5"/>
        <v>0</v>
      </c>
      <c r="AH11" s="88"/>
      <c r="AI11" s="88"/>
      <c r="AJ11" s="88"/>
      <c r="AK11" s="88"/>
      <c r="AL11" s="89">
        <f t="shared" si="6"/>
        <v>0</v>
      </c>
      <c r="AM11" s="88"/>
      <c r="AN11" s="88"/>
      <c r="AO11" s="88"/>
      <c r="AP11" s="88"/>
      <c r="AQ11" s="88"/>
      <c r="AR11" s="89">
        <f t="shared" si="7"/>
        <v>0</v>
      </c>
      <c r="AS11" s="88"/>
      <c r="AT11" s="88"/>
      <c r="AU11" s="88"/>
      <c r="AV11" s="88"/>
      <c r="AW11" s="89">
        <f t="shared" si="8"/>
        <v>0</v>
      </c>
      <c r="AX11" s="88"/>
      <c r="AY11" s="88"/>
      <c r="AZ11" s="88"/>
      <c r="BA11" s="88"/>
      <c r="BB11" s="89">
        <f t="shared" si="9"/>
        <v>0</v>
      </c>
      <c r="BC11" s="88"/>
      <c r="BD11" s="88"/>
      <c r="BE11" s="88"/>
      <c r="BF11" s="88"/>
      <c r="BG11" s="88"/>
      <c r="BH11" s="89">
        <f t="shared" si="10"/>
        <v>0</v>
      </c>
      <c r="BI11" s="88"/>
      <c r="BJ11" s="88"/>
      <c r="BK11" s="88"/>
      <c r="BL11" s="88"/>
      <c r="BM11" s="89">
        <f t="shared" si="11"/>
        <v>0</v>
      </c>
    </row>
    <row r="12" spans="1:65" ht="15.75" customHeight="1" x14ac:dyDescent="0.25">
      <c r="A12" s="93" t="s">
        <v>401</v>
      </c>
      <c r="B12" s="94">
        <f t="shared" ref="B12:AG12" si="12">SUM(B4:B7)</f>
        <v>90</v>
      </c>
      <c r="C12" s="94">
        <f t="shared" si="12"/>
        <v>630</v>
      </c>
      <c r="D12" s="94">
        <f t="shared" si="12"/>
        <v>80</v>
      </c>
      <c r="E12" s="94">
        <f t="shared" si="12"/>
        <v>260</v>
      </c>
      <c r="F12" s="94">
        <f t="shared" si="12"/>
        <v>1060</v>
      </c>
      <c r="G12" s="94">
        <f t="shared" si="12"/>
        <v>220</v>
      </c>
      <c r="H12" s="94">
        <f t="shared" si="12"/>
        <v>160</v>
      </c>
      <c r="I12" s="94">
        <f t="shared" si="12"/>
        <v>40</v>
      </c>
      <c r="J12" s="94">
        <f t="shared" si="12"/>
        <v>280</v>
      </c>
      <c r="K12" s="94">
        <f t="shared" si="12"/>
        <v>700</v>
      </c>
      <c r="L12" s="94">
        <f t="shared" si="12"/>
        <v>160</v>
      </c>
      <c r="M12" s="94">
        <f t="shared" si="12"/>
        <v>240</v>
      </c>
      <c r="N12" s="94">
        <f t="shared" si="12"/>
        <v>200</v>
      </c>
      <c r="O12" s="94">
        <f t="shared" si="12"/>
        <v>340</v>
      </c>
      <c r="P12" s="94">
        <f t="shared" si="12"/>
        <v>220</v>
      </c>
      <c r="Q12" s="94">
        <f t="shared" si="12"/>
        <v>1160</v>
      </c>
      <c r="R12" s="94">
        <f t="shared" si="12"/>
        <v>0</v>
      </c>
      <c r="S12" s="94">
        <f t="shared" si="12"/>
        <v>0</v>
      </c>
      <c r="T12" s="94">
        <f t="shared" si="12"/>
        <v>0</v>
      </c>
      <c r="U12" s="94">
        <f t="shared" si="12"/>
        <v>0</v>
      </c>
      <c r="V12" s="94">
        <f t="shared" si="12"/>
        <v>0</v>
      </c>
      <c r="W12" s="94">
        <f t="shared" si="12"/>
        <v>0</v>
      </c>
      <c r="X12" s="94">
        <f t="shared" si="12"/>
        <v>750</v>
      </c>
      <c r="Y12" s="94">
        <f t="shared" si="12"/>
        <v>0</v>
      </c>
      <c r="Z12" s="94">
        <f t="shared" si="12"/>
        <v>0</v>
      </c>
      <c r="AA12" s="94">
        <f t="shared" si="12"/>
        <v>750</v>
      </c>
      <c r="AB12" s="94">
        <f t="shared" si="12"/>
        <v>0</v>
      </c>
      <c r="AC12" s="94">
        <f t="shared" si="12"/>
        <v>0</v>
      </c>
      <c r="AD12" s="94">
        <f t="shared" si="12"/>
        <v>0</v>
      </c>
      <c r="AE12" s="94">
        <f t="shared" si="12"/>
        <v>0</v>
      </c>
      <c r="AF12" s="94">
        <f t="shared" si="12"/>
        <v>0</v>
      </c>
      <c r="AG12" s="94">
        <f t="shared" si="12"/>
        <v>0</v>
      </c>
      <c r="AH12" s="94">
        <f t="shared" ref="AH12:BM12" si="13">SUM(AH4:AH7)</f>
        <v>0</v>
      </c>
      <c r="AI12" s="94">
        <f t="shared" si="13"/>
        <v>0</v>
      </c>
      <c r="AJ12" s="94">
        <f t="shared" si="13"/>
        <v>0</v>
      </c>
      <c r="AK12" s="94">
        <f t="shared" si="13"/>
        <v>0</v>
      </c>
      <c r="AL12" s="94">
        <f t="shared" si="13"/>
        <v>0</v>
      </c>
      <c r="AM12" s="94">
        <f t="shared" si="13"/>
        <v>0</v>
      </c>
      <c r="AN12" s="94">
        <f t="shared" si="13"/>
        <v>0</v>
      </c>
      <c r="AO12" s="94">
        <f t="shared" si="13"/>
        <v>0</v>
      </c>
      <c r="AP12" s="94">
        <f t="shared" si="13"/>
        <v>0</v>
      </c>
      <c r="AQ12" s="94">
        <f t="shared" si="13"/>
        <v>0</v>
      </c>
      <c r="AR12" s="94">
        <f t="shared" si="13"/>
        <v>0</v>
      </c>
      <c r="AS12" s="94">
        <f t="shared" si="13"/>
        <v>0</v>
      </c>
      <c r="AT12" s="94">
        <f t="shared" si="13"/>
        <v>0</v>
      </c>
      <c r="AU12" s="94">
        <f t="shared" si="13"/>
        <v>0</v>
      </c>
      <c r="AV12" s="94">
        <f t="shared" si="13"/>
        <v>0</v>
      </c>
      <c r="AW12" s="94">
        <f t="shared" si="13"/>
        <v>0</v>
      </c>
      <c r="AX12" s="94">
        <f t="shared" si="13"/>
        <v>0</v>
      </c>
      <c r="AY12" s="94">
        <f t="shared" si="13"/>
        <v>0</v>
      </c>
      <c r="AZ12" s="94">
        <f t="shared" si="13"/>
        <v>0</v>
      </c>
      <c r="BA12" s="94">
        <f t="shared" si="13"/>
        <v>0</v>
      </c>
      <c r="BB12" s="94">
        <f t="shared" si="13"/>
        <v>0</v>
      </c>
      <c r="BC12" s="94">
        <f t="shared" si="13"/>
        <v>0</v>
      </c>
      <c r="BD12" s="94">
        <f t="shared" si="13"/>
        <v>0</v>
      </c>
      <c r="BE12" s="94">
        <f t="shared" si="13"/>
        <v>0</v>
      </c>
      <c r="BF12" s="94">
        <f t="shared" si="13"/>
        <v>0</v>
      </c>
      <c r="BG12" s="94">
        <f t="shared" si="13"/>
        <v>0</v>
      </c>
      <c r="BH12" s="94">
        <f t="shared" si="13"/>
        <v>0</v>
      </c>
      <c r="BI12" s="94">
        <f t="shared" si="13"/>
        <v>0</v>
      </c>
      <c r="BJ12" s="94">
        <f t="shared" si="13"/>
        <v>0</v>
      </c>
      <c r="BK12" s="94">
        <f t="shared" si="13"/>
        <v>0</v>
      </c>
      <c r="BL12" s="94">
        <f t="shared" si="13"/>
        <v>0</v>
      </c>
      <c r="BM12" s="94">
        <f t="shared" si="13"/>
        <v>0</v>
      </c>
    </row>
    <row r="14" spans="1:65" ht="18" customHeight="1" x14ac:dyDescent="0.25">
      <c r="A14" s="505" t="s">
        <v>542</v>
      </c>
      <c r="B14" s="506"/>
      <c r="C14" s="506"/>
      <c r="D14" s="506"/>
      <c r="E14" s="506"/>
      <c r="F14" s="506"/>
      <c r="G14" s="506"/>
      <c r="H14" s="506"/>
      <c r="I14" s="506"/>
      <c r="J14" s="506"/>
      <c r="K14" s="506"/>
      <c r="L14" s="506"/>
      <c r="M14" s="506"/>
      <c r="N14" s="506"/>
      <c r="O14" s="506"/>
      <c r="P14" s="506"/>
      <c r="Q14" s="506"/>
      <c r="R14" s="506"/>
      <c r="S14" s="506"/>
      <c r="T14" s="506"/>
      <c r="U14" s="506"/>
      <c r="V14" s="506"/>
      <c r="W14" s="506"/>
      <c r="X14" s="506"/>
      <c r="Y14" s="506"/>
      <c r="Z14" s="506"/>
      <c r="AA14" s="506"/>
      <c r="AB14" s="506"/>
      <c r="AC14" s="506"/>
      <c r="AD14" s="506"/>
      <c r="AE14" s="506"/>
      <c r="AF14" s="506"/>
      <c r="AG14" s="506"/>
      <c r="AH14" s="506"/>
      <c r="AI14" s="506"/>
      <c r="AJ14" s="506"/>
      <c r="AK14" s="506"/>
      <c r="AL14" s="506"/>
      <c r="AM14" s="506"/>
      <c r="AN14" s="506"/>
      <c r="AO14" s="506"/>
      <c r="AP14" s="506"/>
      <c r="AQ14" s="506"/>
      <c r="AR14" s="506"/>
      <c r="AS14" s="506"/>
      <c r="AT14" s="506"/>
      <c r="AU14" s="506"/>
      <c r="AV14" s="506"/>
      <c r="AW14" s="506"/>
      <c r="AX14" s="506"/>
      <c r="AY14" s="506"/>
      <c r="AZ14" s="506"/>
      <c r="BA14" s="506"/>
      <c r="BB14" s="506"/>
      <c r="BC14" s="506"/>
      <c r="BD14" s="506"/>
      <c r="BE14" s="506"/>
      <c r="BF14" s="506"/>
      <c r="BG14" s="506"/>
      <c r="BH14" s="506"/>
      <c r="BI14" s="506"/>
      <c r="BJ14" s="506"/>
      <c r="BK14" s="506"/>
      <c r="BL14" s="506"/>
      <c r="BM14" s="506"/>
    </row>
    <row r="15" spans="1:65" ht="18" customHeight="1" x14ac:dyDescent="0.25">
      <c r="A15" s="503" t="s">
        <v>181</v>
      </c>
      <c r="B15" s="503" t="s">
        <v>389</v>
      </c>
      <c r="C15" s="485"/>
      <c r="D15" s="485"/>
      <c r="E15" s="485"/>
      <c r="F15" s="486"/>
      <c r="G15" s="503" t="s">
        <v>390</v>
      </c>
      <c r="H15" s="485"/>
      <c r="I15" s="485"/>
      <c r="J15" s="485"/>
      <c r="K15" s="486"/>
      <c r="L15" s="503" t="s">
        <v>391</v>
      </c>
      <c r="M15" s="485"/>
      <c r="N15" s="485"/>
      <c r="O15" s="485"/>
      <c r="P15" s="485"/>
      <c r="Q15" s="486"/>
      <c r="R15" s="503" t="s">
        <v>413</v>
      </c>
      <c r="S15" s="485"/>
      <c r="T15" s="485"/>
      <c r="U15" s="485"/>
      <c r="V15" s="486"/>
      <c r="W15" s="503" t="s">
        <v>414</v>
      </c>
      <c r="X15" s="485"/>
      <c r="Y15" s="485"/>
      <c r="Z15" s="485"/>
      <c r="AA15" s="486"/>
      <c r="AB15" s="503" t="s">
        <v>543</v>
      </c>
      <c r="AC15" s="485"/>
      <c r="AD15" s="485"/>
      <c r="AE15" s="485"/>
      <c r="AF15" s="485"/>
      <c r="AG15" s="486"/>
      <c r="AH15" s="503" t="s">
        <v>544</v>
      </c>
      <c r="AI15" s="485"/>
      <c r="AJ15" s="485"/>
      <c r="AK15" s="485"/>
      <c r="AL15" s="486"/>
      <c r="AM15" s="503" t="s">
        <v>545</v>
      </c>
      <c r="AN15" s="485"/>
      <c r="AO15" s="485"/>
      <c r="AP15" s="485"/>
      <c r="AQ15" s="485"/>
      <c r="AR15" s="486"/>
      <c r="AS15" s="503" t="s">
        <v>546</v>
      </c>
      <c r="AT15" s="485"/>
      <c r="AU15" s="485"/>
      <c r="AV15" s="485"/>
      <c r="AW15" s="486"/>
      <c r="AX15" s="503" t="s">
        <v>547</v>
      </c>
      <c r="AY15" s="485"/>
      <c r="AZ15" s="485"/>
      <c r="BA15" s="485"/>
      <c r="BB15" s="486"/>
      <c r="BC15" s="503" t="s">
        <v>548</v>
      </c>
      <c r="BD15" s="485"/>
      <c r="BE15" s="485"/>
      <c r="BF15" s="485"/>
      <c r="BG15" s="485"/>
      <c r="BH15" s="486"/>
      <c r="BI15" s="503" t="s">
        <v>388</v>
      </c>
      <c r="BJ15" s="485"/>
      <c r="BK15" s="485"/>
      <c r="BL15" s="485"/>
      <c r="BM15" s="486"/>
    </row>
    <row r="16" spans="1:65" ht="15.75" customHeight="1" x14ac:dyDescent="0.25">
      <c r="A16" s="487"/>
      <c r="B16" s="85">
        <v>46027</v>
      </c>
      <c r="C16" s="85">
        <v>46034</v>
      </c>
      <c r="D16" s="85">
        <v>46041</v>
      </c>
      <c r="E16" s="85">
        <v>46048</v>
      </c>
      <c r="F16" s="86" t="s">
        <v>129</v>
      </c>
      <c r="G16" s="85">
        <v>46055</v>
      </c>
      <c r="H16" s="85">
        <v>46062</v>
      </c>
      <c r="I16" s="85">
        <v>46069</v>
      </c>
      <c r="J16" s="85">
        <v>46076</v>
      </c>
      <c r="K16" s="86" t="s">
        <v>129</v>
      </c>
      <c r="L16" s="85">
        <v>46083</v>
      </c>
      <c r="M16" s="85">
        <v>46090</v>
      </c>
      <c r="N16" s="85">
        <v>46097</v>
      </c>
      <c r="O16" s="85">
        <v>46104</v>
      </c>
      <c r="P16" s="85">
        <v>46111</v>
      </c>
      <c r="Q16" s="86" t="s">
        <v>129</v>
      </c>
      <c r="R16" s="85">
        <v>46118</v>
      </c>
      <c r="S16" s="85">
        <v>46125</v>
      </c>
      <c r="T16" s="85">
        <v>46132</v>
      </c>
      <c r="U16" s="85">
        <v>46139</v>
      </c>
      <c r="V16" s="86" t="s">
        <v>129</v>
      </c>
      <c r="W16" s="85">
        <v>46146</v>
      </c>
      <c r="X16" s="85">
        <v>46153</v>
      </c>
      <c r="Y16" s="85">
        <v>46160</v>
      </c>
      <c r="Z16" s="85">
        <v>46167</v>
      </c>
      <c r="AA16" s="86" t="s">
        <v>129</v>
      </c>
      <c r="AB16" s="85">
        <v>46174</v>
      </c>
      <c r="AC16" s="85">
        <v>46181</v>
      </c>
      <c r="AD16" s="85">
        <v>46188</v>
      </c>
      <c r="AE16" s="85">
        <v>46195</v>
      </c>
      <c r="AF16" s="85">
        <v>46202</v>
      </c>
      <c r="AG16" s="86" t="s">
        <v>129</v>
      </c>
      <c r="AH16" s="85">
        <v>46209</v>
      </c>
      <c r="AI16" s="85">
        <v>46216</v>
      </c>
      <c r="AJ16" s="85">
        <v>46223</v>
      </c>
      <c r="AK16" s="85">
        <v>46230</v>
      </c>
      <c r="AL16" s="86" t="s">
        <v>129</v>
      </c>
      <c r="AM16" s="85">
        <v>46237</v>
      </c>
      <c r="AN16" s="85">
        <v>46244</v>
      </c>
      <c r="AO16" s="85">
        <v>46251</v>
      </c>
      <c r="AP16" s="85">
        <v>46258</v>
      </c>
      <c r="AQ16" s="85">
        <v>46265</v>
      </c>
      <c r="AR16" s="86" t="s">
        <v>129</v>
      </c>
      <c r="AS16" s="85">
        <v>46272</v>
      </c>
      <c r="AT16" s="85">
        <v>46279</v>
      </c>
      <c r="AU16" s="85">
        <v>46286</v>
      </c>
      <c r="AV16" s="85">
        <v>46293</v>
      </c>
      <c r="AW16" s="86" t="s">
        <v>129</v>
      </c>
      <c r="AX16" s="85">
        <v>46300</v>
      </c>
      <c r="AY16" s="85">
        <v>46307</v>
      </c>
      <c r="AZ16" s="85">
        <v>46314</v>
      </c>
      <c r="BA16" s="85">
        <v>46321</v>
      </c>
      <c r="BB16" s="86" t="s">
        <v>129</v>
      </c>
      <c r="BC16" s="85">
        <v>46328</v>
      </c>
      <c r="BD16" s="85">
        <v>46335</v>
      </c>
      <c r="BE16" s="85">
        <v>46342</v>
      </c>
      <c r="BF16" s="85">
        <v>46349</v>
      </c>
      <c r="BG16" s="85">
        <v>46356</v>
      </c>
      <c r="BH16" s="86" t="s">
        <v>129</v>
      </c>
      <c r="BI16" s="85">
        <v>46363</v>
      </c>
      <c r="BJ16" s="85">
        <v>46370</v>
      </c>
      <c r="BK16" s="85">
        <v>46377</v>
      </c>
      <c r="BL16" s="85">
        <v>46384</v>
      </c>
      <c r="BM16" s="86" t="s">
        <v>129</v>
      </c>
    </row>
    <row r="17" spans="1:65" ht="15.75" customHeight="1" x14ac:dyDescent="0.25">
      <c r="A17" s="90" t="s">
        <v>132</v>
      </c>
      <c r="B17" s="88">
        <v>147</v>
      </c>
      <c r="C17" s="88">
        <v>53</v>
      </c>
      <c r="D17" s="88">
        <v>17</v>
      </c>
      <c r="E17" s="88">
        <v>80</v>
      </c>
      <c r="F17" s="89">
        <f t="shared" ref="F17:F24" si="14">B17+C17+D17+E17</f>
        <v>297</v>
      </c>
      <c r="G17" s="88">
        <v>0</v>
      </c>
      <c r="H17" s="88">
        <v>50</v>
      </c>
      <c r="I17" s="88">
        <v>70</v>
      </c>
      <c r="J17" s="88">
        <v>0</v>
      </c>
      <c r="K17" s="89">
        <f t="shared" ref="K17:K24" si="15">G17+H17+I17+J17</f>
        <v>120</v>
      </c>
      <c r="L17" s="88">
        <v>50</v>
      </c>
      <c r="M17" s="88">
        <v>50</v>
      </c>
      <c r="N17" s="88">
        <v>50</v>
      </c>
      <c r="O17" s="88">
        <v>30</v>
      </c>
      <c r="P17" s="88">
        <v>80</v>
      </c>
      <c r="Q17" s="89">
        <f t="shared" ref="Q17:Q24" si="16">L17+M17+N17+O17+P17</f>
        <v>260</v>
      </c>
      <c r="R17" s="88"/>
      <c r="S17" s="88"/>
      <c r="T17" s="88"/>
      <c r="U17" s="88"/>
      <c r="V17" s="89">
        <f t="shared" ref="V17:V24" si="17">R17+S17+T17+U17</f>
        <v>0</v>
      </c>
      <c r="W17" s="88">
        <v>20</v>
      </c>
      <c r="X17" s="88">
        <v>0</v>
      </c>
      <c r="Y17" s="88"/>
      <c r="Z17" s="88"/>
      <c r="AA17" s="89">
        <f t="shared" ref="AA17:AA24" si="18">W17+X17+Y17+Z17</f>
        <v>20</v>
      </c>
      <c r="AB17" s="88"/>
      <c r="AC17" s="88"/>
      <c r="AD17" s="88"/>
      <c r="AE17" s="88"/>
      <c r="AF17" s="88"/>
      <c r="AG17" s="89">
        <f t="shared" ref="AG17:AG24" si="19">AB17+AC17+AD17+AE17+AF17</f>
        <v>0</v>
      </c>
      <c r="AH17" s="88"/>
      <c r="AI17" s="88"/>
      <c r="AJ17" s="88"/>
      <c r="AK17" s="88"/>
      <c r="AL17" s="89">
        <f t="shared" ref="AL17:AL24" si="20">AH17+AI17+AJ17+AK17</f>
        <v>0</v>
      </c>
      <c r="AM17" s="88"/>
      <c r="AN17" s="88"/>
      <c r="AO17" s="88"/>
      <c r="AP17" s="88"/>
      <c r="AQ17" s="88"/>
      <c r="AR17" s="89">
        <f t="shared" ref="AR17:AR24" si="21">AM17+AN17+AO17+AP17+AQ17</f>
        <v>0</v>
      </c>
      <c r="AS17" s="88"/>
      <c r="AT17" s="88"/>
      <c r="AU17" s="88"/>
      <c r="AV17" s="88"/>
      <c r="AW17" s="89">
        <f t="shared" ref="AW17:AW24" si="22">AS17+AT17+AU17+AV17</f>
        <v>0</v>
      </c>
      <c r="AX17" s="88"/>
      <c r="AY17" s="88"/>
      <c r="AZ17" s="88"/>
      <c r="BA17" s="88"/>
      <c r="BB17" s="89">
        <f t="shared" ref="BB17:BB24" si="23">AX17+AY17+AZ17+BA17</f>
        <v>0</v>
      </c>
      <c r="BC17" s="88"/>
      <c r="BD17" s="88"/>
      <c r="BE17" s="88"/>
      <c r="BF17" s="88"/>
      <c r="BG17" s="88"/>
      <c r="BH17" s="89">
        <f t="shared" ref="BH17:BH24" si="24">BC17+BD17+BE17+BF17+BG17</f>
        <v>0</v>
      </c>
      <c r="BI17" s="88"/>
      <c r="BJ17" s="88"/>
      <c r="BK17" s="88"/>
      <c r="BL17" s="88"/>
      <c r="BM17" s="89">
        <f t="shared" ref="BM17:BM24" si="25">BI17+BJ17+BK17+BL17</f>
        <v>0</v>
      </c>
    </row>
    <row r="18" spans="1:65" ht="15.75" customHeight="1" x14ac:dyDescent="0.25">
      <c r="A18" s="90" t="s">
        <v>549</v>
      </c>
      <c r="B18" s="88">
        <v>90</v>
      </c>
      <c r="C18" s="88">
        <v>170</v>
      </c>
      <c r="D18" s="88">
        <v>180</v>
      </c>
      <c r="E18" s="88">
        <v>180</v>
      </c>
      <c r="F18" s="89">
        <f t="shared" si="14"/>
        <v>620</v>
      </c>
      <c r="G18" s="88">
        <v>40</v>
      </c>
      <c r="H18" s="88">
        <v>20</v>
      </c>
      <c r="I18" s="88">
        <v>320</v>
      </c>
      <c r="J18" s="88">
        <v>60</v>
      </c>
      <c r="K18" s="89">
        <f t="shared" si="15"/>
        <v>440</v>
      </c>
      <c r="L18" s="88">
        <v>140</v>
      </c>
      <c r="M18" s="88">
        <v>180</v>
      </c>
      <c r="N18" s="88">
        <v>120</v>
      </c>
      <c r="O18" s="88">
        <v>100</v>
      </c>
      <c r="P18" s="88">
        <v>140</v>
      </c>
      <c r="Q18" s="89">
        <f t="shared" si="16"/>
        <v>680</v>
      </c>
      <c r="R18" s="88"/>
      <c r="S18" s="88"/>
      <c r="T18" s="88"/>
      <c r="U18" s="88"/>
      <c r="V18" s="89">
        <f t="shared" si="17"/>
        <v>0</v>
      </c>
      <c r="W18" s="88">
        <v>0</v>
      </c>
      <c r="X18" s="88">
        <v>280</v>
      </c>
      <c r="Y18" s="88"/>
      <c r="Z18" s="88"/>
      <c r="AA18" s="89">
        <f t="shared" si="18"/>
        <v>280</v>
      </c>
      <c r="AB18" s="88"/>
      <c r="AC18" s="88"/>
      <c r="AD18" s="88"/>
      <c r="AE18" s="88"/>
      <c r="AF18" s="88"/>
      <c r="AG18" s="89">
        <f t="shared" si="19"/>
        <v>0</v>
      </c>
      <c r="AH18" s="88"/>
      <c r="AI18" s="88"/>
      <c r="AJ18" s="88"/>
      <c r="AK18" s="88"/>
      <c r="AL18" s="89">
        <f t="shared" si="20"/>
        <v>0</v>
      </c>
      <c r="AM18" s="88"/>
      <c r="AN18" s="88"/>
      <c r="AO18" s="88"/>
      <c r="AP18" s="88"/>
      <c r="AQ18" s="88"/>
      <c r="AR18" s="89">
        <f t="shared" si="21"/>
        <v>0</v>
      </c>
      <c r="AS18" s="88"/>
      <c r="AT18" s="88"/>
      <c r="AU18" s="88"/>
      <c r="AV18" s="88"/>
      <c r="AW18" s="89">
        <f t="shared" si="22"/>
        <v>0</v>
      </c>
      <c r="AX18" s="88"/>
      <c r="AY18" s="88"/>
      <c r="AZ18" s="88"/>
      <c r="BA18" s="88"/>
      <c r="BB18" s="89">
        <f t="shared" si="23"/>
        <v>0</v>
      </c>
      <c r="BC18" s="88"/>
      <c r="BD18" s="88"/>
      <c r="BE18" s="88"/>
      <c r="BF18" s="88"/>
      <c r="BG18" s="88"/>
      <c r="BH18" s="89">
        <f t="shared" si="24"/>
        <v>0</v>
      </c>
      <c r="BI18" s="88"/>
      <c r="BJ18" s="88"/>
      <c r="BK18" s="88"/>
      <c r="BL18" s="88"/>
      <c r="BM18" s="89">
        <f t="shared" si="25"/>
        <v>0</v>
      </c>
    </row>
    <row r="19" spans="1:65" ht="15.75" customHeight="1" x14ac:dyDescent="0.25">
      <c r="A19" s="90" t="s">
        <v>137</v>
      </c>
      <c r="B19" s="88">
        <v>37</v>
      </c>
      <c r="C19" s="88">
        <v>80</v>
      </c>
      <c r="D19" s="88">
        <v>50</v>
      </c>
      <c r="E19" s="88">
        <v>70</v>
      </c>
      <c r="F19" s="89">
        <f t="shared" si="14"/>
        <v>237</v>
      </c>
      <c r="G19" s="88">
        <v>80</v>
      </c>
      <c r="H19" s="88">
        <v>80</v>
      </c>
      <c r="I19" s="88">
        <v>100</v>
      </c>
      <c r="J19" s="88">
        <v>60</v>
      </c>
      <c r="K19" s="89">
        <f t="shared" si="15"/>
        <v>320</v>
      </c>
      <c r="L19" s="88">
        <v>80</v>
      </c>
      <c r="M19" s="88">
        <v>60</v>
      </c>
      <c r="N19" s="88">
        <v>100</v>
      </c>
      <c r="O19" s="88">
        <v>60</v>
      </c>
      <c r="P19" s="88">
        <v>60</v>
      </c>
      <c r="Q19" s="89">
        <f t="shared" si="16"/>
        <v>360</v>
      </c>
      <c r="R19" s="88"/>
      <c r="S19" s="88"/>
      <c r="T19" s="88"/>
      <c r="U19" s="88"/>
      <c r="V19" s="89">
        <f t="shared" si="17"/>
        <v>0</v>
      </c>
      <c r="W19" s="88">
        <v>0</v>
      </c>
      <c r="X19" s="88">
        <v>88</v>
      </c>
      <c r="Y19" s="88"/>
      <c r="Z19" s="88"/>
      <c r="AA19" s="89">
        <f t="shared" si="18"/>
        <v>88</v>
      </c>
      <c r="AB19" s="88"/>
      <c r="AC19" s="88"/>
      <c r="AD19" s="88"/>
      <c r="AE19" s="88"/>
      <c r="AF19" s="88"/>
      <c r="AG19" s="89">
        <f t="shared" si="19"/>
        <v>0</v>
      </c>
      <c r="AH19" s="88"/>
      <c r="AI19" s="88"/>
      <c r="AJ19" s="88"/>
      <c r="AK19" s="88"/>
      <c r="AL19" s="89">
        <f t="shared" si="20"/>
        <v>0</v>
      </c>
      <c r="AM19" s="88"/>
      <c r="AN19" s="88"/>
      <c r="AO19" s="88"/>
      <c r="AP19" s="88"/>
      <c r="AQ19" s="88"/>
      <c r="AR19" s="89">
        <f t="shared" si="21"/>
        <v>0</v>
      </c>
      <c r="AS19" s="88"/>
      <c r="AT19" s="88"/>
      <c r="AU19" s="88"/>
      <c r="AV19" s="88"/>
      <c r="AW19" s="89">
        <f t="shared" si="22"/>
        <v>0</v>
      </c>
      <c r="AX19" s="88"/>
      <c r="AY19" s="88"/>
      <c r="AZ19" s="88"/>
      <c r="BA19" s="88"/>
      <c r="BB19" s="89">
        <f t="shared" si="23"/>
        <v>0</v>
      </c>
      <c r="BC19" s="88"/>
      <c r="BD19" s="88"/>
      <c r="BE19" s="88"/>
      <c r="BF19" s="88"/>
      <c r="BG19" s="88"/>
      <c r="BH19" s="89">
        <f t="shared" si="24"/>
        <v>0</v>
      </c>
      <c r="BI19" s="88"/>
      <c r="BJ19" s="88"/>
      <c r="BK19" s="88"/>
      <c r="BL19" s="88"/>
      <c r="BM19" s="89">
        <f t="shared" si="25"/>
        <v>0</v>
      </c>
    </row>
    <row r="20" spans="1:65" ht="15.75" customHeight="1" x14ac:dyDescent="0.25">
      <c r="A20" s="91" t="s">
        <v>550</v>
      </c>
      <c r="B20" s="88">
        <v>0</v>
      </c>
      <c r="C20" s="88">
        <v>45</v>
      </c>
      <c r="D20" s="88">
        <v>24</v>
      </c>
      <c r="E20" s="88">
        <v>20</v>
      </c>
      <c r="F20" s="89">
        <f t="shared" si="14"/>
        <v>89</v>
      </c>
      <c r="G20" s="88">
        <v>20</v>
      </c>
      <c r="H20" s="88">
        <v>0</v>
      </c>
      <c r="I20" s="88">
        <v>0</v>
      </c>
      <c r="J20" s="88">
        <v>15</v>
      </c>
      <c r="K20" s="89">
        <f t="shared" si="15"/>
        <v>35</v>
      </c>
      <c r="L20" s="88">
        <v>40</v>
      </c>
      <c r="M20" s="88">
        <v>0</v>
      </c>
      <c r="N20" s="88">
        <v>0</v>
      </c>
      <c r="O20" s="88">
        <v>0</v>
      </c>
      <c r="P20" s="88">
        <v>0</v>
      </c>
      <c r="Q20" s="89">
        <f t="shared" si="16"/>
        <v>40</v>
      </c>
      <c r="R20" s="88"/>
      <c r="S20" s="88"/>
      <c r="T20" s="88"/>
      <c r="U20" s="88"/>
      <c r="V20" s="89">
        <f t="shared" si="17"/>
        <v>0</v>
      </c>
      <c r="W20" s="88">
        <v>0</v>
      </c>
      <c r="X20" s="88">
        <v>160</v>
      </c>
      <c r="Y20" s="88"/>
      <c r="Z20" s="88"/>
      <c r="AA20" s="89">
        <f t="shared" si="18"/>
        <v>160</v>
      </c>
      <c r="AB20" s="88"/>
      <c r="AC20" s="88"/>
      <c r="AD20" s="88"/>
      <c r="AE20" s="88"/>
      <c r="AF20" s="88"/>
      <c r="AG20" s="89">
        <f t="shared" si="19"/>
        <v>0</v>
      </c>
      <c r="AH20" s="88"/>
      <c r="AI20" s="88"/>
      <c r="AJ20" s="88"/>
      <c r="AK20" s="88"/>
      <c r="AL20" s="89">
        <f t="shared" si="20"/>
        <v>0</v>
      </c>
      <c r="AM20" s="88"/>
      <c r="AN20" s="88"/>
      <c r="AO20" s="88"/>
      <c r="AP20" s="88"/>
      <c r="AQ20" s="88"/>
      <c r="AR20" s="89">
        <f t="shared" si="21"/>
        <v>0</v>
      </c>
      <c r="AS20" s="88"/>
      <c r="AT20" s="88"/>
      <c r="AU20" s="88"/>
      <c r="AV20" s="88"/>
      <c r="AW20" s="89">
        <f t="shared" si="22"/>
        <v>0</v>
      </c>
      <c r="AX20" s="88"/>
      <c r="AY20" s="88"/>
      <c r="AZ20" s="88"/>
      <c r="BA20" s="88"/>
      <c r="BB20" s="89">
        <f t="shared" si="23"/>
        <v>0</v>
      </c>
      <c r="BC20" s="88"/>
      <c r="BD20" s="88"/>
      <c r="BE20" s="88"/>
      <c r="BF20" s="88"/>
      <c r="BG20" s="88"/>
      <c r="BH20" s="89">
        <f t="shared" si="24"/>
        <v>0</v>
      </c>
      <c r="BI20" s="88"/>
      <c r="BJ20" s="88"/>
      <c r="BK20" s="88"/>
      <c r="BL20" s="88"/>
      <c r="BM20" s="89">
        <f t="shared" si="25"/>
        <v>0</v>
      </c>
    </row>
    <row r="21" spans="1:65" ht="15.75" customHeight="1" x14ac:dyDescent="0.25">
      <c r="A21" s="92" t="s">
        <v>224</v>
      </c>
      <c r="B21" s="88">
        <v>0</v>
      </c>
      <c r="C21" s="88">
        <v>0</v>
      </c>
      <c r="D21" s="88">
        <v>0</v>
      </c>
      <c r="E21" s="88">
        <v>0</v>
      </c>
      <c r="F21" s="89">
        <f t="shared" si="14"/>
        <v>0</v>
      </c>
      <c r="G21" s="88">
        <v>2</v>
      </c>
      <c r="H21" s="88">
        <v>2</v>
      </c>
      <c r="I21" s="88">
        <v>1</v>
      </c>
      <c r="J21" s="88">
        <v>0</v>
      </c>
      <c r="K21" s="89">
        <f t="shared" si="15"/>
        <v>5</v>
      </c>
      <c r="L21" s="88">
        <v>2</v>
      </c>
      <c r="M21" s="88">
        <v>1</v>
      </c>
      <c r="N21" s="88">
        <v>0</v>
      </c>
      <c r="O21" s="88">
        <v>1</v>
      </c>
      <c r="P21" s="88">
        <v>0</v>
      </c>
      <c r="Q21" s="89">
        <f t="shared" si="16"/>
        <v>4</v>
      </c>
      <c r="R21" s="88"/>
      <c r="S21" s="88"/>
      <c r="T21" s="88"/>
      <c r="U21" s="88"/>
      <c r="V21" s="89">
        <f t="shared" si="17"/>
        <v>0</v>
      </c>
      <c r="W21" s="88">
        <v>0</v>
      </c>
      <c r="X21" s="88">
        <v>5</v>
      </c>
      <c r="Y21" s="88"/>
      <c r="Z21" s="88"/>
      <c r="AA21" s="89">
        <f t="shared" si="18"/>
        <v>5</v>
      </c>
      <c r="AB21" s="88"/>
      <c r="AC21" s="88"/>
      <c r="AD21" s="88"/>
      <c r="AE21" s="88"/>
      <c r="AF21" s="88"/>
      <c r="AG21" s="89">
        <f t="shared" si="19"/>
        <v>0</v>
      </c>
      <c r="AH21" s="88"/>
      <c r="AI21" s="88"/>
      <c r="AJ21" s="88"/>
      <c r="AK21" s="88"/>
      <c r="AL21" s="89">
        <f t="shared" si="20"/>
        <v>0</v>
      </c>
      <c r="AM21" s="88"/>
      <c r="AN21" s="88"/>
      <c r="AO21" s="88"/>
      <c r="AP21" s="88"/>
      <c r="AQ21" s="88"/>
      <c r="AR21" s="89">
        <f t="shared" si="21"/>
        <v>0</v>
      </c>
      <c r="AS21" s="88"/>
      <c r="AT21" s="88"/>
      <c r="AU21" s="88"/>
      <c r="AV21" s="88"/>
      <c r="AW21" s="89">
        <f t="shared" si="22"/>
        <v>0</v>
      </c>
      <c r="AX21" s="88"/>
      <c r="AY21" s="88"/>
      <c r="AZ21" s="88"/>
      <c r="BA21" s="88"/>
      <c r="BB21" s="89">
        <f t="shared" si="23"/>
        <v>0</v>
      </c>
      <c r="BC21" s="88"/>
      <c r="BD21" s="88"/>
      <c r="BE21" s="88"/>
      <c r="BF21" s="88"/>
      <c r="BG21" s="88"/>
      <c r="BH21" s="89">
        <f t="shared" si="24"/>
        <v>0</v>
      </c>
      <c r="BI21" s="88"/>
      <c r="BJ21" s="88"/>
      <c r="BK21" s="88"/>
      <c r="BL21" s="88"/>
      <c r="BM21" s="89">
        <f t="shared" si="25"/>
        <v>0</v>
      </c>
    </row>
    <row r="22" spans="1:65" ht="15.75" customHeight="1" x14ac:dyDescent="0.25">
      <c r="A22" s="92" t="s">
        <v>225</v>
      </c>
      <c r="B22" s="88">
        <v>0</v>
      </c>
      <c r="C22" s="88">
        <v>0</v>
      </c>
      <c r="D22" s="88">
        <v>0</v>
      </c>
      <c r="E22" s="88">
        <v>0</v>
      </c>
      <c r="F22" s="89">
        <f t="shared" si="14"/>
        <v>0</v>
      </c>
      <c r="G22" s="88">
        <v>0</v>
      </c>
      <c r="H22" s="88">
        <v>0</v>
      </c>
      <c r="I22" s="88">
        <v>0</v>
      </c>
      <c r="J22" s="88">
        <v>0</v>
      </c>
      <c r="K22" s="89">
        <f t="shared" si="15"/>
        <v>0</v>
      </c>
      <c r="L22" s="88">
        <v>0</v>
      </c>
      <c r="M22" s="88">
        <v>1</v>
      </c>
      <c r="N22" s="88">
        <v>0</v>
      </c>
      <c r="O22" s="88">
        <v>0</v>
      </c>
      <c r="P22" s="88">
        <v>1</v>
      </c>
      <c r="Q22" s="89">
        <f t="shared" si="16"/>
        <v>2</v>
      </c>
      <c r="R22" s="88"/>
      <c r="S22" s="88"/>
      <c r="T22" s="88"/>
      <c r="U22" s="88"/>
      <c r="V22" s="89">
        <f t="shared" si="17"/>
        <v>0</v>
      </c>
      <c r="W22" s="88">
        <v>0</v>
      </c>
      <c r="X22" s="88">
        <v>1</v>
      </c>
      <c r="Y22" s="88"/>
      <c r="Z22" s="88"/>
      <c r="AA22" s="89">
        <f t="shared" si="18"/>
        <v>1</v>
      </c>
      <c r="AB22" s="88"/>
      <c r="AC22" s="88"/>
      <c r="AD22" s="88"/>
      <c r="AE22" s="88"/>
      <c r="AF22" s="88"/>
      <c r="AG22" s="89">
        <f t="shared" si="19"/>
        <v>0</v>
      </c>
      <c r="AH22" s="88"/>
      <c r="AI22" s="88"/>
      <c r="AJ22" s="88"/>
      <c r="AK22" s="88"/>
      <c r="AL22" s="89">
        <f t="shared" si="20"/>
        <v>0</v>
      </c>
      <c r="AM22" s="88"/>
      <c r="AN22" s="88"/>
      <c r="AO22" s="88"/>
      <c r="AP22" s="88"/>
      <c r="AQ22" s="88"/>
      <c r="AR22" s="89">
        <f t="shared" si="21"/>
        <v>0</v>
      </c>
      <c r="AS22" s="88"/>
      <c r="AT22" s="88"/>
      <c r="AU22" s="88"/>
      <c r="AV22" s="88"/>
      <c r="AW22" s="89">
        <f t="shared" si="22"/>
        <v>0</v>
      </c>
      <c r="AX22" s="88"/>
      <c r="AY22" s="88"/>
      <c r="AZ22" s="88"/>
      <c r="BA22" s="88"/>
      <c r="BB22" s="89">
        <f t="shared" si="23"/>
        <v>0</v>
      </c>
      <c r="BC22" s="88"/>
      <c r="BD22" s="88"/>
      <c r="BE22" s="88"/>
      <c r="BF22" s="88"/>
      <c r="BG22" s="88"/>
      <c r="BH22" s="89">
        <f t="shared" si="24"/>
        <v>0</v>
      </c>
      <c r="BI22" s="88"/>
      <c r="BJ22" s="88"/>
      <c r="BK22" s="88"/>
      <c r="BL22" s="88"/>
      <c r="BM22" s="89">
        <f t="shared" si="25"/>
        <v>0</v>
      </c>
    </row>
    <row r="23" spans="1:65" ht="15.75" customHeight="1" x14ac:dyDescent="0.25">
      <c r="A23" s="92" t="s">
        <v>147</v>
      </c>
      <c r="B23" s="88">
        <v>0</v>
      </c>
      <c r="C23" s="88">
        <v>0</v>
      </c>
      <c r="D23" s="88">
        <v>1</v>
      </c>
      <c r="E23" s="88">
        <v>0</v>
      </c>
      <c r="F23" s="89">
        <f t="shared" si="14"/>
        <v>1</v>
      </c>
      <c r="G23" s="88">
        <v>0</v>
      </c>
      <c r="H23" s="88">
        <v>1</v>
      </c>
      <c r="I23" s="88">
        <v>1</v>
      </c>
      <c r="J23" s="88">
        <v>0</v>
      </c>
      <c r="K23" s="89">
        <f t="shared" si="15"/>
        <v>2</v>
      </c>
      <c r="L23" s="88">
        <v>0</v>
      </c>
      <c r="M23" s="88">
        <v>1</v>
      </c>
      <c r="N23" s="88">
        <v>0</v>
      </c>
      <c r="O23" s="88">
        <v>1</v>
      </c>
      <c r="P23" s="88">
        <v>0</v>
      </c>
      <c r="Q23" s="89">
        <f t="shared" si="16"/>
        <v>2</v>
      </c>
      <c r="R23" s="88"/>
      <c r="S23" s="88"/>
      <c r="T23" s="88"/>
      <c r="U23" s="88"/>
      <c r="V23" s="89">
        <f t="shared" si="17"/>
        <v>0</v>
      </c>
      <c r="W23" s="88">
        <v>0</v>
      </c>
      <c r="X23" s="88">
        <v>4</v>
      </c>
      <c r="Y23" s="88"/>
      <c r="Z23" s="88"/>
      <c r="AA23" s="89">
        <f t="shared" si="18"/>
        <v>4</v>
      </c>
      <c r="AB23" s="88"/>
      <c r="AC23" s="88"/>
      <c r="AD23" s="88"/>
      <c r="AE23" s="88"/>
      <c r="AF23" s="88"/>
      <c r="AG23" s="89">
        <f t="shared" si="19"/>
        <v>0</v>
      </c>
      <c r="AH23" s="88"/>
      <c r="AI23" s="88"/>
      <c r="AJ23" s="88"/>
      <c r="AK23" s="88"/>
      <c r="AL23" s="89">
        <f t="shared" si="20"/>
        <v>0</v>
      </c>
      <c r="AM23" s="88"/>
      <c r="AN23" s="88"/>
      <c r="AO23" s="88"/>
      <c r="AP23" s="88"/>
      <c r="AQ23" s="88"/>
      <c r="AR23" s="89">
        <f t="shared" si="21"/>
        <v>0</v>
      </c>
      <c r="AS23" s="88"/>
      <c r="AT23" s="88"/>
      <c r="AU23" s="88"/>
      <c r="AV23" s="88"/>
      <c r="AW23" s="89">
        <f t="shared" si="22"/>
        <v>0</v>
      </c>
      <c r="AX23" s="88"/>
      <c r="AY23" s="88"/>
      <c r="AZ23" s="88"/>
      <c r="BA23" s="88"/>
      <c r="BB23" s="89">
        <f t="shared" si="23"/>
        <v>0</v>
      </c>
      <c r="BC23" s="88"/>
      <c r="BD23" s="88"/>
      <c r="BE23" s="88"/>
      <c r="BF23" s="88"/>
      <c r="BG23" s="88"/>
      <c r="BH23" s="89">
        <f t="shared" si="24"/>
        <v>0</v>
      </c>
      <c r="BI23" s="88"/>
      <c r="BJ23" s="88"/>
      <c r="BK23" s="88"/>
      <c r="BL23" s="88"/>
      <c r="BM23" s="89">
        <f t="shared" si="25"/>
        <v>0</v>
      </c>
    </row>
    <row r="24" spans="1:65" ht="15.75" customHeight="1" x14ac:dyDescent="0.25">
      <c r="A24" s="92" t="s">
        <v>148</v>
      </c>
      <c r="B24" s="88">
        <v>1</v>
      </c>
      <c r="C24" s="88">
        <v>0</v>
      </c>
      <c r="D24" s="88">
        <v>0</v>
      </c>
      <c r="E24" s="88">
        <v>0</v>
      </c>
      <c r="F24" s="89">
        <f t="shared" si="14"/>
        <v>1</v>
      </c>
      <c r="G24" s="88">
        <v>0</v>
      </c>
      <c r="H24" s="88">
        <v>0</v>
      </c>
      <c r="I24" s="88">
        <v>1</v>
      </c>
      <c r="J24" s="88">
        <v>0</v>
      </c>
      <c r="K24" s="89">
        <f t="shared" si="15"/>
        <v>1</v>
      </c>
      <c r="L24" s="88">
        <v>0</v>
      </c>
      <c r="M24" s="88">
        <v>0</v>
      </c>
      <c r="N24" s="88">
        <v>0</v>
      </c>
      <c r="O24" s="88">
        <v>1</v>
      </c>
      <c r="P24" s="88">
        <v>0</v>
      </c>
      <c r="Q24" s="89">
        <f t="shared" si="16"/>
        <v>1</v>
      </c>
      <c r="R24" s="88"/>
      <c r="S24" s="88"/>
      <c r="T24" s="88"/>
      <c r="U24" s="88"/>
      <c r="V24" s="89">
        <f t="shared" si="17"/>
        <v>0</v>
      </c>
      <c r="W24" s="88">
        <v>1</v>
      </c>
      <c r="X24" s="88">
        <v>0</v>
      </c>
      <c r="Y24" s="88"/>
      <c r="Z24" s="88"/>
      <c r="AA24" s="89">
        <f t="shared" si="18"/>
        <v>1</v>
      </c>
      <c r="AB24" s="88"/>
      <c r="AC24" s="88"/>
      <c r="AD24" s="88"/>
      <c r="AE24" s="88"/>
      <c r="AF24" s="88"/>
      <c r="AG24" s="89">
        <f t="shared" si="19"/>
        <v>0</v>
      </c>
      <c r="AH24" s="88"/>
      <c r="AI24" s="88"/>
      <c r="AJ24" s="88"/>
      <c r="AK24" s="88"/>
      <c r="AL24" s="89">
        <f t="shared" si="20"/>
        <v>0</v>
      </c>
      <c r="AM24" s="88"/>
      <c r="AN24" s="88"/>
      <c r="AO24" s="88"/>
      <c r="AP24" s="88"/>
      <c r="AQ24" s="88"/>
      <c r="AR24" s="89">
        <f t="shared" si="21"/>
        <v>0</v>
      </c>
      <c r="AS24" s="88"/>
      <c r="AT24" s="88"/>
      <c r="AU24" s="88"/>
      <c r="AV24" s="88"/>
      <c r="AW24" s="89">
        <f t="shared" si="22"/>
        <v>0</v>
      </c>
      <c r="AX24" s="88"/>
      <c r="AY24" s="88"/>
      <c r="AZ24" s="88"/>
      <c r="BA24" s="88"/>
      <c r="BB24" s="89">
        <f t="shared" si="23"/>
        <v>0</v>
      </c>
      <c r="BC24" s="88"/>
      <c r="BD24" s="88"/>
      <c r="BE24" s="88"/>
      <c r="BF24" s="88"/>
      <c r="BG24" s="88"/>
      <c r="BH24" s="89">
        <f t="shared" si="24"/>
        <v>0</v>
      </c>
      <c r="BI24" s="88"/>
      <c r="BJ24" s="88"/>
      <c r="BK24" s="88"/>
      <c r="BL24" s="88"/>
      <c r="BM24" s="89">
        <f t="shared" si="25"/>
        <v>0</v>
      </c>
    </row>
    <row r="25" spans="1:65" ht="15.75" customHeight="1" x14ac:dyDescent="0.25">
      <c r="A25" s="93" t="s">
        <v>401</v>
      </c>
      <c r="B25" s="94">
        <f t="shared" ref="B25:AG25" si="26">SUM(B17:B20)</f>
        <v>274</v>
      </c>
      <c r="C25" s="94">
        <f t="shared" si="26"/>
        <v>348</v>
      </c>
      <c r="D25" s="94">
        <f t="shared" si="26"/>
        <v>271</v>
      </c>
      <c r="E25" s="94">
        <f t="shared" si="26"/>
        <v>350</v>
      </c>
      <c r="F25" s="94">
        <f t="shared" si="26"/>
        <v>1243</v>
      </c>
      <c r="G25" s="94">
        <f t="shared" si="26"/>
        <v>140</v>
      </c>
      <c r="H25" s="94">
        <f t="shared" si="26"/>
        <v>150</v>
      </c>
      <c r="I25" s="94">
        <f t="shared" si="26"/>
        <v>490</v>
      </c>
      <c r="J25" s="94">
        <f t="shared" si="26"/>
        <v>135</v>
      </c>
      <c r="K25" s="94">
        <f t="shared" si="26"/>
        <v>915</v>
      </c>
      <c r="L25" s="94">
        <f t="shared" si="26"/>
        <v>310</v>
      </c>
      <c r="M25" s="94">
        <f t="shared" si="26"/>
        <v>290</v>
      </c>
      <c r="N25" s="94">
        <f t="shared" si="26"/>
        <v>270</v>
      </c>
      <c r="O25" s="94">
        <f t="shared" si="26"/>
        <v>190</v>
      </c>
      <c r="P25" s="94">
        <f t="shared" si="26"/>
        <v>280</v>
      </c>
      <c r="Q25" s="94">
        <f t="shared" si="26"/>
        <v>1340</v>
      </c>
      <c r="R25" s="94">
        <f t="shared" si="26"/>
        <v>0</v>
      </c>
      <c r="S25" s="94">
        <f t="shared" si="26"/>
        <v>0</v>
      </c>
      <c r="T25" s="94">
        <f t="shared" si="26"/>
        <v>0</v>
      </c>
      <c r="U25" s="94">
        <f t="shared" si="26"/>
        <v>0</v>
      </c>
      <c r="V25" s="94">
        <f t="shared" si="26"/>
        <v>0</v>
      </c>
      <c r="W25" s="94">
        <f t="shared" si="26"/>
        <v>20</v>
      </c>
      <c r="X25" s="94">
        <f t="shared" si="26"/>
        <v>528</v>
      </c>
      <c r="Y25" s="94">
        <f t="shared" si="26"/>
        <v>0</v>
      </c>
      <c r="Z25" s="94">
        <f t="shared" si="26"/>
        <v>0</v>
      </c>
      <c r="AA25" s="94">
        <f t="shared" si="26"/>
        <v>548</v>
      </c>
      <c r="AB25" s="94">
        <f t="shared" si="26"/>
        <v>0</v>
      </c>
      <c r="AC25" s="94">
        <f t="shared" si="26"/>
        <v>0</v>
      </c>
      <c r="AD25" s="94">
        <f t="shared" si="26"/>
        <v>0</v>
      </c>
      <c r="AE25" s="94">
        <f t="shared" si="26"/>
        <v>0</v>
      </c>
      <c r="AF25" s="94">
        <f t="shared" si="26"/>
        <v>0</v>
      </c>
      <c r="AG25" s="94">
        <f t="shared" si="26"/>
        <v>0</v>
      </c>
      <c r="AH25" s="94">
        <f t="shared" ref="AH25:BM25" si="27">SUM(AH17:AH20)</f>
        <v>0</v>
      </c>
      <c r="AI25" s="94">
        <f t="shared" si="27"/>
        <v>0</v>
      </c>
      <c r="AJ25" s="94">
        <f t="shared" si="27"/>
        <v>0</v>
      </c>
      <c r="AK25" s="94">
        <f t="shared" si="27"/>
        <v>0</v>
      </c>
      <c r="AL25" s="94">
        <f t="shared" si="27"/>
        <v>0</v>
      </c>
      <c r="AM25" s="94">
        <f t="shared" si="27"/>
        <v>0</v>
      </c>
      <c r="AN25" s="94">
        <f t="shared" si="27"/>
        <v>0</v>
      </c>
      <c r="AO25" s="94">
        <f t="shared" si="27"/>
        <v>0</v>
      </c>
      <c r="AP25" s="94">
        <f t="shared" si="27"/>
        <v>0</v>
      </c>
      <c r="AQ25" s="94">
        <f t="shared" si="27"/>
        <v>0</v>
      </c>
      <c r="AR25" s="94">
        <f t="shared" si="27"/>
        <v>0</v>
      </c>
      <c r="AS25" s="94">
        <f t="shared" si="27"/>
        <v>0</v>
      </c>
      <c r="AT25" s="94">
        <f t="shared" si="27"/>
        <v>0</v>
      </c>
      <c r="AU25" s="94">
        <f t="shared" si="27"/>
        <v>0</v>
      </c>
      <c r="AV25" s="94">
        <f t="shared" si="27"/>
        <v>0</v>
      </c>
      <c r="AW25" s="94">
        <f t="shared" si="27"/>
        <v>0</v>
      </c>
      <c r="AX25" s="94">
        <f t="shared" si="27"/>
        <v>0</v>
      </c>
      <c r="AY25" s="94">
        <f t="shared" si="27"/>
        <v>0</v>
      </c>
      <c r="AZ25" s="94">
        <f t="shared" si="27"/>
        <v>0</v>
      </c>
      <c r="BA25" s="94">
        <f t="shared" si="27"/>
        <v>0</v>
      </c>
      <c r="BB25" s="94">
        <f t="shared" si="27"/>
        <v>0</v>
      </c>
      <c r="BC25" s="94">
        <f t="shared" si="27"/>
        <v>0</v>
      </c>
      <c r="BD25" s="94">
        <f t="shared" si="27"/>
        <v>0</v>
      </c>
      <c r="BE25" s="94">
        <f t="shared" si="27"/>
        <v>0</v>
      </c>
      <c r="BF25" s="94">
        <f t="shared" si="27"/>
        <v>0</v>
      </c>
      <c r="BG25" s="94">
        <f t="shared" si="27"/>
        <v>0</v>
      </c>
      <c r="BH25" s="94">
        <f t="shared" si="27"/>
        <v>0</v>
      </c>
      <c r="BI25" s="94">
        <f t="shared" si="27"/>
        <v>0</v>
      </c>
      <c r="BJ25" s="94">
        <f t="shared" si="27"/>
        <v>0</v>
      </c>
      <c r="BK25" s="94">
        <f t="shared" si="27"/>
        <v>0</v>
      </c>
      <c r="BL25" s="94">
        <f t="shared" si="27"/>
        <v>0</v>
      </c>
      <c r="BM25" s="94">
        <f t="shared" si="27"/>
        <v>0</v>
      </c>
    </row>
    <row r="27" spans="1:65" ht="18" customHeight="1" x14ac:dyDescent="0.25">
      <c r="A27" s="505" t="s">
        <v>542</v>
      </c>
      <c r="B27" s="506"/>
      <c r="C27" s="506"/>
      <c r="D27" s="506"/>
      <c r="E27" s="506"/>
      <c r="F27" s="506"/>
      <c r="G27" s="506"/>
      <c r="H27" s="506"/>
      <c r="I27" s="506"/>
      <c r="J27" s="506"/>
      <c r="K27" s="506"/>
      <c r="L27" s="506"/>
      <c r="M27" s="506"/>
      <c r="N27" s="506"/>
      <c r="O27" s="506"/>
      <c r="P27" s="506"/>
      <c r="Q27" s="506"/>
      <c r="R27" s="506"/>
      <c r="S27" s="506"/>
      <c r="T27" s="506"/>
      <c r="U27" s="506"/>
      <c r="V27" s="506"/>
      <c r="W27" s="506"/>
      <c r="X27" s="506"/>
      <c r="Y27" s="506"/>
      <c r="Z27" s="506"/>
      <c r="AA27" s="506"/>
      <c r="AB27" s="506"/>
      <c r="AC27" s="506"/>
      <c r="AD27" s="506"/>
      <c r="AE27" s="506"/>
      <c r="AF27" s="506"/>
      <c r="AG27" s="506"/>
      <c r="AH27" s="506"/>
      <c r="AI27" s="506"/>
      <c r="AJ27" s="506"/>
      <c r="AK27" s="506"/>
      <c r="AL27" s="506"/>
      <c r="AM27" s="506"/>
      <c r="AN27" s="506"/>
      <c r="AO27" s="506"/>
      <c r="AP27" s="506"/>
      <c r="AQ27" s="506"/>
      <c r="AR27" s="506"/>
      <c r="AS27" s="506"/>
      <c r="AT27" s="506"/>
      <c r="AU27" s="506"/>
      <c r="AV27" s="506"/>
      <c r="AW27" s="506"/>
      <c r="AX27" s="506"/>
      <c r="AY27" s="506"/>
      <c r="AZ27" s="506"/>
      <c r="BA27" s="506"/>
      <c r="BB27" s="506"/>
      <c r="BC27" s="506"/>
      <c r="BD27" s="506"/>
      <c r="BE27" s="506"/>
      <c r="BF27" s="506"/>
      <c r="BG27" s="506"/>
      <c r="BH27" s="506"/>
      <c r="BI27" s="506"/>
      <c r="BJ27" s="506"/>
      <c r="BK27" s="506"/>
      <c r="BL27" s="506"/>
      <c r="BM27" s="506"/>
    </row>
    <row r="28" spans="1:65" ht="18" customHeight="1" x14ac:dyDescent="0.25">
      <c r="A28" s="503" t="s">
        <v>209</v>
      </c>
      <c r="B28" s="503" t="s">
        <v>389</v>
      </c>
      <c r="C28" s="485"/>
      <c r="D28" s="485"/>
      <c r="E28" s="485"/>
      <c r="F28" s="486"/>
      <c r="G28" s="503" t="s">
        <v>390</v>
      </c>
      <c r="H28" s="485"/>
      <c r="I28" s="485"/>
      <c r="J28" s="485"/>
      <c r="K28" s="486"/>
      <c r="L28" s="503" t="s">
        <v>391</v>
      </c>
      <c r="M28" s="485"/>
      <c r="N28" s="485"/>
      <c r="O28" s="485"/>
      <c r="P28" s="485"/>
      <c r="Q28" s="486"/>
      <c r="R28" s="503" t="s">
        <v>413</v>
      </c>
      <c r="S28" s="485"/>
      <c r="T28" s="485"/>
      <c r="U28" s="485"/>
      <c r="V28" s="486"/>
      <c r="W28" s="503" t="s">
        <v>414</v>
      </c>
      <c r="X28" s="485"/>
      <c r="Y28" s="485"/>
      <c r="Z28" s="485"/>
      <c r="AA28" s="486"/>
      <c r="AB28" s="503" t="s">
        <v>543</v>
      </c>
      <c r="AC28" s="485"/>
      <c r="AD28" s="485"/>
      <c r="AE28" s="485"/>
      <c r="AF28" s="485"/>
      <c r="AG28" s="486"/>
      <c r="AH28" s="503" t="s">
        <v>544</v>
      </c>
      <c r="AI28" s="485"/>
      <c r="AJ28" s="485"/>
      <c r="AK28" s="485"/>
      <c r="AL28" s="486"/>
      <c r="AM28" s="503" t="s">
        <v>545</v>
      </c>
      <c r="AN28" s="485"/>
      <c r="AO28" s="485"/>
      <c r="AP28" s="485"/>
      <c r="AQ28" s="485"/>
      <c r="AR28" s="486"/>
      <c r="AS28" s="503" t="s">
        <v>546</v>
      </c>
      <c r="AT28" s="485"/>
      <c r="AU28" s="485"/>
      <c r="AV28" s="485"/>
      <c r="AW28" s="486"/>
      <c r="AX28" s="503" t="s">
        <v>547</v>
      </c>
      <c r="AY28" s="485"/>
      <c r="AZ28" s="485"/>
      <c r="BA28" s="485"/>
      <c r="BB28" s="486"/>
      <c r="BC28" s="503" t="s">
        <v>548</v>
      </c>
      <c r="BD28" s="485"/>
      <c r="BE28" s="485"/>
      <c r="BF28" s="485"/>
      <c r="BG28" s="485"/>
      <c r="BH28" s="486"/>
      <c r="BI28" s="503" t="s">
        <v>388</v>
      </c>
      <c r="BJ28" s="485"/>
      <c r="BK28" s="485"/>
      <c r="BL28" s="485"/>
      <c r="BM28" s="486"/>
    </row>
    <row r="29" spans="1:65" ht="15.75" customHeight="1" x14ac:dyDescent="0.25">
      <c r="A29" s="487"/>
      <c r="B29" s="85">
        <v>46027</v>
      </c>
      <c r="C29" s="85">
        <v>46034</v>
      </c>
      <c r="D29" s="85">
        <v>46041</v>
      </c>
      <c r="E29" s="85">
        <v>46048</v>
      </c>
      <c r="F29" s="86" t="s">
        <v>129</v>
      </c>
      <c r="G29" s="85">
        <v>46055</v>
      </c>
      <c r="H29" s="85">
        <v>46062</v>
      </c>
      <c r="I29" s="85">
        <v>46069</v>
      </c>
      <c r="J29" s="85">
        <v>46076</v>
      </c>
      <c r="K29" s="86" t="s">
        <v>129</v>
      </c>
      <c r="L29" s="85">
        <v>46083</v>
      </c>
      <c r="M29" s="85">
        <v>46090</v>
      </c>
      <c r="N29" s="85">
        <v>46097</v>
      </c>
      <c r="O29" s="85">
        <v>46104</v>
      </c>
      <c r="P29" s="85">
        <v>46111</v>
      </c>
      <c r="Q29" s="86" t="s">
        <v>129</v>
      </c>
      <c r="R29" s="85">
        <v>46118</v>
      </c>
      <c r="S29" s="85">
        <v>46125</v>
      </c>
      <c r="T29" s="85">
        <v>46132</v>
      </c>
      <c r="U29" s="85">
        <v>46139</v>
      </c>
      <c r="V29" s="86" t="s">
        <v>129</v>
      </c>
      <c r="W29" s="85">
        <v>46146</v>
      </c>
      <c r="X29" s="85">
        <v>46153</v>
      </c>
      <c r="Y29" s="85">
        <v>46160</v>
      </c>
      <c r="Z29" s="85">
        <v>46167</v>
      </c>
      <c r="AA29" s="86" t="s">
        <v>129</v>
      </c>
      <c r="AB29" s="85">
        <v>46174</v>
      </c>
      <c r="AC29" s="85">
        <v>46181</v>
      </c>
      <c r="AD29" s="85">
        <v>46188</v>
      </c>
      <c r="AE29" s="85">
        <v>46195</v>
      </c>
      <c r="AF29" s="85">
        <v>46202</v>
      </c>
      <c r="AG29" s="86" t="s">
        <v>129</v>
      </c>
      <c r="AH29" s="85">
        <v>46209</v>
      </c>
      <c r="AI29" s="85">
        <v>46216</v>
      </c>
      <c r="AJ29" s="85">
        <v>46223</v>
      </c>
      <c r="AK29" s="85">
        <v>46230</v>
      </c>
      <c r="AL29" s="86" t="s">
        <v>129</v>
      </c>
      <c r="AM29" s="85">
        <v>46237</v>
      </c>
      <c r="AN29" s="85">
        <v>46244</v>
      </c>
      <c r="AO29" s="85">
        <v>46251</v>
      </c>
      <c r="AP29" s="85">
        <v>46258</v>
      </c>
      <c r="AQ29" s="85">
        <v>46265</v>
      </c>
      <c r="AR29" s="86" t="s">
        <v>129</v>
      </c>
      <c r="AS29" s="85">
        <v>46272</v>
      </c>
      <c r="AT29" s="85">
        <v>46279</v>
      </c>
      <c r="AU29" s="85">
        <v>46286</v>
      </c>
      <c r="AV29" s="85">
        <v>46293</v>
      </c>
      <c r="AW29" s="86" t="s">
        <v>129</v>
      </c>
      <c r="AX29" s="85">
        <v>46300</v>
      </c>
      <c r="AY29" s="85">
        <v>46307</v>
      </c>
      <c r="AZ29" s="85">
        <v>46314</v>
      </c>
      <c r="BA29" s="85">
        <v>46321</v>
      </c>
      <c r="BB29" s="86" t="s">
        <v>129</v>
      </c>
      <c r="BC29" s="85">
        <v>46328</v>
      </c>
      <c r="BD29" s="85">
        <v>46335</v>
      </c>
      <c r="BE29" s="85">
        <v>46342</v>
      </c>
      <c r="BF29" s="85">
        <v>46349</v>
      </c>
      <c r="BG29" s="85">
        <v>46356</v>
      </c>
      <c r="BH29" s="86" t="s">
        <v>129</v>
      </c>
      <c r="BI29" s="85">
        <v>46363</v>
      </c>
      <c r="BJ29" s="85">
        <v>46370</v>
      </c>
      <c r="BK29" s="85">
        <v>46377</v>
      </c>
      <c r="BL29" s="85">
        <v>46384</v>
      </c>
      <c r="BM29" s="86" t="s">
        <v>129</v>
      </c>
    </row>
    <row r="30" spans="1:65" ht="15.75" customHeight="1" x14ac:dyDescent="0.25">
      <c r="A30" s="90" t="s">
        <v>132</v>
      </c>
      <c r="B30" s="88">
        <v>0</v>
      </c>
      <c r="C30" s="88">
        <v>80</v>
      </c>
      <c r="D30" s="88">
        <v>20</v>
      </c>
      <c r="E30" s="88">
        <v>60</v>
      </c>
      <c r="F30" s="89">
        <f t="shared" ref="F30:F37" si="28">B30+C30+D30+E30</f>
        <v>160</v>
      </c>
      <c r="G30" s="88">
        <v>60</v>
      </c>
      <c r="H30" s="88">
        <v>60</v>
      </c>
      <c r="I30" s="88">
        <v>40</v>
      </c>
      <c r="J30" s="88">
        <v>100</v>
      </c>
      <c r="K30" s="89">
        <f t="shared" ref="K30:K37" si="29">G30+H30+I30+J30</f>
        <v>260</v>
      </c>
      <c r="L30" s="88">
        <v>60</v>
      </c>
      <c r="M30" s="88">
        <v>60</v>
      </c>
      <c r="N30" s="88">
        <v>60</v>
      </c>
      <c r="O30" s="88">
        <v>380</v>
      </c>
      <c r="P30" s="88">
        <v>60</v>
      </c>
      <c r="Q30" s="89">
        <f t="shared" ref="Q30:Q37" si="30">L30+M30+N30+O30+P30</f>
        <v>620</v>
      </c>
      <c r="R30" s="88"/>
      <c r="S30" s="88"/>
      <c r="T30" s="88"/>
      <c r="U30" s="88"/>
      <c r="V30" s="89">
        <f t="shared" ref="V30:V37" si="31">R30+S30+T30+U30</f>
        <v>0</v>
      </c>
      <c r="W30" s="88">
        <v>40</v>
      </c>
      <c r="X30" s="88">
        <v>40</v>
      </c>
      <c r="Y30" s="88"/>
      <c r="Z30" s="88"/>
      <c r="AA30" s="89">
        <f t="shared" ref="AA30:AA37" si="32">W30+X30+Y30+Z30</f>
        <v>80</v>
      </c>
      <c r="AB30" s="88"/>
      <c r="AC30" s="88"/>
      <c r="AD30" s="88"/>
      <c r="AE30" s="88"/>
      <c r="AF30" s="88"/>
      <c r="AG30" s="89">
        <f t="shared" ref="AG30:AG37" si="33">AB30+AC30+AD30+AE30+AF30</f>
        <v>0</v>
      </c>
      <c r="AH30" s="88"/>
      <c r="AI30" s="88"/>
      <c r="AJ30" s="88"/>
      <c r="AK30" s="88"/>
      <c r="AL30" s="89">
        <f t="shared" ref="AL30:AL37" si="34">AH30+AI30+AJ30+AK30</f>
        <v>0</v>
      </c>
      <c r="AM30" s="88"/>
      <c r="AN30" s="88"/>
      <c r="AO30" s="88"/>
      <c r="AP30" s="88"/>
      <c r="AQ30" s="88"/>
      <c r="AR30" s="89">
        <f t="shared" ref="AR30:AR37" si="35">AM30+AN30+AO30+AP30+AQ30</f>
        <v>0</v>
      </c>
      <c r="AS30" s="88"/>
      <c r="AT30" s="88"/>
      <c r="AU30" s="88"/>
      <c r="AV30" s="88"/>
      <c r="AW30" s="89">
        <f t="shared" ref="AW30:AW37" si="36">AS30+AT30+AU30+AV30</f>
        <v>0</v>
      </c>
      <c r="AX30" s="88"/>
      <c r="AY30" s="88"/>
      <c r="AZ30" s="88"/>
      <c r="BA30" s="88"/>
      <c r="BB30" s="89">
        <f t="shared" ref="BB30:BB37" si="37">AX30+AY30+AZ30+BA30</f>
        <v>0</v>
      </c>
      <c r="BC30" s="88"/>
      <c r="BD30" s="88"/>
      <c r="BE30" s="88"/>
      <c r="BF30" s="88"/>
      <c r="BG30" s="88"/>
      <c r="BH30" s="89">
        <f t="shared" ref="BH30:BH37" si="38">BC30+BD30+BE30+BF30+BG30</f>
        <v>0</v>
      </c>
      <c r="BI30" s="88"/>
      <c r="BJ30" s="88"/>
      <c r="BK30" s="88"/>
      <c r="BL30" s="88"/>
      <c r="BM30" s="89">
        <f t="shared" ref="BM30:BM37" si="39">BI30+BJ30+BK30+BL30</f>
        <v>0</v>
      </c>
    </row>
    <row r="31" spans="1:65" ht="15.75" customHeight="1" x14ac:dyDescent="0.25">
      <c r="A31" s="90" t="s">
        <v>549</v>
      </c>
      <c r="B31" s="88">
        <v>220</v>
      </c>
      <c r="C31" s="88">
        <v>180</v>
      </c>
      <c r="D31" s="88">
        <v>140</v>
      </c>
      <c r="E31" s="88">
        <v>240</v>
      </c>
      <c r="F31" s="89">
        <f t="shared" si="28"/>
        <v>780</v>
      </c>
      <c r="G31" s="88">
        <v>160</v>
      </c>
      <c r="H31" s="88">
        <v>180</v>
      </c>
      <c r="I31" s="88">
        <v>240</v>
      </c>
      <c r="J31" s="88">
        <v>140</v>
      </c>
      <c r="K31" s="89">
        <f t="shared" si="29"/>
        <v>720</v>
      </c>
      <c r="L31" s="88">
        <v>200</v>
      </c>
      <c r="M31" s="88">
        <v>220</v>
      </c>
      <c r="N31" s="88">
        <v>240</v>
      </c>
      <c r="O31" s="88">
        <v>140</v>
      </c>
      <c r="P31" s="88">
        <v>220</v>
      </c>
      <c r="Q31" s="89">
        <f t="shared" si="30"/>
        <v>1020</v>
      </c>
      <c r="R31" s="88"/>
      <c r="S31" s="88"/>
      <c r="T31" s="88"/>
      <c r="U31" s="88"/>
      <c r="V31" s="89">
        <f t="shared" si="31"/>
        <v>0</v>
      </c>
      <c r="W31" s="88">
        <v>20</v>
      </c>
      <c r="X31" s="88">
        <v>0</v>
      </c>
      <c r="Y31" s="88"/>
      <c r="Z31" s="88"/>
      <c r="AA31" s="89">
        <f t="shared" si="32"/>
        <v>20</v>
      </c>
      <c r="AB31" s="88"/>
      <c r="AC31" s="88"/>
      <c r="AD31" s="88"/>
      <c r="AE31" s="88"/>
      <c r="AF31" s="88"/>
      <c r="AG31" s="89">
        <f t="shared" si="33"/>
        <v>0</v>
      </c>
      <c r="AH31" s="88"/>
      <c r="AI31" s="88"/>
      <c r="AJ31" s="88"/>
      <c r="AK31" s="88"/>
      <c r="AL31" s="89">
        <f t="shared" si="34"/>
        <v>0</v>
      </c>
      <c r="AM31" s="88"/>
      <c r="AN31" s="88"/>
      <c r="AO31" s="88"/>
      <c r="AP31" s="88"/>
      <c r="AQ31" s="88"/>
      <c r="AR31" s="89">
        <f t="shared" si="35"/>
        <v>0</v>
      </c>
      <c r="AS31" s="88"/>
      <c r="AT31" s="88"/>
      <c r="AU31" s="88"/>
      <c r="AV31" s="88"/>
      <c r="AW31" s="89">
        <f t="shared" si="36"/>
        <v>0</v>
      </c>
      <c r="AX31" s="88"/>
      <c r="AY31" s="88"/>
      <c r="AZ31" s="88"/>
      <c r="BA31" s="88"/>
      <c r="BB31" s="89">
        <f t="shared" si="37"/>
        <v>0</v>
      </c>
      <c r="BC31" s="88"/>
      <c r="BD31" s="88"/>
      <c r="BE31" s="88"/>
      <c r="BF31" s="88"/>
      <c r="BG31" s="88"/>
      <c r="BH31" s="89">
        <f t="shared" si="38"/>
        <v>0</v>
      </c>
      <c r="BI31" s="88"/>
      <c r="BJ31" s="88"/>
      <c r="BK31" s="88"/>
      <c r="BL31" s="88"/>
      <c r="BM31" s="89">
        <f t="shared" si="39"/>
        <v>0</v>
      </c>
    </row>
    <row r="32" spans="1:65" ht="15.75" customHeight="1" x14ac:dyDescent="0.25">
      <c r="A32" s="90" t="s">
        <v>137</v>
      </c>
      <c r="B32" s="88">
        <v>160</v>
      </c>
      <c r="C32" s="88">
        <v>20</v>
      </c>
      <c r="D32" s="88">
        <v>0</v>
      </c>
      <c r="E32" s="88">
        <v>80</v>
      </c>
      <c r="F32" s="89">
        <f t="shared" si="28"/>
        <v>260</v>
      </c>
      <c r="G32" s="88">
        <v>40</v>
      </c>
      <c r="H32" s="88">
        <v>80</v>
      </c>
      <c r="I32" s="88">
        <v>100</v>
      </c>
      <c r="J32" s="88">
        <v>60</v>
      </c>
      <c r="K32" s="89">
        <f t="shared" si="29"/>
        <v>280</v>
      </c>
      <c r="L32" s="88">
        <v>60</v>
      </c>
      <c r="M32" s="88">
        <v>80</v>
      </c>
      <c r="N32" s="88">
        <v>80</v>
      </c>
      <c r="O32" s="88">
        <v>280</v>
      </c>
      <c r="P32" s="88">
        <v>80</v>
      </c>
      <c r="Q32" s="89">
        <f t="shared" si="30"/>
        <v>580</v>
      </c>
      <c r="R32" s="88"/>
      <c r="S32" s="88"/>
      <c r="T32" s="88"/>
      <c r="U32" s="88"/>
      <c r="V32" s="89">
        <f t="shared" si="31"/>
        <v>0</v>
      </c>
      <c r="W32" s="88">
        <v>0</v>
      </c>
      <c r="X32" s="88">
        <v>20</v>
      </c>
      <c r="Y32" s="88"/>
      <c r="Z32" s="88"/>
      <c r="AA32" s="89">
        <f t="shared" si="32"/>
        <v>20</v>
      </c>
      <c r="AB32" s="88"/>
      <c r="AC32" s="88"/>
      <c r="AD32" s="88"/>
      <c r="AE32" s="88"/>
      <c r="AF32" s="88"/>
      <c r="AG32" s="89">
        <f t="shared" si="33"/>
        <v>0</v>
      </c>
      <c r="AH32" s="88"/>
      <c r="AI32" s="88"/>
      <c r="AJ32" s="88"/>
      <c r="AK32" s="88"/>
      <c r="AL32" s="89">
        <f t="shared" si="34"/>
        <v>0</v>
      </c>
      <c r="AM32" s="88"/>
      <c r="AN32" s="88"/>
      <c r="AO32" s="88"/>
      <c r="AP32" s="88"/>
      <c r="AQ32" s="88"/>
      <c r="AR32" s="89">
        <f t="shared" si="35"/>
        <v>0</v>
      </c>
      <c r="AS32" s="88"/>
      <c r="AT32" s="88"/>
      <c r="AU32" s="88"/>
      <c r="AV32" s="88"/>
      <c r="AW32" s="89">
        <f t="shared" si="36"/>
        <v>0</v>
      </c>
      <c r="AX32" s="88"/>
      <c r="AY32" s="88"/>
      <c r="AZ32" s="88"/>
      <c r="BA32" s="88"/>
      <c r="BB32" s="89">
        <f t="shared" si="37"/>
        <v>0</v>
      </c>
      <c r="BC32" s="88"/>
      <c r="BD32" s="88"/>
      <c r="BE32" s="88"/>
      <c r="BF32" s="88"/>
      <c r="BG32" s="88"/>
      <c r="BH32" s="89">
        <f t="shared" si="38"/>
        <v>0</v>
      </c>
      <c r="BI32" s="88"/>
      <c r="BJ32" s="88"/>
      <c r="BK32" s="88"/>
      <c r="BL32" s="88"/>
      <c r="BM32" s="89">
        <f t="shared" si="39"/>
        <v>0</v>
      </c>
    </row>
    <row r="33" spans="1:65" ht="15.75" customHeight="1" x14ac:dyDescent="0.25">
      <c r="A33" s="91" t="s">
        <v>550</v>
      </c>
      <c r="B33" s="88">
        <v>0</v>
      </c>
      <c r="C33" s="88">
        <v>60</v>
      </c>
      <c r="D33" s="88">
        <v>20</v>
      </c>
      <c r="E33" s="88">
        <v>20</v>
      </c>
      <c r="F33" s="89">
        <f t="shared" si="28"/>
        <v>100</v>
      </c>
      <c r="G33" s="88">
        <v>20</v>
      </c>
      <c r="H33" s="88">
        <v>20</v>
      </c>
      <c r="I33" s="88">
        <v>0</v>
      </c>
      <c r="J33" s="88">
        <v>20</v>
      </c>
      <c r="K33" s="89">
        <f t="shared" si="29"/>
        <v>60</v>
      </c>
      <c r="L33" s="88">
        <v>0</v>
      </c>
      <c r="M33" s="88">
        <v>40</v>
      </c>
      <c r="N33" s="88">
        <v>20</v>
      </c>
      <c r="O33" s="88">
        <v>100</v>
      </c>
      <c r="P33" s="88">
        <v>0</v>
      </c>
      <c r="Q33" s="89">
        <f t="shared" si="30"/>
        <v>160</v>
      </c>
      <c r="R33" s="88"/>
      <c r="S33" s="88"/>
      <c r="T33" s="88"/>
      <c r="U33" s="88"/>
      <c r="V33" s="89">
        <f t="shared" si="31"/>
        <v>0</v>
      </c>
      <c r="W33" s="88">
        <v>0</v>
      </c>
      <c r="X33" s="88">
        <v>100</v>
      </c>
      <c r="Y33" s="88"/>
      <c r="Z33" s="88"/>
      <c r="AA33" s="89">
        <f t="shared" si="32"/>
        <v>100</v>
      </c>
      <c r="AB33" s="88"/>
      <c r="AC33" s="88"/>
      <c r="AD33" s="88"/>
      <c r="AE33" s="88"/>
      <c r="AF33" s="88"/>
      <c r="AG33" s="89">
        <f t="shared" si="33"/>
        <v>0</v>
      </c>
      <c r="AH33" s="88"/>
      <c r="AI33" s="88"/>
      <c r="AJ33" s="88"/>
      <c r="AK33" s="88"/>
      <c r="AL33" s="89">
        <f t="shared" si="34"/>
        <v>0</v>
      </c>
      <c r="AM33" s="88"/>
      <c r="AN33" s="88"/>
      <c r="AO33" s="88"/>
      <c r="AP33" s="88"/>
      <c r="AQ33" s="88"/>
      <c r="AR33" s="89">
        <f t="shared" si="35"/>
        <v>0</v>
      </c>
      <c r="AS33" s="88"/>
      <c r="AT33" s="88"/>
      <c r="AU33" s="88"/>
      <c r="AV33" s="88"/>
      <c r="AW33" s="89">
        <f t="shared" si="36"/>
        <v>0</v>
      </c>
      <c r="AX33" s="88"/>
      <c r="AY33" s="88"/>
      <c r="AZ33" s="88"/>
      <c r="BA33" s="88"/>
      <c r="BB33" s="89">
        <f t="shared" si="37"/>
        <v>0</v>
      </c>
      <c r="BC33" s="88"/>
      <c r="BD33" s="88"/>
      <c r="BE33" s="88"/>
      <c r="BF33" s="88"/>
      <c r="BG33" s="88"/>
      <c r="BH33" s="89">
        <f t="shared" si="38"/>
        <v>0</v>
      </c>
      <c r="BI33" s="88"/>
      <c r="BJ33" s="88"/>
      <c r="BK33" s="88"/>
      <c r="BL33" s="88"/>
      <c r="BM33" s="89">
        <f t="shared" si="39"/>
        <v>0</v>
      </c>
    </row>
    <row r="34" spans="1:65" ht="15.75" customHeight="1" x14ac:dyDescent="0.25">
      <c r="A34" s="92" t="s">
        <v>224</v>
      </c>
      <c r="B34" s="88">
        <v>2</v>
      </c>
      <c r="C34" s="88">
        <v>1</v>
      </c>
      <c r="D34" s="88">
        <v>0</v>
      </c>
      <c r="E34" s="88">
        <v>3</v>
      </c>
      <c r="F34" s="89">
        <f t="shared" si="28"/>
        <v>6</v>
      </c>
      <c r="G34" s="88">
        <v>0</v>
      </c>
      <c r="H34" s="88">
        <v>1</v>
      </c>
      <c r="I34" s="88">
        <v>2</v>
      </c>
      <c r="J34" s="88">
        <v>1</v>
      </c>
      <c r="K34" s="89">
        <f t="shared" si="29"/>
        <v>4</v>
      </c>
      <c r="L34" s="88">
        <v>0</v>
      </c>
      <c r="M34" s="88">
        <v>2</v>
      </c>
      <c r="N34" s="88">
        <v>2</v>
      </c>
      <c r="O34" s="88">
        <v>1</v>
      </c>
      <c r="P34" s="88">
        <v>2</v>
      </c>
      <c r="Q34" s="89">
        <f t="shared" si="30"/>
        <v>7</v>
      </c>
      <c r="R34" s="88"/>
      <c r="S34" s="88"/>
      <c r="T34" s="88"/>
      <c r="U34" s="88"/>
      <c r="V34" s="89">
        <f t="shared" si="31"/>
        <v>0</v>
      </c>
      <c r="W34" s="88">
        <v>0</v>
      </c>
      <c r="X34" s="88">
        <v>2</v>
      </c>
      <c r="Y34" s="88"/>
      <c r="Z34" s="88"/>
      <c r="AA34" s="89">
        <f t="shared" si="32"/>
        <v>2</v>
      </c>
      <c r="AB34" s="88"/>
      <c r="AC34" s="88"/>
      <c r="AD34" s="88"/>
      <c r="AE34" s="88"/>
      <c r="AF34" s="88"/>
      <c r="AG34" s="89">
        <f t="shared" si="33"/>
        <v>0</v>
      </c>
      <c r="AH34" s="88"/>
      <c r="AI34" s="88"/>
      <c r="AJ34" s="88"/>
      <c r="AK34" s="88"/>
      <c r="AL34" s="89">
        <f t="shared" si="34"/>
        <v>0</v>
      </c>
      <c r="AM34" s="88"/>
      <c r="AN34" s="88"/>
      <c r="AO34" s="88"/>
      <c r="AP34" s="88"/>
      <c r="AQ34" s="88"/>
      <c r="AR34" s="89">
        <f t="shared" si="35"/>
        <v>0</v>
      </c>
      <c r="AS34" s="88"/>
      <c r="AT34" s="88"/>
      <c r="AU34" s="88"/>
      <c r="AV34" s="88"/>
      <c r="AW34" s="89">
        <f t="shared" si="36"/>
        <v>0</v>
      </c>
      <c r="AX34" s="88"/>
      <c r="AY34" s="88"/>
      <c r="AZ34" s="88"/>
      <c r="BA34" s="88"/>
      <c r="BB34" s="89">
        <f t="shared" si="37"/>
        <v>0</v>
      </c>
      <c r="BC34" s="88"/>
      <c r="BD34" s="88"/>
      <c r="BE34" s="88"/>
      <c r="BF34" s="88"/>
      <c r="BG34" s="88"/>
      <c r="BH34" s="89">
        <f t="shared" si="38"/>
        <v>0</v>
      </c>
      <c r="BI34" s="88"/>
      <c r="BJ34" s="88"/>
      <c r="BK34" s="88"/>
      <c r="BL34" s="88"/>
      <c r="BM34" s="89">
        <f t="shared" si="39"/>
        <v>0</v>
      </c>
    </row>
    <row r="35" spans="1:65" ht="15.75" customHeight="1" x14ac:dyDescent="0.25">
      <c r="A35" s="92" t="s">
        <v>225</v>
      </c>
      <c r="B35" s="88">
        <v>0</v>
      </c>
      <c r="C35" s="88">
        <v>0</v>
      </c>
      <c r="D35" s="88">
        <v>0</v>
      </c>
      <c r="E35" s="88">
        <v>0</v>
      </c>
      <c r="F35" s="89">
        <f t="shared" si="28"/>
        <v>0</v>
      </c>
      <c r="G35" s="88">
        <v>0</v>
      </c>
      <c r="H35" s="88">
        <v>0</v>
      </c>
      <c r="I35" s="88">
        <v>0</v>
      </c>
      <c r="J35" s="88">
        <v>0</v>
      </c>
      <c r="K35" s="89">
        <f t="shared" si="29"/>
        <v>0</v>
      </c>
      <c r="L35" s="88">
        <v>0</v>
      </c>
      <c r="M35" s="88">
        <v>0</v>
      </c>
      <c r="N35" s="88">
        <v>0</v>
      </c>
      <c r="O35" s="88">
        <v>0</v>
      </c>
      <c r="P35" s="88">
        <v>0</v>
      </c>
      <c r="Q35" s="89">
        <f t="shared" si="30"/>
        <v>0</v>
      </c>
      <c r="R35" s="88"/>
      <c r="S35" s="88"/>
      <c r="T35" s="88"/>
      <c r="U35" s="88"/>
      <c r="V35" s="89">
        <f t="shared" si="31"/>
        <v>0</v>
      </c>
      <c r="W35" s="88">
        <v>0</v>
      </c>
      <c r="X35" s="88">
        <v>2</v>
      </c>
      <c r="Y35" s="88"/>
      <c r="Z35" s="88"/>
      <c r="AA35" s="89">
        <f t="shared" si="32"/>
        <v>2</v>
      </c>
      <c r="AB35" s="88"/>
      <c r="AC35" s="88"/>
      <c r="AD35" s="88"/>
      <c r="AE35" s="88"/>
      <c r="AF35" s="88"/>
      <c r="AG35" s="89">
        <f t="shared" si="33"/>
        <v>0</v>
      </c>
      <c r="AH35" s="88"/>
      <c r="AI35" s="88"/>
      <c r="AJ35" s="88"/>
      <c r="AK35" s="88"/>
      <c r="AL35" s="89">
        <f t="shared" si="34"/>
        <v>0</v>
      </c>
      <c r="AM35" s="88"/>
      <c r="AN35" s="88"/>
      <c r="AO35" s="88"/>
      <c r="AP35" s="88"/>
      <c r="AQ35" s="88"/>
      <c r="AR35" s="89">
        <f t="shared" si="35"/>
        <v>0</v>
      </c>
      <c r="AS35" s="88"/>
      <c r="AT35" s="88"/>
      <c r="AU35" s="88"/>
      <c r="AV35" s="88"/>
      <c r="AW35" s="89">
        <f t="shared" si="36"/>
        <v>0</v>
      </c>
      <c r="AX35" s="88"/>
      <c r="AY35" s="88"/>
      <c r="AZ35" s="88"/>
      <c r="BA35" s="88"/>
      <c r="BB35" s="89">
        <f t="shared" si="37"/>
        <v>0</v>
      </c>
      <c r="BC35" s="88"/>
      <c r="BD35" s="88"/>
      <c r="BE35" s="88"/>
      <c r="BF35" s="88"/>
      <c r="BG35" s="88"/>
      <c r="BH35" s="89">
        <f t="shared" si="38"/>
        <v>0</v>
      </c>
      <c r="BI35" s="88"/>
      <c r="BJ35" s="88"/>
      <c r="BK35" s="88"/>
      <c r="BL35" s="88"/>
      <c r="BM35" s="89">
        <f t="shared" si="39"/>
        <v>0</v>
      </c>
    </row>
    <row r="36" spans="1:65" ht="15.75" customHeight="1" x14ac:dyDescent="0.25">
      <c r="A36" s="92" t="s">
        <v>147</v>
      </c>
      <c r="B36" s="88">
        <v>0</v>
      </c>
      <c r="C36" s="88">
        <v>0</v>
      </c>
      <c r="D36" s="88">
        <v>0</v>
      </c>
      <c r="E36" s="88">
        <v>1</v>
      </c>
      <c r="F36" s="89">
        <f t="shared" si="28"/>
        <v>1</v>
      </c>
      <c r="G36" s="88">
        <v>0</v>
      </c>
      <c r="H36" s="88">
        <v>1</v>
      </c>
      <c r="I36" s="88">
        <v>0</v>
      </c>
      <c r="J36" s="88">
        <v>1</v>
      </c>
      <c r="K36" s="89">
        <f t="shared" si="29"/>
        <v>2</v>
      </c>
      <c r="L36" s="88">
        <v>1</v>
      </c>
      <c r="M36" s="88">
        <v>0</v>
      </c>
      <c r="N36" s="88">
        <v>1</v>
      </c>
      <c r="O36" s="88">
        <v>1</v>
      </c>
      <c r="P36" s="88">
        <v>1</v>
      </c>
      <c r="Q36" s="89">
        <f t="shared" si="30"/>
        <v>4</v>
      </c>
      <c r="R36" s="88"/>
      <c r="S36" s="88"/>
      <c r="T36" s="88"/>
      <c r="U36" s="88"/>
      <c r="V36" s="89">
        <f t="shared" si="31"/>
        <v>0</v>
      </c>
      <c r="W36" s="88">
        <v>0</v>
      </c>
      <c r="X36" s="88">
        <v>3</v>
      </c>
      <c r="Y36" s="88"/>
      <c r="Z36" s="88"/>
      <c r="AA36" s="89">
        <f t="shared" si="32"/>
        <v>3</v>
      </c>
      <c r="AB36" s="88"/>
      <c r="AC36" s="88"/>
      <c r="AD36" s="88"/>
      <c r="AE36" s="88"/>
      <c r="AF36" s="88"/>
      <c r="AG36" s="89">
        <f t="shared" si="33"/>
        <v>0</v>
      </c>
      <c r="AH36" s="88"/>
      <c r="AI36" s="88"/>
      <c r="AJ36" s="88"/>
      <c r="AK36" s="88"/>
      <c r="AL36" s="89">
        <f t="shared" si="34"/>
        <v>0</v>
      </c>
      <c r="AM36" s="88"/>
      <c r="AN36" s="88"/>
      <c r="AO36" s="88"/>
      <c r="AP36" s="88"/>
      <c r="AQ36" s="88"/>
      <c r="AR36" s="89">
        <f t="shared" si="35"/>
        <v>0</v>
      </c>
      <c r="AS36" s="88"/>
      <c r="AT36" s="88"/>
      <c r="AU36" s="88"/>
      <c r="AV36" s="88"/>
      <c r="AW36" s="89">
        <f t="shared" si="36"/>
        <v>0</v>
      </c>
      <c r="AX36" s="88"/>
      <c r="AY36" s="88"/>
      <c r="AZ36" s="88"/>
      <c r="BA36" s="88"/>
      <c r="BB36" s="89">
        <f t="shared" si="37"/>
        <v>0</v>
      </c>
      <c r="BC36" s="88"/>
      <c r="BD36" s="88"/>
      <c r="BE36" s="88"/>
      <c r="BF36" s="88"/>
      <c r="BG36" s="88"/>
      <c r="BH36" s="89">
        <f t="shared" si="38"/>
        <v>0</v>
      </c>
      <c r="BI36" s="88"/>
      <c r="BJ36" s="88"/>
      <c r="BK36" s="88"/>
      <c r="BL36" s="88"/>
      <c r="BM36" s="89">
        <f t="shared" si="39"/>
        <v>0</v>
      </c>
    </row>
    <row r="37" spans="1:65" ht="15.75" customHeight="1" x14ac:dyDescent="0.25">
      <c r="A37" s="92" t="s">
        <v>148</v>
      </c>
      <c r="B37" s="88">
        <v>0</v>
      </c>
      <c r="C37" s="88">
        <v>0</v>
      </c>
      <c r="D37" s="88">
        <v>0</v>
      </c>
      <c r="E37" s="88">
        <v>1</v>
      </c>
      <c r="F37" s="89">
        <f t="shared" si="28"/>
        <v>1</v>
      </c>
      <c r="G37" s="88">
        <v>0</v>
      </c>
      <c r="H37" s="88">
        <v>1</v>
      </c>
      <c r="I37" s="88">
        <v>0</v>
      </c>
      <c r="J37" s="88">
        <v>1</v>
      </c>
      <c r="K37" s="89">
        <f t="shared" si="29"/>
        <v>2</v>
      </c>
      <c r="L37" s="88">
        <v>0</v>
      </c>
      <c r="M37" s="88">
        <v>0</v>
      </c>
      <c r="N37" s="88">
        <v>1</v>
      </c>
      <c r="O37" s="88">
        <v>0</v>
      </c>
      <c r="P37" s="88">
        <v>0</v>
      </c>
      <c r="Q37" s="89">
        <f t="shared" si="30"/>
        <v>1</v>
      </c>
      <c r="R37" s="88"/>
      <c r="S37" s="88"/>
      <c r="T37" s="88"/>
      <c r="U37" s="88"/>
      <c r="V37" s="89">
        <f t="shared" si="31"/>
        <v>0</v>
      </c>
      <c r="W37" s="88">
        <v>1</v>
      </c>
      <c r="X37" s="88">
        <v>0</v>
      </c>
      <c r="Y37" s="88"/>
      <c r="Z37" s="88"/>
      <c r="AA37" s="89">
        <f t="shared" si="32"/>
        <v>1</v>
      </c>
      <c r="AB37" s="88"/>
      <c r="AC37" s="88"/>
      <c r="AD37" s="88"/>
      <c r="AE37" s="88"/>
      <c r="AF37" s="88"/>
      <c r="AG37" s="89">
        <f t="shared" si="33"/>
        <v>0</v>
      </c>
      <c r="AH37" s="88"/>
      <c r="AI37" s="88"/>
      <c r="AJ37" s="88"/>
      <c r="AK37" s="88"/>
      <c r="AL37" s="89">
        <f t="shared" si="34"/>
        <v>0</v>
      </c>
      <c r="AM37" s="88"/>
      <c r="AN37" s="88"/>
      <c r="AO37" s="88"/>
      <c r="AP37" s="88"/>
      <c r="AQ37" s="88"/>
      <c r="AR37" s="89">
        <f t="shared" si="35"/>
        <v>0</v>
      </c>
      <c r="AS37" s="88"/>
      <c r="AT37" s="88"/>
      <c r="AU37" s="88"/>
      <c r="AV37" s="88"/>
      <c r="AW37" s="89">
        <f t="shared" si="36"/>
        <v>0</v>
      </c>
      <c r="AX37" s="88"/>
      <c r="AY37" s="88"/>
      <c r="AZ37" s="88"/>
      <c r="BA37" s="88"/>
      <c r="BB37" s="89">
        <f t="shared" si="37"/>
        <v>0</v>
      </c>
      <c r="BC37" s="88"/>
      <c r="BD37" s="88"/>
      <c r="BE37" s="88"/>
      <c r="BF37" s="88"/>
      <c r="BG37" s="88"/>
      <c r="BH37" s="89">
        <f t="shared" si="38"/>
        <v>0</v>
      </c>
      <c r="BI37" s="88"/>
      <c r="BJ37" s="88"/>
      <c r="BK37" s="88"/>
      <c r="BL37" s="88"/>
      <c r="BM37" s="89">
        <f t="shared" si="39"/>
        <v>0</v>
      </c>
    </row>
    <row r="38" spans="1:65" ht="15.75" customHeight="1" x14ac:dyDescent="0.25">
      <c r="A38" s="93" t="s">
        <v>401</v>
      </c>
      <c r="B38" s="94">
        <f t="shared" ref="B38:AG38" si="40">SUM(B30:B33)</f>
        <v>380</v>
      </c>
      <c r="C38" s="94">
        <f t="shared" si="40"/>
        <v>340</v>
      </c>
      <c r="D38" s="94">
        <f t="shared" si="40"/>
        <v>180</v>
      </c>
      <c r="E38" s="94">
        <f t="shared" si="40"/>
        <v>400</v>
      </c>
      <c r="F38" s="94">
        <f t="shared" si="40"/>
        <v>1300</v>
      </c>
      <c r="G38" s="94">
        <f t="shared" si="40"/>
        <v>280</v>
      </c>
      <c r="H38" s="94">
        <f t="shared" si="40"/>
        <v>340</v>
      </c>
      <c r="I38" s="94">
        <f t="shared" si="40"/>
        <v>380</v>
      </c>
      <c r="J38" s="94">
        <f t="shared" si="40"/>
        <v>320</v>
      </c>
      <c r="K38" s="94">
        <f t="shared" si="40"/>
        <v>1320</v>
      </c>
      <c r="L38" s="94">
        <f t="shared" si="40"/>
        <v>320</v>
      </c>
      <c r="M38" s="94">
        <f t="shared" si="40"/>
        <v>400</v>
      </c>
      <c r="N38" s="94">
        <f t="shared" si="40"/>
        <v>400</v>
      </c>
      <c r="O38" s="94">
        <f t="shared" si="40"/>
        <v>900</v>
      </c>
      <c r="P38" s="94">
        <f t="shared" si="40"/>
        <v>360</v>
      </c>
      <c r="Q38" s="94">
        <f t="shared" si="40"/>
        <v>2380</v>
      </c>
      <c r="R38" s="94">
        <f t="shared" si="40"/>
        <v>0</v>
      </c>
      <c r="S38" s="94">
        <f t="shared" si="40"/>
        <v>0</v>
      </c>
      <c r="T38" s="94">
        <f t="shared" si="40"/>
        <v>0</v>
      </c>
      <c r="U38" s="94">
        <f t="shared" si="40"/>
        <v>0</v>
      </c>
      <c r="V38" s="94">
        <f t="shared" si="40"/>
        <v>0</v>
      </c>
      <c r="W38" s="94">
        <f t="shared" si="40"/>
        <v>60</v>
      </c>
      <c r="X38" s="94">
        <f t="shared" si="40"/>
        <v>160</v>
      </c>
      <c r="Y38" s="94">
        <f t="shared" si="40"/>
        <v>0</v>
      </c>
      <c r="Z38" s="94">
        <f t="shared" si="40"/>
        <v>0</v>
      </c>
      <c r="AA38" s="94">
        <f t="shared" si="40"/>
        <v>220</v>
      </c>
      <c r="AB38" s="94">
        <f t="shared" si="40"/>
        <v>0</v>
      </c>
      <c r="AC38" s="94">
        <f t="shared" si="40"/>
        <v>0</v>
      </c>
      <c r="AD38" s="94">
        <f t="shared" si="40"/>
        <v>0</v>
      </c>
      <c r="AE38" s="94">
        <f t="shared" si="40"/>
        <v>0</v>
      </c>
      <c r="AF38" s="94">
        <f t="shared" si="40"/>
        <v>0</v>
      </c>
      <c r="AG38" s="94">
        <f t="shared" si="40"/>
        <v>0</v>
      </c>
      <c r="AH38" s="94">
        <f t="shared" ref="AH38:BM38" si="41">SUM(AH30:AH33)</f>
        <v>0</v>
      </c>
      <c r="AI38" s="94">
        <f t="shared" si="41"/>
        <v>0</v>
      </c>
      <c r="AJ38" s="94">
        <f t="shared" si="41"/>
        <v>0</v>
      </c>
      <c r="AK38" s="94">
        <f t="shared" si="41"/>
        <v>0</v>
      </c>
      <c r="AL38" s="94">
        <f t="shared" si="41"/>
        <v>0</v>
      </c>
      <c r="AM38" s="94">
        <f t="shared" si="41"/>
        <v>0</v>
      </c>
      <c r="AN38" s="94">
        <f t="shared" si="41"/>
        <v>0</v>
      </c>
      <c r="AO38" s="94">
        <f t="shared" si="41"/>
        <v>0</v>
      </c>
      <c r="AP38" s="94">
        <f t="shared" si="41"/>
        <v>0</v>
      </c>
      <c r="AQ38" s="94">
        <f t="shared" si="41"/>
        <v>0</v>
      </c>
      <c r="AR38" s="94">
        <f t="shared" si="41"/>
        <v>0</v>
      </c>
      <c r="AS38" s="94">
        <f t="shared" si="41"/>
        <v>0</v>
      </c>
      <c r="AT38" s="94">
        <f t="shared" si="41"/>
        <v>0</v>
      </c>
      <c r="AU38" s="94">
        <f t="shared" si="41"/>
        <v>0</v>
      </c>
      <c r="AV38" s="94">
        <f t="shared" si="41"/>
        <v>0</v>
      </c>
      <c r="AW38" s="94">
        <f t="shared" si="41"/>
        <v>0</v>
      </c>
      <c r="AX38" s="94">
        <f t="shared" si="41"/>
        <v>0</v>
      </c>
      <c r="AY38" s="94">
        <f t="shared" si="41"/>
        <v>0</v>
      </c>
      <c r="AZ38" s="94">
        <f t="shared" si="41"/>
        <v>0</v>
      </c>
      <c r="BA38" s="94">
        <f t="shared" si="41"/>
        <v>0</v>
      </c>
      <c r="BB38" s="94">
        <f t="shared" si="41"/>
        <v>0</v>
      </c>
      <c r="BC38" s="94">
        <f t="shared" si="41"/>
        <v>0</v>
      </c>
      <c r="BD38" s="94">
        <f t="shared" si="41"/>
        <v>0</v>
      </c>
      <c r="BE38" s="94">
        <f t="shared" si="41"/>
        <v>0</v>
      </c>
      <c r="BF38" s="94">
        <f t="shared" si="41"/>
        <v>0</v>
      </c>
      <c r="BG38" s="94">
        <f t="shared" si="41"/>
        <v>0</v>
      </c>
      <c r="BH38" s="94">
        <f t="shared" si="41"/>
        <v>0</v>
      </c>
      <c r="BI38" s="94">
        <f t="shared" si="41"/>
        <v>0</v>
      </c>
      <c r="BJ38" s="94">
        <f t="shared" si="41"/>
        <v>0</v>
      </c>
      <c r="BK38" s="94">
        <f t="shared" si="41"/>
        <v>0</v>
      </c>
      <c r="BL38" s="94">
        <f t="shared" si="41"/>
        <v>0</v>
      </c>
      <c r="BM38" s="94">
        <f t="shared" si="41"/>
        <v>0</v>
      </c>
    </row>
    <row r="40" spans="1:65" ht="18" customHeight="1" x14ac:dyDescent="0.25">
      <c r="A40" s="505" t="s">
        <v>542</v>
      </c>
      <c r="B40" s="506"/>
      <c r="C40" s="506"/>
      <c r="D40" s="506"/>
      <c r="E40" s="506"/>
      <c r="F40" s="506"/>
      <c r="G40" s="506"/>
      <c r="H40" s="506"/>
      <c r="I40" s="506"/>
      <c r="J40" s="506"/>
      <c r="K40" s="506"/>
      <c r="L40" s="506"/>
      <c r="M40" s="506"/>
      <c r="N40" s="506"/>
      <c r="O40" s="506"/>
      <c r="P40" s="506"/>
      <c r="Q40" s="506"/>
      <c r="R40" s="506"/>
      <c r="S40" s="506"/>
      <c r="T40" s="506"/>
      <c r="U40" s="506"/>
      <c r="V40" s="506"/>
      <c r="W40" s="506"/>
      <c r="X40" s="506"/>
      <c r="Y40" s="506"/>
      <c r="Z40" s="506"/>
      <c r="AA40" s="506"/>
      <c r="AB40" s="506"/>
      <c r="AC40" s="506"/>
      <c r="AD40" s="506"/>
      <c r="AE40" s="506"/>
      <c r="AF40" s="506"/>
      <c r="AG40" s="506"/>
      <c r="AH40" s="506"/>
      <c r="AI40" s="506"/>
      <c r="AJ40" s="506"/>
      <c r="AK40" s="506"/>
      <c r="AL40" s="506"/>
      <c r="AM40" s="506"/>
      <c r="AN40" s="506"/>
      <c r="AO40" s="506"/>
      <c r="AP40" s="506"/>
      <c r="AQ40" s="506"/>
      <c r="AR40" s="506"/>
      <c r="AS40" s="506"/>
      <c r="AT40" s="506"/>
      <c r="AU40" s="506"/>
      <c r="AV40" s="506"/>
      <c r="AW40" s="506"/>
      <c r="AX40" s="506"/>
      <c r="AY40" s="506"/>
      <c r="AZ40" s="506"/>
      <c r="BA40" s="506"/>
      <c r="BB40" s="506"/>
      <c r="BC40" s="506"/>
      <c r="BD40" s="506"/>
      <c r="BE40" s="506"/>
      <c r="BF40" s="506"/>
      <c r="BG40" s="506"/>
      <c r="BH40" s="506"/>
      <c r="BI40" s="506"/>
      <c r="BJ40" s="506"/>
      <c r="BK40" s="506"/>
      <c r="BL40" s="506"/>
      <c r="BM40" s="506"/>
    </row>
    <row r="41" spans="1:65" ht="18" customHeight="1" x14ac:dyDescent="0.25">
      <c r="A41" s="503" t="s">
        <v>222</v>
      </c>
      <c r="B41" s="503" t="s">
        <v>389</v>
      </c>
      <c r="C41" s="485"/>
      <c r="D41" s="485"/>
      <c r="E41" s="485"/>
      <c r="F41" s="486"/>
      <c r="G41" s="503" t="s">
        <v>390</v>
      </c>
      <c r="H41" s="485"/>
      <c r="I41" s="485"/>
      <c r="J41" s="485"/>
      <c r="K41" s="486"/>
      <c r="L41" s="503" t="s">
        <v>391</v>
      </c>
      <c r="M41" s="485"/>
      <c r="N41" s="485"/>
      <c r="O41" s="485"/>
      <c r="P41" s="485"/>
      <c r="Q41" s="486"/>
      <c r="R41" s="503" t="s">
        <v>413</v>
      </c>
      <c r="S41" s="485"/>
      <c r="T41" s="485"/>
      <c r="U41" s="485"/>
      <c r="V41" s="486"/>
      <c r="W41" s="503" t="s">
        <v>414</v>
      </c>
      <c r="X41" s="485"/>
      <c r="Y41" s="485"/>
      <c r="Z41" s="485"/>
      <c r="AA41" s="486"/>
      <c r="AB41" s="503" t="s">
        <v>543</v>
      </c>
      <c r="AC41" s="485"/>
      <c r="AD41" s="485"/>
      <c r="AE41" s="485"/>
      <c r="AF41" s="485"/>
      <c r="AG41" s="486"/>
      <c r="AH41" s="503" t="s">
        <v>544</v>
      </c>
      <c r="AI41" s="485"/>
      <c r="AJ41" s="485"/>
      <c r="AK41" s="485"/>
      <c r="AL41" s="486"/>
      <c r="AM41" s="503" t="s">
        <v>545</v>
      </c>
      <c r="AN41" s="485"/>
      <c r="AO41" s="485"/>
      <c r="AP41" s="485"/>
      <c r="AQ41" s="485"/>
      <c r="AR41" s="486"/>
      <c r="AS41" s="503" t="s">
        <v>546</v>
      </c>
      <c r="AT41" s="485"/>
      <c r="AU41" s="485"/>
      <c r="AV41" s="485"/>
      <c r="AW41" s="486"/>
      <c r="AX41" s="503" t="s">
        <v>547</v>
      </c>
      <c r="AY41" s="485"/>
      <c r="AZ41" s="485"/>
      <c r="BA41" s="485"/>
      <c r="BB41" s="486"/>
      <c r="BC41" s="503" t="s">
        <v>548</v>
      </c>
      <c r="BD41" s="485"/>
      <c r="BE41" s="485"/>
      <c r="BF41" s="485"/>
      <c r="BG41" s="485"/>
      <c r="BH41" s="486"/>
      <c r="BI41" s="503" t="s">
        <v>388</v>
      </c>
      <c r="BJ41" s="485"/>
      <c r="BK41" s="485"/>
      <c r="BL41" s="485"/>
      <c r="BM41" s="486"/>
    </row>
    <row r="42" spans="1:65" ht="15.75" customHeight="1" x14ac:dyDescent="0.25">
      <c r="A42" s="487"/>
      <c r="B42" s="85">
        <v>46027</v>
      </c>
      <c r="C42" s="85">
        <v>46034</v>
      </c>
      <c r="D42" s="85">
        <v>46041</v>
      </c>
      <c r="E42" s="85">
        <v>46048</v>
      </c>
      <c r="F42" s="86" t="s">
        <v>129</v>
      </c>
      <c r="G42" s="85">
        <v>46055</v>
      </c>
      <c r="H42" s="85">
        <v>46062</v>
      </c>
      <c r="I42" s="85">
        <v>46069</v>
      </c>
      <c r="J42" s="85">
        <v>46076</v>
      </c>
      <c r="K42" s="86" t="s">
        <v>129</v>
      </c>
      <c r="L42" s="85">
        <v>46083</v>
      </c>
      <c r="M42" s="85">
        <v>46090</v>
      </c>
      <c r="N42" s="85">
        <v>46097</v>
      </c>
      <c r="O42" s="85">
        <v>46104</v>
      </c>
      <c r="P42" s="85">
        <v>46111</v>
      </c>
      <c r="Q42" s="86" t="s">
        <v>129</v>
      </c>
      <c r="R42" s="85">
        <v>46118</v>
      </c>
      <c r="S42" s="85">
        <v>46125</v>
      </c>
      <c r="T42" s="85">
        <v>46132</v>
      </c>
      <c r="U42" s="85">
        <v>46139</v>
      </c>
      <c r="V42" s="86" t="s">
        <v>129</v>
      </c>
      <c r="W42" s="85">
        <v>46146</v>
      </c>
      <c r="X42" s="85">
        <v>46153</v>
      </c>
      <c r="Y42" s="85">
        <v>46160</v>
      </c>
      <c r="Z42" s="85">
        <v>46167</v>
      </c>
      <c r="AA42" s="86" t="s">
        <v>129</v>
      </c>
      <c r="AB42" s="85">
        <v>46174</v>
      </c>
      <c r="AC42" s="85">
        <v>46181</v>
      </c>
      <c r="AD42" s="85">
        <v>46188</v>
      </c>
      <c r="AE42" s="85">
        <v>46195</v>
      </c>
      <c r="AF42" s="85">
        <v>46202</v>
      </c>
      <c r="AG42" s="86" t="s">
        <v>129</v>
      </c>
      <c r="AH42" s="85">
        <v>46209</v>
      </c>
      <c r="AI42" s="85">
        <v>46216</v>
      </c>
      <c r="AJ42" s="85">
        <v>46223</v>
      </c>
      <c r="AK42" s="85">
        <v>46230</v>
      </c>
      <c r="AL42" s="86" t="s">
        <v>129</v>
      </c>
      <c r="AM42" s="85">
        <v>46237</v>
      </c>
      <c r="AN42" s="85">
        <v>46244</v>
      </c>
      <c r="AO42" s="85">
        <v>46251</v>
      </c>
      <c r="AP42" s="85">
        <v>46258</v>
      </c>
      <c r="AQ42" s="85">
        <v>46265</v>
      </c>
      <c r="AR42" s="86" t="s">
        <v>129</v>
      </c>
      <c r="AS42" s="85">
        <v>46272</v>
      </c>
      <c r="AT42" s="85">
        <v>46279</v>
      </c>
      <c r="AU42" s="85">
        <v>46286</v>
      </c>
      <c r="AV42" s="85">
        <v>46293</v>
      </c>
      <c r="AW42" s="86" t="s">
        <v>129</v>
      </c>
      <c r="AX42" s="85">
        <v>46300</v>
      </c>
      <c r="AY42" s="85">
        <v>46307</v>
      </c>
      <c r="AZ42" s="85">
        <v>46314</v>
      </c>
      <c r="BA42" s="85">
        <v>46321</v>
      </c>
      <c r="BB42" s="86" t="s">
        <v>129</v>
      </c>
      <c r="BC42" s="85">
        <v>46328</v>
      </c>
      <c r="BD42" s="85">
        <v>46335</v>
      </c>
      <c r="BE42" s="85">
        <v>46342</v>
      </c>
      <c r="BF42" s="85">
        <v>46349</v>
      </c>
      <c r="BG42" s="85">
        <v>46356</v>
      </c>
      <c r="BH42" s="86" t="s">
        <v>129</v>
      </c>
      <c r="BI42" s="85">
        <v>46363</v>
      </c>
      <c r="BJ42" s="85">
        <v>46370</v>
      </c>
      <c r="BK42" s="85">
        <v>46377</v>
      </c>
      <c r="BL42" s="85">
        <v>46384</v>
      </c>
      <c r="BM42" s="86" t="s">
        <v>129</v>
      </c>
    </row>
    <row r="43" spans="1:65" ht="15.75" customHeight="1" x14ac:dyDescent="0.25">
      <c r="A43" s="90" t="s">
        <v>132</v>
      </c>
      <c r="B43" s="88">
        <v>30</v>
      </c>
      <c r="C43" s="88">
        <v>0</v>
      </c>
      <c r="D43" s="88">
        <v>30</v>
      </c>
      <c r="E43" s="88">
        <v>15</v>
      </c>
      <c r="F43" s="89">
        <f t="shared" ref="F43:F50" si="42">B43+C43+D43+E43</f>
        <v>75</v>
      </c>
      <c r="G43" s="88">
        <v>45</v>
      </c>
      <c r="H43" s="88">
        <v>30</v>
      </c>
      <c r="I43" s="88">
        <v>45</v>
      </c>
      <c r="J43" s="88">
        <v>0</v>
      </c>
      <c r="K43" s="89">
        <f t="shared" ref="K43:K50" si="43">G43+H43+I43+J43</f>
        <v>120</v>
      </c>
      <c r="L43" s="88">
        <v>60</v>
      </c>
      <c r="M43" s="88">
        <v>45</v>
      </c>
      <c r="N43" s="88">
        <v>45</v>
      </c>
      <c r="O43" s="88">
        <v>45</v>
      </c>
      <c r="P43" s="88">
        <v>30</v>
      </c>
      <c r="Q43" s="89">
        <f t="shared" ref="Q43:Q50" si="44">L43+M43+N43+O43+P43</f>
        <v>225</v>
      </c>
      <c r="R43" s="88"/>
      <c r="S43" s="88"/>
      <c r="T43" s="88"/>
      <c r="U43" s="88"/>
      <c r="V43" s="89">
        <f t="shared" ref="V43:V50" si="45">R43+S43+T43+U43</f>
        <v>0</v>
      </c>
      <c r="W43" s="88">
        <v>45</v>
      </c>
      <c r="X43" s="88">
        <v>105</v>
      </c>
      <c r="Y43" s="88"/>
      <c r="Z43" s="88"/>
      <c r="AA43" s="89">
        <f t="shared" ref="AA43:AA50" si="46">W43+X43+Y43+Z43</f>
        <v>150</v>
      </c>
      <c r="AB43" s="88"/>
      <c r="AC43" s="88"/>
      <c r="AD43" s="88"/>
      <c r="AE43" s="88"/>
      <c r="AF43" s="88"/>
      <c r="AG43" s="89">
        <f t="shared" ref="AG43:AG50" si="47">AB43+AC43+AD43+AE43+AF43</f>
        <v>0</v>
      </c>
      <c r="AH43" s="88"/>
      <c r="AI43" s="88"/>
      <c r="AJ43" s="88"/>
      <c r="AK43" s="88"/>
      <c r="AL43" s="89">
        <f t="shared" ref="AL43:AL50" si="48">AH43+AI43+AJ43+AK43</f>
        <v>0</v>
      </c>
      <c r="AM43" s="88"/>
      <c r="AN43" s="88"/>
      <c r="AO43" s="88"/>
      <c r="AP43" s="88"/>
      <c r="AQ43" s="88"/>
      <c r="AR43" s="89">
        <f t="shared" ref="AR43:AR50" si="49">AM43+AN43+AO43+AP43+AQ43</f>
        <v>0</v>
      </c>
      <c r="AS43" s="88"/>
      <c r="AT43" s="88"/>
      <c r="AU43" s="88"/>
      <c r="AV43" s="88"/>
      <c r="AW43" s="89">
        <f t="shared" ref="AW43:AW50" si="50">AS43+AT43+AU43+AV43</f>
        <v>0</v>
      </c>
      <c r="AX43" s="88"/>
      <c r="AY43" s="88"/>
      <c r="AZ43" s="88"/>
      <c r="BA43" s="88"/>
      <c r="BB43" s="89">
        <f t="shared" ref="BB43:BB50" si="51">AX43+AY43+AZ43+BA43</f>
        <v>0</v>
      </c>
      <c r="BC43" s="88"/>
      <c r="BD43" s="88"/>
      <c r="BE43" s="88"/>
      <c r="BF43" s="88"/>
      <c r="BG43" s="88"/>
      <c r="BH43" s="89">
        <f t="shared" ref="BH43:BH50" si="52">BC43+BD43+BE43+BF43+BG43</f>
        <v>0</v>
      </c>
      <c r="BI43" s="88"/>
      <c r="BJ43" s="88"/>
      <c r="BK43" s="88"/>
      <c r="BL43" s="88"/>
      <c r="BM43" s="89">
        <f t="shared" ref="BM43:BM50" si="53">BI43+BJ43+BK43+BL43</f>
        <v>0</v>
      </c>
    </row>
    <row r="44" spans="1:65" ht="15.75" customHeight="1" x14ac:dyDescent="0.25">
      <c r="A44" s="90" t="s">
        <v>549</v>
      </c>
      <c r="B44" s="88">
        <v>90</v>
      </c>
      <c r="C44" s="88">
        <v>155</v>
      </c>
      <c r="D44" s="88">
        <v>120</v>
      </c>
      <c r="E44" s="88">
        <v>95</v>
      </c>
      <c r="F44" s="89">
        <f t="shared" si="42"/>
        <v>460</v>
      </c>
      <c r="G44" s="88">
        <v>135</v>
      </c>
      <c r="H44" s="88">
        <v>140</v>
      </c>
      <c r="I44" s="88">
        <v>140</v>
      </c>
      <c r="J44" s="88">
        <v>120</v>
      </c>
      <c r="K44" s="89">
        <f t="shared" si="43"/>
        <v>535</v>
      </c>
      <c r="L44" s="88">
        <v>110</v>
      </c>
      <c r="M44" s="88">
        <v>170</v>
      </c>
      <c r="N44" s="88">
        <v>150</v>
      </c>
      <c r="O44" s="88">
        <v>185</v>
      </c>
      <c r="P44" s="88">
        <v>110</v>
      </c>
      <c r="Q44" s="89">
        <f t="shared" si="44"/>
        <v>725</v>
      </c>
      <c r="R44" s="88"/>
      <c r="S44" s="88"/>
      <c r="T44" s="88"/>
      <c r="U44" s="88"/>
      <c r="V44" s="89">
        <f t="shared" si="45"/>
        <v>0</v>
      </c>
      <c r="W44" s="88">
        <v>0</v>
      </c>
      <c r="X44" s="88">
        <v>60</v>
      </c>
      <c r="Y44" s="88"/>
      <c r="Z44" s="88"/>
      <c r="AA44" s="89">
        <f t="shared" si="46"/>
        <v>60</v>
      </c>
      <c r="AB44" s="88"/>
      <c r="AC44" s="88"/>
      <c r="AD44" s="88"/>
      <c r="AE44" s="88"/>
      <c r="AF44" s="88"/>
      <c r="AG44" s="89">
        <f t="shared" si="47"/>
        <v>0</v>
      </c>
      <c r="AH44" s="88"/>
      <c r="AI44" s="88"/>
      <c r="AJ44" s="88"/>
      <c r="AK44" s="88"/>
      <c r="AL44" s="89">
        <f t="shared" si="48"/>
        <v>0</v>
      </c>
      <c r="AM44" s="88"/>
      <c r="AN44" s="88"/>
      <c r="AO44" s="88"/>
      <c r="AP44" s="88"/>
      <c r="AQ44" s="88"/>
      <c r="AR44" s="89">
        <f t="shared" si="49"/>
        <v>0</v>
      </c>
      <c r="AS44" s="88"/>
      <c r="AT44" s="88"/>
      <c r="AU44" s="88"/>
      <c r="AV44" s="88"/>
      <c r="AW44" s="89">
        <f t="shared" si="50"/>
        <v>0</v>
      </c>
      <c r="AX44" s="88"/>
      <c r="AY44" s="88"/>
      <c r="AZ44" s="88"/>
      <c r="BA44" s="88"/>
      <c r="BB44" s="89">
        <f t="shared" si="51"/>
        <v>0</v>
      </c>
      <c r="BC44" s="88"/>
      <c r="BD44" s="88"/>
      <c r="BE44" s="88"/>
      <c r="BF44" s="88"/>
      <c r="BG44" s="88"/>
      <c r="BH44" s="89">
        <f t="shared" si="52"/>
        <v>0</v>
      </c>
      <c r="BI44" s="88"/>
      <c r="BJ44" s="88"/>
      <c r="BK44" s="88"/>
      <c r="BL44" s="88"/>
      <c r="BM44" s="89">
        <f t="shared" si="53"/>
        <v>0</v>
      </c>
    </row>
    <row r="45" spans="1:65" ht="15.75" customHeight="1" x14ac:dyDescent="0.25">
      <c r="A45" s="90" t="s">
        <v>137</v>
      </c>
      <c r="B45" s="88">
        <v>60</v>
      </c>
      <c r="C45" s="88">
        <v>60</v>
      </c>
      <c r="D45" s="88">
        <v>50</v>
      </c>
      <c r="E45" s="88">
        <v>45</v>
      </c>
      <c r="F45" s="89">
        <f t="shared" si="42"/>
        <v>215</v>
      </c>
      <c r="G45" s="88">
        <v>45</v>
      </c>
      <c r="H45" s="88">
        <v>60</v>
      </c>
      <c r="I45" s="88">
        <v>30</v>
      </c>
      <c r="J45" s="88">
        <v>35</v>
      </c>
      <c r="K45" s="89">
        <f t="shared" si="43"/>
        <v>170</v>
      </c>
      <c r="L45" s="88">
        <v>45</v>
      </c>
      <c r="M45" s="88">
        <v>60</v>
      </c>
      <c r="N45" s="88">
        <v>60</v>
      </c>
      <c r="O45" s="88">
        <v>50</v>
      </c>
      <c r="P45" s="88">
        <v>15</v>
      </c>
      <c r="Q45" s="89">
        <f t="shared" si="44"/>
        <v>230</v>
      </c>
      <c r="R45" s="88"/>
      <c r="S45" s="88"/>
      <c r="T45" s="88"/>
      <c r="U45" s="88"/>
      <c r="V45" s="89">
        <f t="shared" si="45"/>
        <v>0</v>
      </c>
      <c r="W45" s="88">
        <v>0</v>
      </c>
      <c r="X45" s="88">
        <v>30</v>
      </c>
      <c r="Y45" s="88"/>
      <c r="Z45" s="88"/>
      <c r="AA45" s="89">
        <f t="shared" si="46"/>
        <v>30</v>
      </c>
      <c r="AB45" s="88"/>
      <c r="AC45" s="88"/>
      <c r="AD45" s="88"/>
      <c r="AE45" s="88"/>
      <c r="AF45" s="88"/>
      <c r="AG45" s="89">
        <f t="shared" si="47"/>
        <v>0</v>
      </c>
      <c r="AH45" s="88"/>
      <c r="AI45" s="88"/>
      <c r="AJ45" s="88"/>
      <c r="AK45" s="88"/>
      <c r="AL45" s="89">
        <f t="shared" si="48"/>
        <v>0</v>
      </c>
      <c r="AM45" s="88"/>
      <c r="AN45" s="88"/>
      <c r="AO45" s="88"/>
      <c r="AP45" s="88"/>
      <c r="AQ45" s="88"/>
      <c r="AR45" s="89">
        <f t="shared" si="49"/>
        <v>0</v>
      </c>
      <c r="AS45" s="88"/>
      <c r="AT45" s="88"/>
      <c r="AU45" s="88"/>
      <c r="AV45" s="88"/>
      <c r="AW45" s="89">
        <f t="shared" si="50"/>
        <v>0</v>
      </c>
      <c r="AX45" s="88"/>
      <c r="AY45" s="88"/>
      <c r="AZ45" s="88"/>
      <c r="BA45" s="88"/>
      <c r="BB45" s="89">
        <f t="shared" si="51"/>
        <v>0</v>
      </c>
      <c r="BC45" s="88"/>
      <c r="BD45" s="88"/>
      <c r="BE45" s="88"/>
      <c r="BF45" s="88"/>
      <c r="BG45" s="88"/>
      <c r="BH45" s="89">
        <f t="shared" si="52"/>
        <v>0</v>
      </c>
      <c r="BI45" s="88"/>
      <c r="BJ45" s="88"/>
      <c r="BK45" s="88"/>
      <c r="BL45" s="88"/>
      <c r="BM45" s="89">
        <f t="shared" si="53"/>
        <v>0</v>
      </c>
    </row>
    <row r="46" spans="1:65" ht="15.75" customHeight="1" x14ac:dyDescent="0.25">
      <c r="A46" s="91" t="s">
        <v>550</v>
      </c>
      <c r="B46" s="88">
        <v>0</v>
      </c>
      <c r="C46" s="88">
        <v>0</v>
      </c>
      <c r="D46" s="88">
        <v>50</v>
      </c>
      <c r="E46" s="88">
        <v>0</v>
      </c>
      <c r="F46" s="89">
        <f t="shared" si="42"/>
        <v>50</v>
      </c>
      <c r="G46" s="88">
        <v>0</v>
      </c>
      <c r="H46" s="88">
        <v>0</v>
      </c>
      <c r="I46" s="88">
        <v>0</v>
      </c>
      <c r="J46" s="88">
        <v>0</v>
      </c>
      <c r="K46" s="89">
        <f t="shared" si="43"/>
        <v>0</v>
      </c>
      <c r="L46" s="88">
        <v>0</v>
      </c>
      <c r="M46" s="88">
        <v>0</v>
      </c>
      <c r="N46" s="88">
        <v>0</v>
      </c>
      <c r="O46" s="88">
        <v>0</v>
      </c>
      <c r="P46" s="88">
        <v>0</v>
      </c>
      <c r="Q46" s="89">
        <f t="shared" si="44"/>
        <v>0</v>
      </c>
      <c r="R46" s="88"/>
      <c r="S46" s="88"/>
      <c r="T46" s="88"/>
      <c r="U46" s="88"/>
      <c r="V46" s="89">
        <f t="shared" si="45"/>
        <v>0</v>
      </c>
      <c r="W46" s="88">
        <v>0</v>
      </c>
      <c r="X46" s="88">
        <v>0</v>
      </c>
      <c r="Y46" s="88"/>
      <c r="Z46" s="88"/>
      <c r="AA46" s="89">
        <f t="shared" si="46"/>
        <v>0</v>
      </c>
      <c r="AB46" s="88"/>
      <c r="AC46" s="88"/>
      <c r="AD46" s="88"/>
      <c r="AE46" s="88"/>
      <c r="AF46" s="88"/>
      <c r="AG46" s="89">
        <f t="shared" si="47"/>
        <v>0</v>
      </c>
      <c r="AH46" s="88"/>
      <c r="AI46" s="88"/>
      <c r="AJ46" s="88"/>
      <c r="AK46" s="88"/>
      <c r="AL46" s="89">
        <f t="shared" si="48"/>
        <v>0</v>
      </c>
      <c r="AM46" s="88"/>
      <c r="AN46" s="88"/>
      <c r="AO46" s="88"/>
      <c r="AP46" s="88"/>
      <c r="AQ46" s="88"/>
      <c r="AR46" s="89">
        <f t="shared" si="49"/>
        <v>0</v>
      </c>
      <c r="AS46" s="88"/>
      <c r="AT46" s="88"/>
      <c r="AU46" s="88"/>
      <c r="AV46" s="88"/>
      <c r="AW46" s="89">
        <f t="shared" si="50"/>
        <v>0</v>
      </c>
      <c r="AX46" s="88"/>
      <c r="AY46" s="88"/>
      <c r="AZ46" s="88"/>
      <c r="BA46" s="88"/>
      <c r="BB46" s="89">
        <f t="shared" si="51"/>
        <v>0</v>
      </c>
      <c r="BC46" s="88"/>
      <c r="BD46" s="88"/>
      <c r="BE46" s="88"/>
      <c r="BF46" s="88"/>
      <c r="BG46" s="88"/>
      <c r="BH46" s="89">
        <f t="shared" si="52"/>
        <v>0</v>
      </c>
      <c r="BI46" s="88"/>
      <c r="BJ46" s="88"/>
      <c r="BK46" s="88"/>
      <c r="BL46" s="88"/>
      <c r="BM46" s="89">
        <f t="shared" si="53"/>
        <v>0</v>
      </c>
    </row>
    <row r="47" spans="1:65" ht="15.75" customHeight="1" x14ac:dyDescent="0.25">
      <c r="A47" s="92" t="s">
        <v>224</v>
      </c>
      <c r="B47" s="88">
        <v>0</v>
      </c>
      <c r="C47" s="88">
        <v>0</v>
      </c>
      <c r="D47" s="88">
        <v>0</v>
      </c>
      <c r="E47" s="88">
        <v>1</v>
      </c>
      <c r="F47" s="89">
        <f t="shared" si="42"/>
        <v>1</v>
      </c>
      <c r="G47" s="88">
        <v>1</v>
      </c>
      <c r="H47" s="88">
        <v>1</v>
      </c>
      <c r="I47" s="88">
        <v>0</v>
      </c>
      <c r="J47" s="88">
        <v>1</v>
      </c>
      <c r="K47" s="89">
        <f t="shared" si="43"/>
        <v>3</v>
      </c>
      <c r="L47" s="88">
        <v>1</v>
      </c>
      <c r="M47" s="88">
        <v>1</v>
      </c>
      <c r="N47" s="88">
        <v>1</v>
      </c>
      <c r="O47" s="88">
        <v>1</v>
      </c>
      <c r="P47" s="88">
        <v>0</v>
      </c>
      <c r="Q47" s="89">
        <f t="shared" si="44"/>
        <v>4</v>
      </c>
      <c r="R47" s="88"/>
      <c r="S47" s="88"/>
      <c r="T47" s="88"/>
      <c r="U47" s="88"/>
      <c r="V47" s="89">
        <f t="shared" si="45"/>
        <v>0</v>
      </c>
      <c r="W47" s="88">
        <v>0</v>
      </c>
      <c r="X47" s="88">
        <v>0</v>
      </c>
      <c r="Y47" s="88"/>
      <c r="Z47" s="88"/>
      <c r="AA47" s="89">
        <f t="shared" si="46"/>
        <v>0</v>
      </c>
      <c r="AB47" s="88"/>
      <c r="AC47" s="88"/>
      <c r="AD47" s="88"/>
      <c r="AE47" s="88"/>
      <c r="AF47" s="88"/>
      <c r="AG47" s="89">
        <f t="shared" si="47"/>
        <v>0</v>
      </c>
      <c r="AH47" s="88"/>
      <c r="AI47" s="88"/>
      <c r="AJ47" s="88"/>
      <c r="AK47" s="88"/>
      <c r="AL47" s="89">
        <f t="shared" si="48"/>
        <v>0</v>
      </c>
      <c r="AM47" s="88"/>
      <c r="AN47" s="88"/>
      <c r="AO47" s="88"/>
      <c r="AP47" s="88"/>
      <c r="AQ47" s="88"/>
      <c r="AR47" s="89">
        <f t="shared" si="49"/>
        <v>0</v>
      </c>
      <c r="AS47" s="88"/>
      <c r="AT47" s="88"/>
      <c r="AU47" s="88"/>
      <c r="AV47" s="88"/>
      <c r="AW47" s="89">
        <f t="shared" si="50"/>
        <v>0</v>
      </c>
      <c r="AX47" s="88"/>
      <c r="AY47" s="88"/>
      <c r="AZ47" s="88"/>
      <c r="BA47" s="88"/>
      <c r="BB47" s="89">
        <f t="shared" si="51"/>
        <v>0</v>
      </c>
      <c r="BC47" s="88"/>
      <c r="BD47" s="88"/>
      <c r="BE47" s="88"/>
      <c r="BF47" s="88"/>
      <c r="BG47" s="88"/>
      <c r="BH47" s="89">
        <f t="shared" si="52"/>
        <v>0</v>
      </c>
      <c r="BI47" s="88"/>
      <c r="BJ47" s="88"/>
      <c r="BK47" s="88"/>
      <c r="BL47" s="88"/>
      <c r="BM47" s="89">
        <f t="shared" si="53"/>
        <v>0</v>
      </c>
    </row>
    <row r="48" spans="1:65" ht="15.75" customHeight="1" x14ac:dyDescent="0.25">
      <c r="A48" s="92" t="s">
        <v>225</v>
      </c>
      <c r="B48" s="88">
        <v>0</v>
      </c>
      <c r="C48" s="88">
        <v>1</v>
      </c>
      <c r="D48" s="88">
        <v>1</v>
      </c>
      <c r="E48" s="88">
        <v>0</v>
      </c>
      <c r="F48" s="89">
        <f t="shared" si="42"/>
        <v>2</v>
      </c>
      <c r="G48" s="88">
        <v>0</v>
      </c>
      <c r="H48" s="88">
        <v>0</v>
      </c>
      <c r="I48" s="88">
        <v>0</v>
      </c>
      <c r="J48" s="88">
        <v>0</v>
      </c>
      <c r="K48" s="89">
        <f t="shared" si="43"/>
        <v>0</v>
      </c>
      <c r="L48" s="88">
        <v>0</v>
      </c>
      <c r="M48" s="88">
        <v>0</v>
      </c>
      <c r="N48" s="88">
        <v>0</v>
      </c>
      <c r="O48" s="88">
        <v>0</v>
      </c>
      <c r="P48" s="88">
        <v>0</v>
      </c>
      <c r="Q48" s="89">
        <f t="shared" si="44"/>
        <v>0</v>
      </c>
      <c r="R48" s="88"/>
      <c r="S48" s="88"/>
      <c r="T48" s="88"/>
      <c r="U48" s="88"/>
      <c r="V48" s="89">
        <f t="shared" si="45"/>
        <v>0</v>
      </c>
      <c r="W48" s="88">
        <v>0</v>
      </c>
      <c r="X48" s="88">
        <v>0</v>
      </c>
      <c r="Y48" s="88"/>
      <c r="Z48" s="88"/>
      <c r="AA48" s="89">
        <f t="shared" si="46"/>
        <v>0</v>
      </c>
      <c r="AB48" s="88"/>
      <c r="AC48" s="88"/>
      <c r="AD48" s="88"/>
      <c r="AE48" s="88"/>
      <c r="AF48" s="88"/>
      <c r="AG48" s="89">
        <f t="shared" si="47"/>
        <v>0</v>
      </c>
      <c r="AH48" s="88"/>
      <c r="AI48" s="88"/>
      <c r="AJ48" s="88"/>
      <c r="AK48" s="88"/>
      <c r="AL48" s="89">
        <f t="shared" si="48"/>
        <v>0</v>
      </c>
      <c r="AM48" s="88"/>
      <c r="AN48" s="88"/>
      <c r="AO48" s="88"/>
      <c r="AP48" s="88"/>
      <c r="AQ48" s="88"/>
      <c r="AR48" s="89">
        <f t="shared" si="49"/>
        <v>0</v>
      </c>
      <c r="AS48" s="88"/>
      <c r="AT48" s="88"/>
      <c r="AU48" s="88"/>
      <c r="AV48" s="88"/>
      <c r="AW48" s="89">
        <f t="shared" si="50"/>
        <v>0</v>
      </c>
      <c r="AX48" s="88"/>
      <c r="AY48" s="88"/>
      <c r="AZ48" s="88"/>
      <c r="BA48" s="88"/>
      <c r="BB48" s="89">
        <f t="shared" si="51"/>
        <v>0</v>
      </c>
      <c r="BC48" s="88"/>
      <c r="BD48" s="88"/>
      <c r="BE48" s="88"/>
      <c r="BF48" s="88"/>
      <c r="BG48" s="88"/>
      <c r="BH48" s="89">
        <f t="shared" si="52"/>
        <v>0</v>
      </c>
      <c r="BI48" s="88"/>
      <c r="BJ48" s="88"/>
      <c r="BK48" s="88"/>
      <c r="BL48" s="88"/>
      <c r="BM48" s="89">
        <f t="shared" si="53"/>
        <v>0</v>
      </c>
    </row>
    <row r="49" spans="1:65" ht="15.75" customHeight="1" x14ac:dyDescent="0.25">
      <c r="A49" s="92" t="s">
        <v>147</v>
      </c>
      <c r="B49" s="88">
        <v>1</v>
      </c>
      <c r="C49" s="88">
        <v>0</v>
      </c>
      <c r="D49" s="88">
        <v>0</v>
      </c>
      <c r="E49" s="88">
        <v>0</v>
      </c>
      <c r="F49" s="89">
        <f t="shared" si="42"/>
        <v>1</v>
      </c>
      <c r="G49" s="88">
        <v>1</v>
      </c>
      <c r="H49" s="88">
        <v>0</v>
      </c>
      <c r="I49" s="88">
        <v>1</v>
      </c>
      <c r="J49" s="88">
        <v>0</v>
      </c>
      <c r="K49" s="89">
        <f t="shared" si="43"/>
        <v>2</v>
      </c>
      <c r="L49" s="88">
        <v>0</v>
      </c>
      <c r="M49" s="88">
        <v>1</v>
      </c>
      <c r="N49" s="88">
        <v>0</v>
      </c>
      <c r="O49" s="88">
        <v>1</v>
      </c>
      <c r="P49" s="88">
        <v>0</v>
      </c>
      <c r="Q49" s="89">
        <f t="shared" si="44"/>
        <v>2</v>
      </c>
      <c r="R49" s="88"/>
      <c r="S49" s="88"/>
      <c r="T49" s="88"/>
      <c r="U49" s="88"/>
      <c r="V49" s="89">
        <f t="shared" si="45"/>
        <v>0</v>
      </c>
      <c r="W49" s="88">
        <v>1</v>
      </c>
      <c r="X49" s="88">
        <v>0</v>
      </c>
      <c r="Y49" s="88"/>
      <c r="Z49" s="88"/>
      <c r="AA49" s="89">
        <f t="shared" si="46"/>
        <v>1</v>
      </c>
      <c r="AB49" s="88"/>
      <c r="AC49" s="88"/>
      <c r="AD49" s="88"/>
      <c r="AE49" s="88"/>
      <c r="AF49" s="88"/>
      <c r="AG49" s="89">
        <f t="shared" si="47"/>
        <v>0</v>
      </c>
      <c r="AH49" s="88"/>
      <c r="AI49" s="88"/>
      <c r="AJ49" s="88"/>
      <c r="AK49" s="88"/>
      <c r="AL49" s="89">
        <f t="shared" si="48"/>
        <v>0</v>
      </c>
      <c r="AM49" s="88"/>
      <c r="AN49" s="88"/>
      <c r="AO49" s="88"/>
      <c r="AP49" s="88"/>
      <c r="AQ49" s="88"/>
      <c r="AR49" s="89">
        <f t="shared" si="49"/>
        <v>0</v>
      </c>
      <c r="AS49" s="88"/>
      <c r="AT49" s="88"/>
      <c r="AU49" s="88"/>
      <c r="AV49" s="88"/>
      <c r="AW49" s="89">
        <f t="shared" si="50"/>
        <v>0</v>
      </c>
      <c r="AX49" s="88"/>
      <c r="AY49" s="88"/>
      <c r="AZ49" s="88"/>
      <c r="BA49" s="88"/>
      <c r="BB49" s="89">
        <f t="shared" si="51"/>
        <v>0</v>
      </c>
      <c r="BC49" s="88"/>
      <c r="BD49" s="88"/>
      <c r="BE49" s="88"/>
      <c r="BF49" s="88"/>
      <c r="BG49" s="88"/>
      <c r="BH49" s="89">
        <f t="shared" si="52"/>
        <v>0</v>
      </c>
      <c r="BI49" s="88"/>
      <c r="BJ49" s="88"/>
      <c r="BK49" s="88"/>
      <c r="BL49" s="88"/>
      <c r="BM49" s="89">
        <f t="shared" si="53"/>
        <v>0</v>
      </c>
    </row>
    <row r="50" spans="1:65" ht="15.75" customHeight="1" x14ac:dyDescent="0.25">
      <c r="A50" s="92" t="s">
        <v>148</v>
      </c>
      <c r="B50" s="88">
        <v>0</v>
      </c>
      <c r="C50" s="88">
        <v>0</v>
      </c>
      <c r="D50" s="88">
        <v>0</v>
      </c>
      <c r="E50" s="88">
        <v>1</v>
      </c>
      <c r="F50" s="89">
        <f t="shared" si="42"/>
        <v>1</v>
      </c>
      <c r="G50" s="88">
        <v>0</v>
      </c>
      <c r="H50" s="88">
        <v>0</v>
      </c>
      <c r="I50" s="88">
        <v>0</v>
      </c>
      <c r="J50" s="88">
        <v>1</v>
      </c>
      <c r="K50" s="89">
        <f t="shared" si="43"/>
        <v>1</v>
      </c>
      <c r="L50" s="88">
        <v>0</v>
      </c>
      <c r="M50" s="88">
        <v>0</v>
      </c>
      <c r="N50" s="88">
        <v>1</v>
      </c>
      <c r="O50" s="88">
        <v>0</v>
      </c>
      <c r="P50" s="88">
        <v>0</v>
      </c>
      <c r="Q50" s="89">
        <f t="shared" si="44"/>
        <v>1</v>
      </c>
      <c r="R50" s="88"/>
      <c r="S50" s="88"/>
      <c r="T50" s="88"/>
      <c r="U50" s="88"/>
      <c r="V50" s="89">
        <f t="shared" si="45"/>
        <v>0</v>
      </c>
      <c r="W50" s="88">
        <v>0</v>
      </c>
      <c r="X50" s="88">
        <v>1</v>
      </c>
      <c r="Y50" s="88"/>
      <c r="Z50" s="88"/>
      <c r="AA50" s="89">
        <f t="shared" si="46"/>
        <v>1</v>
      </c>
      <c r="AB50" s="88"/>
      <c r="AC50" s="88"/>
      <c r="AD50" s="88"/>
      <c r="AE50" s="88"/>
      <c r="AF50" s="88"/>
      <c r="AG50" s="89">
        <f t="shared" si="47"/>
        <v>0</v>
      </c>
      <c r="AH50" s="88"/>
      <c r="AI50" s="88"/>
      <c r="AJ50" s="88"/>
      <c r="AK50" s="88"/>
      <c r="AL50" s="89">
        <f t="shared" si="48"/>
        <v>0</v>
      </c>
      <c r="AM50" s="88"/>
      <c r="AN50" s="88"/>
      <c r="AO50" s="88"/>
      <c r="AP50" s="88"/>
      <c r="AQ50" s="88"/>
      <c r="AR50" s="89">
        <f t="shared" si="49"/>
        <v>0</v>
      </c>
      <c r="AS50" s="88"/>
      <c r="AT50" s="88"/>
      <c r="AU50" s="88"/>
      <c r="AV50" s="88"/>
      <c r="AW50" s="89">
        <f t="shared" si="50"/>
        <v>0</v>
      </c>
      <c r="AX50" s="88"/>
      <c r="AY50" s="88"/>
      <c r="AZ50" s="88"/>
      <c r="BA50" s="88"/>
      <c r="BB50" s="89">
        <f t="shared" si="51"/>
        <v>0</v>
      </c>
      <c r="BC50" s="88"/>
      <c r="BD50" s="88"/>
      <c r="BE50" s="88"/>
      <c r="BF50" s="88"/>
      <c r="BG50" s="88"/>
      <c r="BH50" s="89">
        <f t="shared" si="52"/>
        <v>0</v>
      </c>
      <c r="BI50" s="88"/>
      <c r="BJ50" s="88"/>
      <c r="BK50" s="88"/>
      <c r="BL50" s="88"/>
      <c r="BM50" s="89">
        <f t="shared" si="53"/>
        <v>0</v>
      </c>
    </row>
    <row r="51" spans="1:65" ht="15.75" customHeight="1" x14ac:dyDescent="0.25">
      <c r="A51" s="93" t="s">
        <v>401</v>
      </c>
      <c r="B51" s="94">
        <f t="shared" ref="B51:AG51" si="54">SUM(B43:B46)</f>
        <v>180</v>
      </c>
      <c r="C51" s="94">
        <f t="shared" si="54"/>
        <v>215</v>
      </c>
      <c r="D51" s="94">
        <f t="shared" si="54"/>
        <v>250</v>
      </c>
      <c r="E51" s="94">
        <f t="shared" si="54"/>
        <v>155</v>
      </c>
      <c r="F51" s="94">
        <f t="shared" si="54"/>
        <v>800</v>
      </c>
      <c r="G51" s="94">
        <f t="shared" si="54"/>
        <v>225</v>
      </c>
      <c r="H51" s="94">
        <f t="shared" si="54"/>
        <v>230</v>
      </c>
      <c r="I51" s="94">
        <f t="shared" si="54"/>
        <v>215</v>
      </c>
      <c r="J51" s="94">
        <f t="shared" si="54"/>
        <v>155</v>
      </c>
      <c r="K51" s="94">
        <f t="shared" si="54"/>
        <v>825</v>
      </c>
      <c r="L51" s="94">
        <f t="shared" si="54"/>
        <v>215</v>
      </c>
      <c r="M51" s="94">
        <f t="shared" si="54"/>
        <v>275</v>
      </c>
      <c r="N51" s="94">
        <f t="shared" si="54"/>
        <v>255</v>
      </c>
      <c r="O51" s="94">
        <f t="shared" si="54"/>
        <v>280</v>
      </c>
      <c r="P51" s="94">
        <f t="shared" si="54"/>
        <v>155</v>
      </c>
      <c r="Q51" s="94">
        <f t="shared" si="54"/>
        <v>1180</v>
      </c>
      <c r="R51" s="94">
        <f t="shared" si="54"/>
        <v>0</v>
      </c>
      <c r="S51" s="94">
        <f t="shared" si="54"/>
        <v>0</v>
      </c>
      <c r="T51" s="94">
        <f t="shared" si="54"/>
        <v>0</v>
      </c>
      <c r="U51" s="94">
        <f t="shared" si="54"/>
        <v>0</v>
      </c>
      <c r="V51" s="94">
        <f t="shared" si="54"/>
        <v>0</v>
      </c>
      <c r="W51" s="94">
        <f t="shared" si="54"/>
        <v>45</v>
      </c>
      <c r="X51" s="94">
        <f t="shared" si="54"/>
        <v>195</v>
      </c>
      <c r="Y51" s="94">
        <f t="shared" si="54"/>
        <v>0</v>
      </c>
      <c r="Z51" s="94">
        <f t="shared" si="54"/>
        <v>0</v>
      </c>
      <c r="AA51" s="94">
        <f t="shared" si="54"/>
        <v>240</v>
      </c>
      <c r="AB51" s="94">
        <f t="shared" si="54"/>
        <v>0</v>
      </c>
      <c r="AC51" s="94">
        <f t="shared" si="54"/>
        <v>0</v>
      </c>
      <c r="AD51" s="94">
        <f t="shared" si="54"/>
        <v>0</v>
      </c>
      <c r="AE51" s="94">
        <f t="shared" si="54"/>
        <v>0</v>
      </c>
      <c r="AF51" s="94">
        <f t="shared" si="54"/>
        <v>0</v>
      </c>
      <c r="AG51" s="94">
        <f t="shared" si="54"/>
        <v>0</v>
      </c>
      <c r="AH51" s="94">
        <f t="shared" ref="AH51:BM51" si="55">SUM(AH43:AH46)</f>
        <v>0</v>
      </c>
      <c r="AI51" s="94">
        <f t="shared" si="55"/>
        <v>0</v>
      </c>
      <c r="AJ51" s="94">
        <f t="shared" si="55"/>
        <v>0</v>
      </c>
      <c r="AK51" s="94">
        <f t="shared" si="55"/>
        <v>0</v>
      </c>
      <c r="AL51" s="94">
        <f t="shared" si="55"/>
        <v>0</v>
      </c>
      <c r="AM51" s="94">
        <f t="shared" si="55"/>
        <v>0</v>
      </c>
      <c r="AN51" s="94">
        <f t="shared" si="55"/>
        <v>0</v>
      </c>
      <c r="AO51" s="94">
        <f t="shared" si="55"/>
        <v>0</v>
      </c>
      <c r="AP51" s="94">
        <f t="shared" si="55"/>
        <v>0</v>
      </c>
      <c r="AQ51" s="94">
        <f t="shared" si="55"/>
        <v>0</v>
      </c>
      <c r="AR51" s="94">
        <f t="shared" si="55"/>
        <v>0</v>
      </c>
      <c r="AS51" s="94">
        <f t="shared" si="55"/>
        <v>0</v>
      </c>
      <c r="AT51" s="94">
        <f t="shared" si="55"/>
        <v>0</v>
      </c>
      <c r="AU51" s="94">
        <f t="shared" si="55"/>
        <v>0</v>
      </c>
      <c r="AV51" s="94">
        <f t="shared" si="55"/>
        <v>0</v>
      </c>
      <c r="AW51" s="94">
        <f t="shared" si="55"/>
        <v>0</v>
      </c>
      <c r="AX51" s="94">
        <f t="shared" si="55"/>
        <v>0</v>
      </c>
      <c r="AY51" s="94">
        <f t="shared" si="55"/>
        <v>0</v>
      </c>
      <c r="AZ51" s="94">
        <f t="shared" si="55"/>
        <v>0</v>
      </c>
      <c r="BA51" s="94">
        <f t="shared" si="55"/>
        <v>0</v>
      </c>
      <c r="BB51" s="94">
        <f t="shared" si="55"/>
        <v>0</v>
      </c>
      <c r="BC51" s="94">
        <f t="shared" si="55"/>
        <v>0</v>
      </c>
      <c r="BD51" s="94">
        <f t="shared" si="55"/>
        <v>0</v>
      </c>
      <c r="BE51" s="94">
        <f t="shared" si="55"/>
        <v>0</v>
      </c>
      <c r="BF51" s="94">
        <f t="shared" si="55"/>
        <v>0</v>
      </c>
      <c r="BG51" s="94">
        <f t="shared" si="55"/>
        <v>0</v>
      </c>
      <c r="BH51" s="94">
        <f t="shared" si="55"/>
        <v>0</v>
      </c>
      <c r="BI51" s="94">
        <f t="shared" si="55"/>
        <v>0</v>
      </c>
      <c r="BJ51" s="94">
        <f t="shared" si="55"/>
        <v>0</v>
      </c>
      <c r="BK51" s="94">
        <f t="shared" si="55"/>
        <v>0</v>
      </c>
      <c r="BL51" s="94">
        <f t="shared" si="55"/>
        <v>0</v>
      </c>
      <c r="BM51" s="94">
        <f t="shared" si="55"/>
        <v>0</v>
      </c>
    </row>
    <row r="53" spans="1:65" ht="18" customHeight="1" x14ac:dyDescent="0.25">
      <c r="A53" s="505" t="s">
        <v>542</v>
      </c>
      <c r="B53" s="506"/>
      <c r="C53" s="506"/>
      <c r="D53" s="506"/>
      <c r="E53" s="506"/>
      <c r="F53" s="506"/>
      <c r="G53" s="506"/>
      <c r="H53" s="506"/>
      <c r="I53" s="506"/>
      <c r="J53" s="506"/>
      <c r="K53" s="506"/>
      <c r="L53" s="506"/>
      <c r="M53" s="506"/>
      <c r="N53" s="506"/>
      <c r="O53" s="506"/>
      <c r="P53" s="506"/>
      <c r="Q53" s="506"/>
      <c r="R53" s="506"/>
      <c r="S53" s="506"/>
      <c r="T53" s="506"/>
      <c r="U53" s="506"/>
      <c r="V53" s="506"/>
      <c r="W53" s="506"/>
      <c r="X53" s="506"/>
      <c r="Y53" s="506"/>
      <c r="Z53" s="506"/>
      <c r="AA53" s="506"/>
      <c r="AB53" s="506"/>
      <c r="AC53" s="506"/>
      <c r="AD53" s="506"/>
      <c r="AE53" s="506"/>
      <c r="AF53" s="506"/>
      <c r="AG53" s="506"/>
      <c r="AH53" s="506"/>
      <c r="AI53" s="506"/>
      <c r="AJ53" s="506"/>
      <c r="AK53" s="506"/>
      <c r="AL53" s="506"/>
      <c r="AM53" s="506"/>
      <c r="AN53" s="506"/>
      <c r="AO53" s="506"/>
      <c r="AP53" s="506"/>
      <c r="AQ53" s="506"/>
      <c r="AR53" s="506"/>
      <c r="AS53" s="506"/>
      <c r="AT53" s="506"/>
      <c r="AU53" s="506"/>
      <c r="AV53" s="506"/>
      <c r="AW53" s="506"/>
      <c r="AX53" s="506"/>
      <c r="AY53" s="506"/>
      <c r="AZ53" s="506"/>
      <c r="BA53" s="506"/>
      <c r="BB53" s="506"/>
      <c r="BC53" s="506"/>
      <c r="BD53" s="506"/>
      <c r="BE53" s="506"/>
      <c r="BF53" s="506"/>
      <c r="BG53" s="506"/>
      <c r="BH53" s="506"/>
      <c r="BI53" s="506"/>
      <c r="BJ53" s="506"/>
      <c r="BK53" s="506"/>
      <c r="BL53" s="506"/>
      <c r="BM53" s="506"/>
    </row>
    <row r="54" spans="1:65" ht="18" customHeight="1" x14ac:dyDescent="0.25">
      <c r="A54" s="503" t="s">
        <v>402</v>
      </c>
      <c r="B54" s="503" t="s">
        <v>389</v>
      </c>
      <c r="C54" s="485"/>
      <c r="D54" s="485"/>
      <c r="E54" s="485"/>
      <c r="F54" s="486"/>
      <c r="G54" s="503" t="s">
        <v>390</v>
      </c>
      <c r="H54" s="485"/>
      <c r="I54" s="485"/>
      <c r="J54" s="485"/>
      <c r="K54" s="486"/>
      <c r="L54" s="503" t="s">
        <v>391</v>
      </c>
      <c r="M54" s="485"/>
      <c r="N54" s="485"/>
      <c r="O54" s="485"/>
      <c r="P54" s="485"/>
      <c r="Q54" s="486"/>
      <c r="R54" s="503" t="s">
        <v>413</v>
      </c>
      <c r="S54" s="485"/>
      <c r="T54" s="485"/>
      <c r="U54" s="485"/>
      <c r="V54" s="486"/>
      <c r="W54" s="503" t="s">
        <v>414</v>
      </c>
      <c r="X54" s="485"/>
      <c r="Y54" s="485"/>
      <c r="Z54" s="485"/>
      <c r="AA54" s="486"/>
      <c r="AB54" s="503" t="s">
        <v>543</v>
      </c>
      <c r="AC54" s="485"/>
      <c r="AD54" s="485"/>
      <c r="AE54" s="485"/>
      <c r="AF54" s="485"/>
      <c r="AG54" s="486"/>
      <c r="AH54" s="503" t="s">
        <v>544</v>
      </c>
      <c r="AI54" s="485"/>
      <c r="AJ54" s="485"/>
      <c r="AK54" s="485"/>
      <c r="AL54" s="486"/>
      <c r="AM54" s="503" t="s">
        <v>545</v>
      </c>
      <c r="AN54" s="485"/>
      <c r="AO54" s="485"/>
      <c r="AP54" s="485"/>
      <c r="AQ54" s="485"/>
      <c r="AR54" s="486"/>
      <c r="AS54" s="503" t="s">
        <v>546</v>
      </c>
      <c r="AT54" s="485"/>
      <c r="AU54" s="485"/>
      <c r="AV54" s="485"/>
      <c r="AW54" s="486"/>
      <c r="AX54" s="503" t="s">
        <v>547</v>
      </c>
      <c r="AY54" s="485"/>
      <c r="AZ54" s="485"/>
      <c r="BA54" s="485"/>
      <c r="BB54" s="486"/>
      <c r="BC54" s="503" t="s">
        <v>548</v>
      </c>
      <c r="BD54" s="485"/>
      <c r="BE54" s="485"/>
      <c r="BF54" s="485"/>
      <c r="BG54" s="485"/>
      <c r="BH54" s="486"/>
      <c r="BI54" s="503" t="s">
        <v>388</v>
      </c>
      <c r="BJ54" s="485"/>
      <c r="BK54" s="485"/>
      <c r="BL54" s="485"/>
      <c r="BM54" s="486"/>
    </row>
    <row r="55" spans="1:65" ht="15.75" customHeight="1" x14ac:dyDescent="0.25">
      <c r="A55" s="487"/>
      <c r="B55" s="85">
        <v>46027</v>
      </c>
      <c r="C55" s="85">
        <v>46034</v>
      </c>
      <c r="D55" s="85">
        <v>46041</v>
      </c>
      <c r="E55" s="85">
        <v>46048</v>
      </c>
      <c r="F55" s="86" t="s">
        <v>129</v>
      </c>
      <c r="G55" s="85">
        <v>46055</v>
      </c>
      <c r="H55" s="85">
        <v>46062</v>
      </c>
      <c r="I55" s="85">
        <v>46069</v>
      </c>
      <c r="J55" s="85">
        <v>46076</v>
      </c>
      <c r="K55" s="86" t="s">
        <v>129</v>
      </c>
      <c r="L55" s="85">
        <v>46083</v>
      </c>
      <c r="M55" s="85">
        <v>46090</v>
      </c>
      <c r="N55" s="85">
        <v>46097</v>
      </c>
      <c r="O55" s="85">
        <v>46104</v>
      </c>
      <c r="P55" s="85">
        <v>46111</v>
      </c>
      <c r="Q55" s="86" t="s">
        <v>129</v>
      </c>
      <c r="R55" s="85">
        <v>46118</v>
      </c>
      <c r="S55" s="85">
        <v>46125</v>
      </c>
      <c r="T55" s="85">
        <v>46132</v>
      </c>
      <c r="U55" s="85">
        <v>46139</v>
      </c>
      <c r="V55" s="86" t="s">
        <v>129</v>
      </c>
      <c r="W55" s="85">
        <v>46146</v>
      </c>
      <c r="X55" s="85">
        <v>46153</v>
      </c>
      <c r="Y55" s="85">
        <v>46160</v>
      </c>
      <c r="Z55" s="85">
        <v>46167</v>
      </c>
      <c r="AA55" s="86" t="s">
        <v>129</v>
      </c>
      <c r="AB55" s="85">
        <v>46174</v>
      </c>
      <c r="AC55" s="85">
        <v>46181</v>
      </c>
      <c r="AD55" s="85">
        <v>46188</v>
      </c>
      <c r="AE55" s="85">
        <v>46195</v>
      </c>
      <c r="AF55" s="85">
        <v>46202</v>
      </c>
      <c r="AG55" s="86" t="s">
        <v>129</v>
      </c>
      <c r="AH55" s="85">
        <v>46209</v>
      </c>
      <c r="AI55" s="85">
        <v>46216</v>
      </c>
      <c r="AJ55" s="85">
        <v>46223</v>
      </c>
      <c r="AK55" s="85">
        <v>46230</v>
      </c>
      <c r="AL55" s="86" t="s">
        <v>129</v>
      </c>
      <c r="AM55" s="85">
        <v>46237</v>
      </c>
      <c r="AN55" s="85">
        <v>46244</v>
      </c>
      <c r="AO55" s="85">
        <v>46251</v>
      </c>
      <c r="AP55" s="85">
        <v>46258</v>
      </c>
      <c r="AQ55" s="85">
        <v>46265</v>
      </c>
      <c r="AR55" s="86" t="s">
        <v>129</v>
      </c>
      <c r="AS55" s="85">
        <v>46272</v>
      </c>
      <c r="AT55" s="85">
        <v>46279</v>
      </c>
      <c r="AU55" s="85">
        <v>46286</v>
      </c>
      <c r="AV55" s="85">
        <v>46293</v>
      </c>
      <c r="AW55" s="86" t="s">
        <v>129</v>
      </c>
      <c r="AX55" s="85">
        <v>46300</v>
      </c>
      <c r="AY55" s="85">
        <v>46307</v>
      </c>
      <c r="AZ55" s="85">
        <v>46314</v>
      </c>
      <c r="BA55" s="85">
        <v>46321</v>
      </c>
      <c r="BB55" s="86" t="s">
        <v>129</v>
      </c>
      <c r="BC55" s="85">
        <v>46328</v>
      </c>
      <c r="BD55" s="85">
        <v>46335</v>
      </c>
      <c r="BE55" s="85">
        <v>46342</v>
      </c>
      <c r="BF55" s="85">
        <v>46349</v>
      </c>
      <c r="BG55" s="85">
        <v>46356</v>
      </c>
      <c r="BH55" s="86" t="s">
        <v>129</v>
      </c>
      <c r="BI55" s="85">
        <v>46363</v>
      </c>
      <c r="BJ55" s="85">
        <v>46370</v>
      </c>
      <c r="BK55" s="85">
        <v>46377</v>
      </c>
      <c r="BL55" s="85">
        <v>46384</v>
      </c>
      <c r="BM55" s="86" t="s">
        <v>129</v>
      </c>
    </row>
    <row r="56" spans="1:65" ht="15.75" customHeight="1" x14ac:dyDescent="0.25">
      <c r="A56" s="90" t="s">
        <v>132</v>
      </c>
      <c r="B56" s="88">
        <v>60</v>
      </c>
      <c r="C56" s="88">
        <v>40</v>
      </c>
      <c r="D56" s="88">
        <v>0</v>
      </c>
      <c r="E56" s="88">
        <v>20</v>
      </c>
      <c r="F56" s="89">
        <f t="shared" ref="F56:F63" si="56">B56+C56+D56+E56</f>
        <v>120</v>
      </c>
      <c r="G56" s="88">
        <v>28</v>
      </c>
      <c r="H56" s="88">
        <v>0</v>
      </c>
      <c r="I56" s="88">
        <v>66</v>
      </c>
      <c r="J56" s="88">
        <v>57</v>
      </c>
      <c r="K56" s="89">
        <f t="shared" ref="K56:K63" si="57">G56+H56+I56+J56</f>
        <v>151</v>
      </c>
      <c r="L56" s="88">
        <v>6</v>
      </c>
      <c r="M56" s="88">
        <v>779</v>
      </c>
      <c r="N56" s="88">
        <v>121</v>
      </c>
      <c r="O56" s="88">
        <v>222</v>
      </c>
      <c r="P56" s="88">
        <v>36</v>
      </c>
      <c r="Q56" s="89">
        <f t="shared" ref="Q56:Q63" si="58">L56+M56+N56+O56+P56</f>
        <v>1164</v>
      </c>
      <c r="R56" s="88"/>
      <c r="S56" s="88"/>
      <c r="T56" s="88"/>
      <c r="U56" s="88"/>
      <c r="V56" s="89">
        <f t="shared" ref="V56:V63" si="59">R56+S56+T56+U56</f>
        <v>0</v>
      </c>
      <c r="W56" s="88">
        <v>135</v>
      </c>
      <c r="X56" s="88">
        <v>336</v>
      </c>
      <c r="Y56" s="88"/>
      <c r="Z56" s="88"/>
      <c r="AA56" s="89">
        <f t="shared" ref="AA56:AA63" si="60">W56+X56+Y56+Z56</f>
        <v>471</v>
      </c>
      <c r="AB56" s="88"/>
      <c r="AC56" s="88"/>
      <c r="AD56" s="88"/>
      <c r="AE56" s="88"/>
      <c r="AF56" s="88"/>
      <c r="AG56" s="89">
        <f t="shared" ref="AG56:AG63" si="61">AB56+AC56+AD56+AE56+AF56</f>
        <v>0</v>
      </c>
      <c r="AH56" s="88"/>
      <c r="AI56" s="88"/>
      <c r="AJ56" s="88"/>
      <c r="AK56" s="88"/>
      <c r="AL56" s="89">
        <f t="shared" ref="AL56:AL63" si="62">AH56+AI56+AJ56+AK56</f>
        <v>0</v>
      </c>
      <c r="AM56" s="88"/>
      <c r="AN56" s="88"/>
      <c r="AO56" s="88"/>
      <c r="AP56" s="88"/>
      <c r="AQ56" s="88"/>
      <c r="AR56" s="89">
        <f t="shared" ref="AR56:AR63" si="63">AM56+AN56+AO56+AP56+AQ56</f>
        <v>0</v>
      </c>
      <c r="AS56" s="88"/>
      <c r="AT56" s="88"/>
      <c r="AU56" s="88"/>
      <c r="AV56" s="88"/>
      <c r="AW56" s="89">
        <f t="shared" ref="AW56:AW63" si="64">AS56+AT56+AU56+AV56</f>
        <v>0</v>
      </c>
      <c r="AX56" s="88"/>
      <c r="AY56" s="88"/>
      <c r="AZ56" s="88"/>
      <c r="BA56" s="88"/>
      <c r="BB56" s="89">
        <f t="shared" ref="BB56:BB63" si="65">AX56+AY56+AZ56+BA56</f>
        <v>0</v>
      </c>
      <c r="BC56" s="88"/>
      <c r="BD56" s="88"/>
      <c r="BE56" s="88"/>
      <c r="BF56" s="88"/>
      <c r="BG56" s="88"/>
      <c r="BH56" s="89">
        <f t="shared" ref="BH56:BH63" si="66">BC56+BD56+BE56+BF56+BG56</f>
        <v>0</v>
      </c>
      <c r="BI56" s="88"/>
      <c r="BJ56" s="88"/>
      <c r="BK56" s="88"/>
      <c r="BL56" s="88"/>
      <c r="BM56" s="89">
        <f t="shared" ref="BM56:BM63" si="67">BI56+BJ56+BK56+BL56</f>
        <v>0</v>
      </c>
    </row>
    <row r="57" spans="1:65" ht="15.75" customHeight="1" x14ac:dyDescent="0.25">
      <c r="A57" s="90" t="s">
        <v>549</v>
      </c>
      <c r="B57" s="88">
        <v>287</v>
      </c>
      <c r="C57" s="88">
        <v>546</v>
      </c>
      <c r="D57" s="88">
        <v>55</v>
      </c>
      <c r="E57" s="88">
        <v>557</v>
      </c>
      <c r="F57" s="89">
        <f t="shared" si="56"/>
        <v>1445</v>
      </c>
      <c r="G57" s="88">
        <v>225</v>
      </c>
      <c r="H57" s="88">
        <v>490</v>
      </c>
      <c r="I57" s="88">
        <v>310</v>
      </c>
      <c r="J57" s="88">
        <v>295</v>
      </c>
      <c r="K57" s="89">
        <f t="shared" si="57"/>
        <v>1320</v>
      </c>
      <c r="L57" s="88">
        <v>292</v>
      </c>
      <c r="M57" s="88">
        <v>570</v>
      </c>
      <c r="N57" s="88">
        <v>443</v>
      </c>
      <c r="O57" s="88">
        <v>346</v>
      </c>
      <c r="P57" s="88">
        <v>290</v>
      </c>
      <c r="Q57" s="89">
        <f t="shared" si="58"/>
        <v>1941</v>
      </c>
      <c r="R57" s="88"/>
      <c r="S57" s="88"/>
      <c r="T57" s="88"/>
      <c r="U57" s="88"/>
      <c r="V57" s="89">
        <f t="shared" si="59"/>
        <v>0</v>
      </c>
      <c r="W57" s="88">
        <v>0</v>
      </c>
      <c r="X57" s="88">
        <v>400</v>
      </c>
      <c r="Y57" s="88"/>
      <c r="Z57" s="88"/>
      <c r="AA57" s="89">
        <f t="shared" si="60"/>
        <v>400</v>
      </c>
      <c r="AB57" s="88"/>
      <c r="AC57" s="88"/>
      <c r="AD57" s="88"/>
      <c r="AE57" s="88"/>
      <c r="AF57" s="88"/>
      <c r="AG57" s="89">
        <f t="shared" si="61"/>
        <v>0</v>
      </c>
      <c r="AH57" s="88"/>
      <c r="AI57" s="88"/>
      <c r="AJ57" s="88"/>
      <c r="AK57" s="88"/>
      <c r="AL57" s="89">
        <f t="shared" si="62"/>
        <v>0</v>
      </c>
      <c r="AM57" s="88"/>
      <c r="AN57" s="88"/>
      <c r="AO57" s="88"/>
      <c r="AP57" s="88"/>
      <c r="AQ57" s="88"/>
      <c r="AR57" s="89">
        <f t="shared" si="63"/>
        <v>0</v>
      </c>
      <c r="AS57" s="88"/>
      <c r="AT57" s="88"/>
      <c r="AU57" s="88"/>
      <c r="AV57" s="88"/>
      <c r="AW57" s="89">
        <f t="shared" si="64"/>
        <v>0</v>
      </c>
      <c r="AX57" s="88"/>
      <c r="AY57" s="88"/>
      <c r="AZ57" s="88"/>
      <c r="BA57" s="88"/>
      <c r="BB57" s="89">
        <f t="shared" si="65"/>
        <v>0</v>
      </c>
      <c r="BC57" s="88"/>
      <c r="BD57" s="88"/>
      <c r="BE57" s="88"/>
      <c r="BF57" s="88"/>
      <c r="BG57" s="88"/>
      <c r="BH57" s="89">
        <f t="shared" si="66"/>
        <v>0</v>
      </c>
      <c r="BI57" s="88"/>
      <c r="BJ57" s="88"/>
      <c r="BK57" s="88"/>
      <c r="BL57" s="88"/>
      <c r="BM57" s="89">
        <f t="shared" si="67"/>
        <v>0</v>
      </c>
    </row>
    <row r="58" spans="1:65" ht="15.75" customHeight="1" x14ac:dyDescent="0.25">
      <c r="A58" s="90" t="s">
        <v>137</v>
      </c>
      <c r="B58" s="88">
        <v>62</v>
      </c>
      <c r="C58" s="88">
        <v>99</v>
      </c>
      <c r="D58" s="88">
        <v>93</v>
      </c>
      <c r="E58" s="88">
        <v>131</v>
      </c>
      <c r="F58" s="89">
        <f t="shared" si="56"/>
        <v>385</v>
      </c>
      <c r="G58" s="88">
        <v>277</v>
      </c>
      <c r="H58" s="88">
        <v>0</v>
      </c>
      <c r="I58" s="88">
        <v>189</v>
      </c>
      <c r="J58" s="88">
        <v>83</v>
      </c>
      <c r="K58" s="89">
        <f t="shared" si="57"/>
        <v>549</v>
      </c>
      <c r="L58" s="88">
        <v>105</v>
      </c>
      <c r="M58" s="88">
        <v>389</v>
      </c>
      <c r="N58" s="88">
        <v>197</v>
      </c>
      <c r="O58" s="88">
        <v>237</v>
      </c>
      <c r="P58" s="88">
        <v>178</v>
      </c>
      <c r="Q58" s="89">
        <f t="shared" si="58"/>
        <v>1106</v>
      </c>
      <c r="R58" s="88"/>
      <c r="S58" s="88"/>
      <c r="T58" s="88"/>
      <c r="U58" s="88"/>
      <c r="V58" s="89">
        <f t="shared" si="59"/>
        <v>0</v>
      </c>
      <c r="W58" s="88">
        <v>0</v>
      </c>
      <c r="X58" s="88">
        <v>149</v>
      </c>
      <c r="Y58" s="88"/>
      <c r="Z58" s="88"/>
      <c r="AA58" s="89">
        <f t="shared" si="60"/>
        <v>149</v>
      </c>
      <c r="AB58" s="88"/>
      <c r="AC58" s="88"/>
      <c r="AD58" s="88"/>
      <c r="AE58" s="88"/>
      <c r="AF58" s="88"/>
      <c r="AG58" s="89">
        <f t="shared" si="61"/>
        <v>0</v>
      </c>
      <c r="AH58" s="88"/>
      <c r="AI58" s="88"/>
      <c r="AJ58" s="88"/>
      <c r="AK58" s="88"/>
      <c r="AL58" s="89">
        <f t="shared" si="62"/>
        <v>0</v>
      </c>
      <c r="AM58" s="88"/>
      <c r="AN58" s="88"/>
      <c r="AO58" s="88"/>
      <c r="AP58" s="88"/>
      <c r="AQ58" s="88"/>
      <c r="AR58" s="89">
        <f t="shared" si="63"/>
        <v>0</v>
      </c>
      <c r="AS58" s="88"/>
      <c r="AT58" s="88"/>
      <c r="AU58" s="88"/>
      <c r="AV58" s="88"/>
      <c r="AW58" s="89">
        <f t="shared" si="64"/>
        <v>0</v>
      </c>
      <c r="AX58" s="88"/>
      <c r="AY58" s="88"/>
      <c r="AZ58" s="88"/>
      <c r="BA58" s="88"/>
      <c r="BB58" s="89">
        <f t="shared" si="65"/>
        <v>0</v>
      </c>
      <c r="BC58" s="88"/>
      <c r="BD58" s="88"/>
      <c r="BE58" s="88"/>
      <c r="BF58" s="88"/>
      <c r="BG58" s="88"/>
      <c r="BH58" s="89">
        <f t="shared" si="66"/>
        <v>0</v>
      </c>
      <c r="BI58" s="88"/>
      <c r="BJ58" s="88"/>
      <c r="BK58" s="88"/>
      <c r="BL58" s="88"/>
      <c r="BM58" s="89">
        <f t="shared" si="67"/>
        <v>0</v>
      </c>
    </row>
    <row r="59" spans="1:65" ht="15.75" customHeight="1" x14ac:dyDescent="0.25">
      <c r="A59" s="91" t="s">
        <v>550</v>
      </c>
      <c r="B59" s="88">
        <v>0</v>
      </c>
      <c r="C59" s="88">
        <v>50</v>
      </c>
      <c r="D59" s="88">
        <v>0</v>
      </c>
      <c r="E59" s="88">
        <v>0</v>
      </c>
      <c r="F59" s="89">
        <f t="shared" si="56"/>
        <v>50</v>
      </c>
      <c r="G59" s="88">
        <v>14</v>
      </c>
      <c r="H59" s="88">
        <v>0</v>
      </c>
      <c r="I59" s="88">
        <v>2</v>
      </c>
      <c r="J59" s="88">
        <v>22</v>
      </c>
      <c r="K59" s="89">
        <f t="shared" si="57"/>
        <v>38</v>
      </c>
      <c r="L59" s="88">
        <v>3</v>
      </c>
      <c r="M59" s="88">
        <v>9</v>
      </c>
      <c r="N59" s="88">
        <v>0</v>
      </c>
      <c r="O59" s="88">
        <v>0</v>
      </c>
      <c r="P59" s="88">
        <v>0</v>
      </c>
      <c r="Q59" s="89">
        <f t="shared" si="58"/>
        <v>12</v>
      </c>
      <c r="R59" s="88"/>
      <c r="S59" s="88"/>
      <c r="T59" s="88"/>
      <c r="U59" s="88"/>
      <c r="V59" s="89">
        <f t="shared" si="59"/>
        <v>0</v>
      </c>
      <c r="W59" s="88">
        <v>34</v>
      </c>
      <c r="X59" s="88">
        <v>35</v>
      </c>
      <c r="Y59" s="88"/>
      <c r="Z59" s="88"/>
      <c r="AA59" s="89">
        <f t="shared" si="60"/>
        <v>69</v>
      </c>
      <c r="AB59" s="88"/>
      <c r="AC59" s="88"/>
      <c r="AD59" s="88"/>
      <c r="AE59" s="88"/>
      <c r="AF59" s="88"/>
      <c r="AG59" s="89">
        <f t="shared" si="61"/>
        <v>0</v>
      </c>
      <c r="AH59" s="88"/>
      <c r="AI59" s="88"/>
      <c r="AJ59" s="88"/>
      <c r="AK59" s="88"/>
      <c r="AL59" s="89">
        <f t="shared" si="62"/>
        <v>0</v>
      </c>
      <c r="AM59" s="88"/>
      <c r="AN59" s="88"/>
      <c r="AO59" s="88"/>
      <c r="AP59" s="88"/>
      <c r="AQ59" s="88"/>
      <c r="AR59" s="89">
        <f t="shared" si="63"/>
        <v>0</v>
      </c>
      <c r="AS59" s="88"/>
      <c r="AT59" s="88"/>
      <c r="AU59" s="88"/>
      <c r="AV59" s="88"/>
      <c r="AW59" s="89">
        <f t="shared" si="64"/>
        <v>0</v>
      </c>
      <c r="AX59" s="88"/>
      <c r="AY59" s="88"/>
      <c r="AZ59" s="88"/>
      <c r="BA59" s="88"/>
      <c r="BB59" s="89">
        <f t="shared" si="65"/>
        <v>0</v>
      </c>
      <c r="BC59" s="88"/>
      <c r="BD59" s="88"/>
      <c r="BE59" s="88"/>
      <c r="BF59" s="88"/>
      <c r="BG59" s="88"/>
      <c r="BH59" s="89">
        <f t="shared" si="66"/>
        <v>0</v>
      </c>
      <c r="BI59" s="88"/>
      <c r="BJ59" s="88"/>
      <c r="BK59" s="88"/>
      <c r="BL59" s="88"/>
      <c r="BM59" s="89">
        <f t="shared" si="67"/>
        <v>0</v>
      </c>
    </row>
    <row r="60" spans="1:65" ht="15.75" customHeight="1" x14ac:dyDescent="0.25">
      <c r="A60" s="92" t="s">
        <v>224</v>
      </c>
      <c r="B60" s="88">
        <v>1</v>
      </c>
      <c r="C60" s="88">
        <v>0</v>
      </c>
      <c r="D60" s="88">
        <v>1</v>
      </c>
      <c r="E60" s="88">
        <v>1</v>
      </c>
      <c r="F60" s="89">
        <f t="shared" si="56"/>
        <v>3</v>
      </c>
      <c r="G60" s="88">
        <v>1</v>
      </c>
      <c r="H60" s="88">
        <v>3</v>
      </c>
      <c r="I60" s="88">
        <v>1</v>
      </c>
      <c r="J60" s="88">
        <v>2</v>
      </c>
      <c r="K60" s="89">
        <f t="shared" si="57"/>
        <v>7</v>
      </c>
      <c r="L60" s="88">
        <v>0</v>
      </c>
      <c r="M60" s="88">
        <v>5</v>
      </c>
      <c r="N60" s="88">
        <v>2</v>
      </c>
      <c r="O60" s="88">
        <v>3</v>
      </c>
      <c r="P60" s="88">
        <v>1</v>
      </c>
      <c r="Q60" s="89">
        <f t="shared" si="58"/>
        <v>11</v>
      </c>
      <c r="R60" s="88"/>
      <c r="S60" s="88"/>
      <c r="T60" s="88"/>
      <c r="U60" s="88"/>
      <c r="V60" s="89">
        <f t="shared" si="59"/>
        <v>0</v>
      </c>
      <c r="W60" s="88">
        <v>2</v>
      </c>
      <c r="X60" s="88">
        <v>0</v>
      </c>
      <c r="Y60" s="88"/>
      <c r="Z60" s="88"/>
      <c r="AA60" s="89">
        <f t="shared" si="60"/>
        <v>2</v>
      </c>
      <c r="AB60" s="88"/>
      <c r="AC60" s="88"/>
      <c r="AD60" s="88"/>
      <c r="AE60" s="88"/>
      <c r="AF60" s="88"/>
      <c r="AG60" s="89">
        <f t="shared" si="61"/>
        <v>0</v>
      </c>
      <c r="AH60" s="88"/>
      <c r="AI60" s="88"/>
      <c r="AJ60" s="88"/>
      <c r="AK60" s="88"/>
      <c r="AL60" s="89">
        <f t="shared" si="62"/>
        <v>0</v>
      </c>
      <c r="AM60" s="88"/>
      <c r="AN60" s="88"/>
      <c r="AO60" s="88"/>
      <c r="AP60" s="88"/>
      <c r="AQ60" s="88"/>
      <c r="AR60" s="89">
        <f t="shared" si="63"/>
        <v>0</v>
      </c>
      <c r="AS60" s="88"/>
      <c r="AT60" s="88"/>
      <c r="AU60" s="88"/>
      <c r="AV60" s="88"/>
      <c r="AW60" s="89">
        <f t="shared" si="64"/>
        <v>0</v>
      </c>
      <c r="AX60" s="88"/>
      <c r="AY60" s="88"/>
      <c r="AZ60" s="88"/>
      <c r="BA60" s="88"/>
      <c r="BB60" s="89">
        <f t="shared" si="65"/>
        <v>0</v>
      </c>
      <c r="BC60" s="88"/>
      <c r="BD60" s="88"/>
      <c r="BE60" s="88"/>
      <c r="BF60" s="88"/>
      <c r="BG60" s="88"/>
      <c r="BH60" s="89">
        <f t="shared" si="66"/>
        <v>0</v>
      </c>
      <c r="BI60" s="88"/>
      <c r="BJ60" s="88"/>
      <c r="BK60" s="88"/>
      <c r="BL60" s="88"/>
      <c r="BM60" s="89">
        <f t="shared" si="67"/>
        <v>0</v>
      </c>
    </row>
    <row r="61" spans="1:65" ht="15.75" customHeight="1" x14ac:dyDescent="0.25">
      <c r="A61" s="92" t="s">
        <v>225</v>
      </c>
      <c r="B61" s="88">
        <v>0</v>
      </c>
      <c r="C61" s="88">
        <v>0</v>
      </c>
      <c r="D61" s="88">
        <v>0</v>
      </c>
      <c r="E61" s="88">
        <v>0</v>
      </c>
      <c r="F61" s="89">
        <f t="shared" si="56"/>
        <v>0</v>
      </c>
      <c r="G61" s="88">
        <v>0</v>
      </c>
      <c r="H61" s="88">
        <v>0</v>
      </c>
      <c r="I61" s="88">
        <v>0</v>
      </c>
      <c r="J61" s="88">
        <v>1</v>
      </c>
      <c r="K61" s="89">
        <f t="shared" si="57"/>
        <v>1</v>
      </c>
      <c r="L61" s="88">
        <v>0</v>
      </c>
      <c r="M61" s="88">
        <v>1</v>
      </c>
      <c r="N61" s="88">
        <v>0</v>
      </c>
      <c r="O61" s="88">
        <v>0</v>
      </c>
      <c r="P61" s="88">
        <v>0</v>
      </c>
      <c r="Q61" s="89">
        <f t="shared" si="58"/>
        <v>1</v>
      </c>
      <c r="R61" s="88"/>
      <c r="S61" s="88"/>
      <c r="T61" s="88"/>
      <c r="U61" s="88"/>
      <c r="V61" s="89">
        <f t="shared" si="59"/>
        <v>0</v>
      </c>
      <c r="W61" s="88">
        <v>1</v>
      </c>
      <c r="X61" s="88">
        <v>1</v>
      </c>
      <c r="Y61" s="88"/>
      <c r="Z61" s="88"/>
      <c r="AA61" s="89">
        <f t="shared" si="60"/>
        <v>2</v>
      </c>
      <c r="AB61" s="88"/>
      <c r="AC61" s="88"/>
      <c r="AD61" s="88"/>
      <c r="AE61" s="88"/>
      <c r="AF61" s="88"/>
      <c r="AG61" s="89">
        <f t="shared" si="61"/>
        <v>0</v>
      </c>
      <c r="AH61" s="88"/>
      <c r="AI61" s="88"/>
      <c r="AJ61" s="88"/>
      <c r="AK61" s="88"/>
      <c r="AL61" s="89">
        <f t="shared" si="62"/>
        <v>0</v>
      </c>
      <c r="AM61" s="88"/>
      <c r="AN61" s="88"/>
      <c r="AO61" s="88"/>
      <c r="AP61" s="88"/>
      <c r="AQ61" s="88"/>
      <c r="AR61" s="89">
        <f t="shared" si="63"/>
        <v>0</v>
      </c>
      <c r="AS61" s="88"/>
      <c r="AT61" s="88"/>
      <c r="AU61" s="88"/>
      <c r="AV61" s="88"/>
      <c r="AW61" s="89">
        <f t="shared" si="64"/>
        <v>0</v>
      </c>
      <c r="AX61" s="88"/>
      <c r="AY61" s="88"/>
      <c r="AZ61" s="88"/>
      <c r="BA61" s="88"/>
      <c r="BB61" s="89">
        <f t="shared" si="65"/>
        <v>0</v>
      </c>
      <c r="BC61" s="88"/>
      <c r="BD61" s="88"/>
      <c r="BE61" s="88"/>
      <c r="BF61" s="88"/>
      <c r="BG61" s="88"/>
      <c r="BH61" s="89">
        <f t="shared" si="66"/>
        <v>0</v>
      </c>
      <c r="BI61" s="88"/>
      <c r="BJ61" s="88"/>
      <c r="BK61" s="88"/>
      <c r="BL61" s="88"/>
      <c r="BM61" s="89">
        <f t="shared" si="67"/>
        <v>0</v>
      </c>
    </row>
    <row r="62" spans="1:65" ht="15.75" customHeight="1" x14ac:dyDescent="0.25">
      <c r="A62" s="92" t="s">
        <v>147</v>
      </c>
      <c r="B62" s="88">
        <v>1</v>
      </c>
      <c r="C62" s="88">
        <v>0</v>
      </c>
      <c r="D62" s="88">
        <v>0</v>
      </c>
      <c r="E62" s="88">
        <v>0</v>
      </c>
      <c r="F62" s="89">
        <f t="shared" si="56"/>
        <v>1</v>
      </c>
      <c r="G62" s="88">
        <v>2</v>
      </c>
      <c r="H62" s="88">
        <v>1</v>
      </c>
      <c r="I62" s="88">
        <v>1</v>
      </c>
      <c r="J62" s="88">
        <v>0</v>
      </c>
      <c r="K62" s="89">
        <f t="shared" si="57"/>
        <v>4</v>
      </c>
      <c r="L62" s="88">
        <v>1</v>
      </c>
      <c r="M62" s="88">
        <v>1</v>
      </c>
      <c r="N62" s="88">
        <v>1</v>
      </c>
      <c r="O62" s="88">
        <v>0</v>
      </c>
      <c r="P62" s="88">
        <v>1</v>
      </c>
      <c r="Q62" s="89">
        <f t="shared" si="58"/>
        <v>4</v>
      </c>
      <c r="R62" s="88"/>
      <c r="S62" s="88"/>
      <c r="T62" s="88"/>
      <c r="U62" s="88"/>
      <c r="V62" s="89">
        <f t="shared" si="59"/>
        <v>0</v>
      </c>
      <c r="W62" s="88">
        <v>0</v>
      </c>
      <c r="X62" s="88">
        <v>0</v>
      </c>
      <c r="Y62" s="88"/>
      <c r="Z62" s="88"/>
      <c r="AA62" s="89">
        <f t="shared" si="60"/>
        <v>0</v>
      </c>
      <c r="AB62" s="88"/>
      <c r="AC62" s="88"/>
      <c r="AD62" s="88"/>
      <c r="AE62" s="88"/>
      <c r="AF62" s="88"/>
      <c r="AG62" s="89">
        <f t="shared" si="61"/>
        <v>0</v>
      </c>
      <c r="AH62" s="88"/>
      <c r="AI62" s="88"/>
      <c r="AJ62" s="88"/>
      <c r="AK62" s="88"/>
      <c r="AL62" s="89">
        <f t="shared" si="62"/>
        <v>0</v>
      </c>
      <c r="AM62" s="88"/>
      <c r="AN62" s="88"/>
      <c r="AO62" s="88"/>
      <c r="AP62" s="88"/>
      <c r="AQ62" s="88"/>
      <c r="AR62" s="89">
        <f t="shared" si="63"/>
        <v>0</v>
      </c>
      <c r="AS62" s="88"/>
      <c r="AT62" s="88"/>
      <c r="AU62" s="88"/>
      <c r="AV62" s="88"/>
      <c r="AW62" s="89">
        <f t="shared" si="64"/>
        <v>0</v>
      </c>
      <c r="AX62" s="88"/>
      <c r="AY62" s="88"/>
      <c r="AZ62" s="88"/>
      <c r="BA62" s="88"/>
      <c r="BB62" s="89">
        <f t="shared" si="65"/>
        <v>0</v>
      </c>
      <c r="BC62" s="88"/>
      <c r="BD62" s="88"/>
      <c r="BE62" s="88"/>
      <c r="BF62" s="88"/>
      <c r="BG62" s="88"/>
      <c r="BH62" s="89">
        <f t="shared" si="66"/>
        <v>0</v>
      </c>
      <c r="BI62" s="88"/>
      <c r="BJ62" s="88"/>
      <c r="BK62" s="88"/>
      <c r="BL62" s="88"/>
      <c r="BM62" s="89">
        <f t="shared" si="67"/>
        <v>0</v>
      </c>
    </row>
    <row r="63" spans="1:65" ht="15.75" customHeight="1" x14ac:dyDescent="0.25">
      <c r="A63" s="92" t="s">
        <v>148</v>
      </c>
      <c r="B63" s="88">
        <v>1</v>
      </c>
      <c r="C63" s="88">
        <v>1</v>
      </c>
      <c r="D63" s="88">
        <v>0</v>
      </c>
      <c r="E63" s="88">
        <v>0</v>
      </c>
      <c r="F63" s="89">
        <f t="shared" si="56"/>
        <v>2</v>
      </c>
      <c r="G63" s="88">
        <v>1</v>
      </c>
      <c r="H63" s="88">
        <v>2</v>
      </c>
      <c r="I63" s="88">
        <v>0</v>
      </c>
      <c r="J63" s="88">
        <v>0</v>
      </c>
      <c r="K63" s="89">
        <f t="shared" si="57"/>
        <v>3</v>
      </c>
      <c r="L63" s="88">
        <v>1</v>
      </c>
      <c r="M63" s="88">
        <v>1</v>
      </c>
      <c r="N63" s="88">
        <v>0</v>
      </c>
      <c r="O63" s="88">
        <v>1</v>
      </c>
      <c r="P63" s="88">
        <v>1</v>
      </c>
      <c r="Q63" s="89">
        <f t="shared" si="58"/>
        <v>4</v>
      </c>
      <c r="R63" s="88"/>
      <c r="S63" s="88"/>
      <c r="T63" s="88"/>
      <c r="U63" s="88"/>
      <c r="V63" s="89">
        <f t="shared" si="59"/>
        <v>0</v>
      </c>
      <c r="W63" s="88">
        <v>1</v>
      </c>
      <c r="X63" s="88">
        <v>1</v>
      </c>
      <c r="Y63" s="88"/>
      <c r="Z63" s="88"/>
      <c r="AA63" s="89">
        <f t="shared" si="60"/>
        <v>2</v>
      </c>
      <c r="AB63" s="88"/>
      <c r="AC63" s="88"/>
      <c r="AD63" s="88"/>
      <c r="AE63" s="88"/>
      <c r="AF63" s="88"/>
      <c r="AG63" s="89">
        <f t="shared" si="61"/>
        <v>0</v>
      </c>
      <c r="AH63" s="88"/>
      <c r="AI63" s="88"/>
      <c r="AJ63" s="88"/>
      <c r="AK63" s="88"/>
      <c r="AL63" s="89">
        <f t="shared" si="62"/>
        <v>0</v>
      </c>
      <c r="AM63" s="88"/>
      <c r="AN63" s="88"/>
      <c r="AO63" s="88"/>
      <c r="AP63" s="88"/>
      <c r="AQ63" s="88"/>
      <c r="AR63" s="89">
        <f t="shared" si="63"/>
        <v>0</v>
      </c>
      <c r="AS63" s="88"/>
      <c r="AT63" s="88"/>
      <c r="AU63" s="88"/>
      <c r="AV63" s="88"/>
      <c r="AW63" s="89">
        <f t="shared" si="64"/>
        <v>0</v>
      </c>
      <c r="AX63" s="88"/>
      <c r="AY63" s="88"/>
      <c r="AZ63" s="88"/>
      <c r="BA63" s="88"/>
      <c r="BB63" s="89">
        <f t="shared" si="65"/>
        <v>0</v>
      </c>
      <c r="BC63" s="88"/>
      <c r="BD63" s="88"/>
      <c r="BE63" s="88"/>
      <c r="BF63" s="88"/>
      <c r="BG63" s="88"/>
      <c r="BH63" s="89">
        <f t="shared" si="66"/>
        <v>0</v>
      </c>
      <c r="BI63" s="88"/>
      <c r="BJ63" s="88"/>
      <c r="BK63" s="88"/>
      <c r="BL63" s="88"/>
      <c r="BM63" s="89">
        <f t="shared" si="67"/>
        <v>0</v>
      </c>
    </row>
    <row r="64" spans="1:65" ht="15.75" customHeight="1" x14ac:dyDescent="0.25">
      <c r="A64" s="93" t="s">
        <v>401</v>
      </c>
      <c r="B64" s="94">
        <f t="shared" ref="B64:AG64" si="68">SUM(B56:B59)</f>
        <v>409</v>
      </c>
      <c r="C64" s="94">
        <f t="shared" si="68"/>
        <v>735</v>
      </c>
      <c r="D64" s="94">
        <f t="shared" si="68"/>
        <v>148</v>
      </c>
      <c r="E64" s="94">
        <f t="shared" si="68"/>
        <v>708</v>
      </c>
      <c r="F64" s="94">
        <f t="shared" si="68"/>
        <v>2000</v>
      </c>
      <c r="G64" s="94">
        <f t="shared" si="68"/>
        <v>544</v>
      </c>
      <c r="H64" s="94">
        <f t="shared" si="68"/>
        <v>490</v>
      </c>
      <c r="I64" s="94">
        <f t="shared" si="68"/>
        <v>567</v>
      </c>
      <c r="J64" s="94">
        <f t="shared" si="68"/>
        <v>457</v>
      </c>
      <c r="K64" s="94">
        <f t="shared" si="68"/>
        <v>2058</v>
      </c>
      <c r="L64" s="94">
        <f t="shared" si="68"/>
        <v>406</v>
      </c>
      <c r="M64" s="94">
        <f t="shared" si="68"/>
        <v>1747</v>
      </c>
      <c r="N64" s="94">
        <f t="shared" si="68"/>
        <v>761</v>
      </c>
      <c r="O64" s="94">
        <f t="shared" si="68"/>
        <v>805</v>
      </c>
      <c r="P64" s="94">
        <f t="shared" si="68"/>
        <v>504</v>
      </c>
      <c r="Q64" s="94">
        <f t="shared" si="68"/>
        <v>4223</v>
      </c>
      <c r="R64" s="94">
        <f t="shared" si="68"/>
        <v>0</v>
      </c>
      <c r="S64" s="94">
        <f t="shared" si="68"/>
        <v>0</v>
      </c>
      <c r="T64" s="94">
        <f t="shared" si="68"/>
        <v>0</v>
      </c>
      <c r="U64" s="94">
        <f t="shared" si="68"/>
        <v>0</v>
      </c>
      <c r="V64" s="94">
        <f t="shared" si="68"/>
        <v>0</v>
      </c>
      <c r="W64" s="94">
        <f t="shared" si="68"/>
        <v>169</v>
      </c>
      <c r="X64" s="94">
        <f t="shared" si="68"/>
        <v>920</v>
      </c>
      <c r="Y64" s="94">
        <f t="shared" si="68"/>
        <v>0</v>
      </c>
      <c r="Z64" s="94">
        <f t="shared" si="68"/>
        <v>0</v>
      </c>
      <c r="AA64" s="94">
        <f t="shared" si="68"/>
        <v>1089</v>
      </c>
      <c r="AB64" s="94">
        <f t="shared" si="68"/>
        <v>0</v>
      </c>
      <c r="AC64" s="94">
        <f t="shared" si="68"/>
        <v>0</v>
      </c>
      <c r="AD64" s="94">
        <f t="shared" si="68"/>
        <v>0</v>
      </c>
      <c r="AE64" s="94">
        <f t="shared" si="68"/>
        <v>0</v>
      </c>
      <c r="AF64" s="94">
        <f t="shared" si="68"/>
        <v>0</v>
      </c>
      <c r="AG64" s="94">
        <f t="shared" si="68"/>
        <v>0</v>
      </c>
      <c r="AH64" s="94">
        <f t="shared" ref="AH64:BM64" si="69">SUM(AH56:AH59)</f>
        <v>0</v>
      </c>
      <c r="AI64" s="94">
        <f t="shared" si="69"/>
        <v>0</v>
      </c>
      <c r="AJ64" s="94">
        <f t="shared" si="69"/>
        <v>0</v>
      </c>
      <c r="AK64" s="94">
        <f t="shared" si="69"/>
        <v>0</v>
      </c>
      <c r="AL64" s="94">
        <f t="shared" si="69"/>
        <v>0</v>
      </c>
      <c r="AM64" s="94">
        <f t="shared" si="69"/>
        <v>0</v>
      </c>
      <c r="AN64" s="94">
        <f t="shared" si="69"/>
        <v>0</v>
      </c>
      <c r="AO64" s="94">
        <f t="shared" si="69"/>
        <v>0</v>
      </c>
      <c r="AP64" s="94">
        <f t="shared" si="69"/>
        <v>0</v>
      </c>
      <c r="AQ64" s="94">
        <f t="shared" si="69"/>
        <v>0</v>
      </c>
      <c r="AR64" s="94">
        <f t="shared" si="69"/>
        <v>0</v>
      </c>
      <c r="AS64" s="94">
        <f t="shared" si="69"/>
        <v>0</v>
      </c>
      <c r="AT64" s="94">
        <f t="shared" si="69"/>
        <v>0</v>
      </c>
      <c r="AU64" s="94">
        <f t="shared" si="69"/>
        <v>0</v>
      </c>
      <c r="AV64" s="94">
        <f t="shared" si="69"/>
        <v>0</v>
      </c>
      <c r="AW64" s="94">
        <f t="shared" si="69"/>
        <v>0</v>
      </c>
      <c r="AX64" s="94">
        <f t="shared" si="69"/>
        <v>0</v>
      </c>
      <c r="AY64" s="94">
        <f t="shared" si="69"/>
        <v>0</v>
      </c>
      <c r="AZ64" s="94">
        <f t="shared" si="69"/>
        <v>0</v>
      </c>
      <c r="BA64" s="94">
        <f t="shared" si="69"/>
        <v>0</v>
      </c>
      <c r="BB64" s="94">
        <f t="shared" si="69"/>
        <v>0</v>
      </c>
      <c r="BC64" s="94">
        <f t="shared" si="69"/>
        <v>0</v>
      </c>
      <c r="BD64" s="94">
        <f t="shared" si="69"/>
        <v>0</v>
      </c>
      <c r="BE64" s="94">
        <f t="shared" si="69"/>
        <v>0</v>
      </c>
      <c r="BF64" s="94">
        <f t="shared" si="69"/>
        <v>0</v>
      </c>
      <c r="BG64" s="94">
        <f t="shared" si="69"/>
        <v>0</v>
      </c>
      <c r="BH64" s="94">
        <f t="shared" si="69"/>
        <v>0</v>
      </c>
      <c r="BI64" s="94">
        <f t="shared" si="69"/>
        <v>0</v>
      </c>
      <c r="BJ64" s="94">
        <f t="shared" si="69"/>
        <v>0</v>
      </c>
      <c r="BK64" s="94">
        <f t="shared" si="69"/>
        <v>0</v>
      </c>
      <c r="BL64" s="94">
        <f t="shared" si="69"/>
        <v>0</v>
      </c>
      <c r="BM64" s="94">
        <f t="shared" si="69"/>
        <v>0</v>
      </c>
    </row>
    <row r="66" spans="1:65" ht="18" customHeight="1" x14ac:dyDescent="0.25">
      <c r="A66" s="505" t="s">
        <v>542</v>
      </c>
      <c r="B66" s="506"/>
      <c r="C66" s="506"/>
      <c r="D66" s="506"/>
      <c r="E66" s="506"/>
      <c r="F66" s="506"/>
      <c r="G66" s="506"/>
      <c r="H66" s="506"/>
      <c r="I66" s="506"/>
      <c r="J66" s="506"/>
      <c r="K66" s="506"/>
      <c r="L66" s="506"/>
      <c r="M66" s="506"/>
      <c r="N66" s="506"/>
      <c r="O66" s="506"/>
      <c r="P66" s="506"/>
      <c r="Q66" s="506"/>
      <c r="R66" s="506"/>
      <c r="S66" s="506"/>
      <c r="T66" s="506"/>
      <c r="U66" s="506"/>
      <c r="V66" s="506"/>
      <c r="W66" s="506"/>
      <c r="X66" s="506"/>
      <c r="Y66" s="506"/>
      <c r="Z66" s="506"/>
      <c r="AA66" s="506"/>
      <c r="AB66" s="506"/>
      <c r="AC66" s="506"/>
      <c r="AD66" s="506"/>
      <c r="AE66" s="506"/>
      <c r="AF66" s="506"/>
      <c r="AG66" s="506"/>
      <c r="AH66" s="506"/>
      <c r="AI66" s="506"/>
      <c r="AJ66" s="506"/>
      <c r="AK66" s="506"/>
      <c r="AL66" s="506"/>
      <c r="AM66" s="506"/>
      <c r="AN66" s="506"/>
      <c r="AO66" s="506"/>
      <c r="AP66" s="506"/>
      <c r="AQ66" s="506"/>
      <c r="AR66" s="506"/>
      <c r="AS66" s="506"/>
      <c r="AT66" s="506"/>
      <c r="AU66" s="506"/>
      <c r="AV66" s="506"/>
      <c r="AW66" s="506"/>
      <c r="AX66" s="506"/>
      <c r="AY66" s="506"/>
      <c r="AZ66" s="506"/>
      <c r="BA66" s="506"/>
      <c r="BB66" s="506"/>
      <c r="BC66" s="506"/>
      <c r="BD66" s="506"/>
      <c r="BE66" s="506"/>
      <c r="BF66" s="506"/>
      <c r="BG66" s="506"/>
      <c r="BH66" s="506"/>
      <c r="BI66" s="506"/>
      <c r="BJ66" s="506"/>
      <c r="BK66" s="506"/>
      <c r="BL66" s="506"/>
      <c r="BM66" s="506"/>
    </row>
    <row r="67" spans="1:65" ht="18" customHeight="1" x14ac:dyDescent="0.25">
      <c r="A67" s="503" t="s">
        <v>244</v>
      </c>
      <c r="B67" s="503" t="s">
        <v>389</v>
      </c>
      <c r="C67" s="485"/>
      <c r="D67" s="485"/>
      <c r="E67" s="485"/>
      <c r="F67" s="486"/>
      <c r="G67" s="503" t="s">
        <v>390</v>
      </c>
      <c r="H67" s="485"/>
      <c r="I67" s="485"/>
      <c r="J67" s="485"/>
      <c r="K67" s="486"/>
      <c r="L67" s="503" t="s">
        <v>391</v>
      </c>
      <c r="M67" s="485"/>
      <c r="N67" s="485"/>
      <c r="O67" s="485"/>
      <c r="P67" s="485"/>
      <c r="Q67" s="486"/>
      <c r="R67" s="503" t="s">
        <v>413</v>
      </c>
      <c r="S67" s="485"/>
      <c r="T67" s="485"/>
      <c r="U67" s="485"/>
      <c r="V67" s="486"/>
      <c r="W67" s="503" t="s">
        <v>414</v>
      </c>
      <c r="X67" s="485"/>
      <c r="Y67" s="485"/>
      <c r="Z67" s="485"/>
      <c r="AA67" s="486"/>
      <c r="AB67" s="503" t="s">
        <v>543</v>
      </c>
      <c r="AC67" s="485"/>
      <c r="AD67" s="485"/>
      <c r="AE67" s="485"/>
      <c r="AF67" s="485"/>
      <c r="AG67" s="486"/>
      <c r="AH67" s="503" t="s">
        <v>544</v>
      </c>
      <c r="AI67" s="485"/>
      <c r="AJ67" s="485"/>
      <c r="AK67" s="485"/>
      <c r="AL67" s="486"/>
      <c r="AM67" s="503" t="s">
        <v>545</v>
      </c>
      <c r="AN67" s="485"/>
      <c r="AO67" s="485"/>
      <c r="AP67" s="485"/>
      <c r="AQ67" s="485"/>
      <c r="AR67" s="486"/>
      <c r="AS67" s="503" t="s">
        <v>546</v>
      </c>
      <c r="AT67" s="485"/>
      <c r="AU67" s="485"/>
      <c r="AV67" s="485"/>
      <c r="AW67" s="486"/>
      <c r="AX67" s="503" t="s">
        <v>547</v>
      </c>
      <c r="AY67" s="485"/>
      <c r="AZ67" s="485"/>
      <c r="BA67" s="485"/>
      <c r="BB67" s="486"/>
      <c r="BC67" s="503" t="s">
        <v>548</v>
      </c>
      <c r="BD67" s="485"/>
      <c r="BE67" s="485"/>
      <c r="BF67" s="485"/>
      <c r="BG67" s="485"/>
      <c r="BH67" s="486"/>
      <c r="BI67" s="503" t="s">
        <v>388</v>
      </c>
      <c r="BJ67" s="485"/>
      <c r="BK67" s="485"/>
      <c r="BL67" s="485"/>
      <c r="BM67" s="486"/>
    </row>
    <row r="68" spans="1:65" ht="15.75" customHeight="1" x14ac:dyDescent="0.25">
      <c r="A68" s="487"/>
      <c r="B68" s="85">
        <v>46027</v>
      </c>
      <c r="C68" s="85">
        <v>46034</v>
      </c>
      <c r="D68" s="85">
        <v>46041</v>
      </c>
      <c r="E68" s="85">
        <v>46048</v>
      </c>
      <c r="F68" s="86" t="s">
        <v>129</v>
      </c>
      <c r="G68" s="85">
        <v>46055</v>
      </c>
      <c r="H68" s="85">
        <v>46062</v>
      </c>
      <c r="I68" s="85">
        <v>46069</v>
      </c>
      <c r="J68" s="85">
        <v>46076</v>
      </c>
      <c r="K68" s="86" t="s">
        <v>129</v>
      </c>
      <c r="L68" s="85">
        <v>46083</v>
      </c>
      <c r="M68" s="85">
        <v>46090</v>
      </c>
      <c r="N68" s="85">
        <v>46097</v>
      </c>
      <c r="O68" s="85">
        <v>46104</v>
      </c>
      <c r="P68" s="85">
        <v>46111</v>
      </c>
      <c r="Q68" s="86" t="s">
        <v>129</v>
      </c>
      <c r="R68" s="85">
        <v>46118</v>
      </c>
      <c r="S68" s="85">
        <v>46125</v>
      </c>
      <c r="T68" s="85">
        <v>46132</v>
      </c>
      <c r="U68" s="85">
        <v>46139</v>
      </c>
      <c r="V68" s="86" t="s">
        <v>129</v>
      </c>
      <c r="W68" s="85">
        <v>46146</v>
      </c>
      <c r="X68" s="85">
        <v>46153</v>
      </c>
      <c r="Y68" s="85">
        <v>46160</v>
      </c>
      <c r="Z68" s="85">
        <v>46167</v>
      </c>
      <c r="AA68" s="86" t="s">
        <v>129</v>
      </c>
      <c r="AB68" s="85">
        <v>46174</v>
      </c>
      <c r="AC68" s="85">
        <v>46181</v>
      </c>
      <c r="AD68" s="85">
        <v>46188</v>
      </c>
      <c r="AE68" s="85">
        <v>46195</v>
      </c>
      <c r="AF68" s="85">
        <v>46202</v>
      </c>
      <c r="AG68" s="86" t="s">
        <v>129</v>
      </c>
      <c r="AH68" s="85">
        <v>46209</v>
      </c>
      <c r="AI68" s="85">
        <v>46216</v>
      </c>
      <c r="AJ68" s="85">
        <v>46223</v>
      </c>
      <c r="AK68" s="85">
        <v>46230</v>
      </c>
      <c r="AL68" s="86" t="s">
        <v>129</v>
      </c>
      <c r="AM68" s="85">
        <v>46237</v>
      </c>
      <c r="AN68" s="85">
        <v>46244</v>
      </c>
      <c r="AO68" s="85">
        <v>46251</v>
      </c>
      <c r="AP68" s="85">
        <v>46258</v>
      </c>
      <c r="AQ68" s="85">
        <v>46265</v>
      </c>
      <c r="AR68" s="86" t="s">
        <v>129</v>
      </c>
      <c r="AS68" s="85">
        <v>46272</v>
      </c>
      <c r="AT68" s="85">
        <v>46279</v>
      </c>
      <c r="AU68" s="85">
        <v>46286</v>
      </c>
      <c r="AV68" s="85">
        <v>46293</v>
      </c>
      <c r="AW68" s="86" t="s">
        <v>129</v>
      </c>
      <c r="AX68" s="85">
        <v>46300</v>
      </c>
      <c r="AY68" s="85">
        <v>46307</v>
      </c>
      <c r="AZ68" s="85">
        <v>46314</v>
      </c>
      <c r="BA68" s="85">
        <v>46321</v>
      </c>
      <c r="BB68" s="86" t="s">
        <v>129</v>
      </c>
      <c r="BC68" s="85">
        <v>46328</v>
      </c>
      <c r="BD68" s="85">
        <v>46335</v>
      </c>
      <c r="BE68" s="85">
        <v>46342</v>
      </c>
      <c r="BF68" s="85">
        <v>46349</v>
      </c>
      <c r="BG68" s="85">
        <v>46356</v>
      </c>
      <c r="BH68" s="86" t="s">
        <v>129</v>
      </c>
      <c r="BI68" s="85">
        <v>46363</v>
      </c>
      <c r="BJ68" s="85">
        <v>46370</v>
      </c>
      <c r="BK68" s="85">
        <v>46377</v>
      </c>
      <c r="BL68" s="85">
        <v>46384</v>
      </c>
      <c r="BM68" s="86" t="s">
        <v>129</v>
      </c>
    </row>
    <row r="69" spans="1:65" ht="15.75" customHeight="1" x14ac:dyDescent="0.25">
      <c r="A69" s="90" t="s">
        <v>132</v>
      </c>
      <c r="B69" s="88">
        <v>100</v>
      </c>
      <c r="C69" s="88">
        <v>35</v>
      </c>
      <c r="D69" s="88">
        <v>0</v>
      </c>
      <c r="E69" s="88">
        <v>0</v>
      </c>
      <c r="F69" s="89">
        <f t="shared" ref="F69:F76" si="70">B69+C69+D69+E69</f>
        <v>135</v>
      </c>
      <c r="G69" s="88">
        <v>0</v>
      </c>
      <c r="H69" s="88">
        <v>0</v>
      </c>
      <c r="I69" s="88">
        <v>0</v>
      </c>
      <c r="J69" s="88">
        <v>0</v>
      </c>
      <c r="K69" s="89">
        <f t="shared" ref="K69:K76" si="71">G69+H69+I69+J69</f>
        <v>0</v>
      </c>
      <c r="L69" s="88">
        <v>300</v>
      </c>
      <c r="M69" s="88">
        <v>0</v>
      </c>
      <c r="N69" s="88">
        <v>0</v>
      </c>
      <c r="O69" s="88">
        <v>0</v>
      </c>
      <c r="P69" s="88">
        <v>0</v>
      </c>
      <c r="Q69" s="89">
        <f t="shared" ref="Q69:Q76" si="72">L69+M69+N69+O69+P69</f>
        <v>300</v>
      </c>
      <c r="R69" s="88"/>
      <c r="S69" s="88"/>
      <c r="T69" s="88"/>
      <c r="U69" s="88"/>
      <c r="V69" s="89">
        <f t="shared" ref="V69:V76" si="73">R69+S69+T69+U69</f>
        <v>0</v>
      </c>
      <c r="W69" s="88">
        <v>0</v>
      </c>
      <c r="X69" s="88">
        <v>0</v>
      </c>
      <c r="Y69" s="88"/>
      <c r="Z69" s="88"/>
      <c r="AA69" s="89">
        <f t="shared" ref="AA69:AA76" si="74">W69+X69+Y69+Z69</f>
        <v>0</v>
      </c>
      <c r="AB69" s="88"/>
      <c r="AC69" s="88"/>
      <c r="AD69" s="88"/>
      <c r="AE69" s="88"/>
      <c r="AF69" s="88"/>
      <c r="AG69" s="89">
        <f t="shared" ref="AG69:AG76" si="75">AB69+AC69+AD69+AE69+AF69</f>
        <v>0</v>
      </c>
      <c r="AH69" s="88"/>
      <c r="AI69" s="88"/>
      <c r="AJ69" s="88"/>
      <c r="AK69" s="88"/>
      <c r="AL69" s="89">
        <f t="shared" ref="AL69:AL76" si="76">AH69+AI69+AJ69+AK69</f>
        <v>0</v>
      </c>
      <c r="AM69" s="88"/>
      <c r="AN69" s="88"/>
      <c r="AO69" s="88"/>
      <c r="AP69" s="88"/>
      <c r="AQ69" s="88"/>
      <c r="AR69" s="89">
        <f t="shared" ref="AR69:AR76" si="77">AM69+AN69+AO69+AP69+AQ69</f>
        <v>0</v>
      </c>
      <c r="AS69" s="88"/>
      <c r="AT69" s="88"/>
      <c r="AU69" s="88"/>
      <c r="AV69" s="88"/>
      <c r="AW69" s="89">
        <f t="shared" ref="AW69:AW76" si="78">AS69+AT69+AU69+AV69</f>
        <v>0</v>
      </c>
      <c r="AX69" s="88"/>
      <c r="AY69" s="88"/>
      <c r="AZ69" s="88"/>
      <c r="BA69" s="88"/>
      <c r="BB69" s="89">
        <f t="shared" ref="BB69:BB76" si="79">AX69+AY69+AZ69+BA69</f>
        <v>0</v>
      </c>
      <c r="BC69" s="88"/>
      <c r="BD69" s="88"/>
      <c r="BE69" s="88"/>
      <c r="BF69" s="88"/>
      <c r="BG69" s="88"/>
      <c r="BH69" s="89">
        <f t="shared" ref="BH69:BH76" si="80">BC69+BD69+BE69+BF69+BG69</f>
        <v>0</v>
      </c>
      <c r="BI69" s="88"/>
      <c r="BJ69" s="88"/>
      <c r="BK69" s="88"/>
      <c r="BL69" s="88"/>
      <c r="BM69" s="89">
        <f t="shared" ref="BM69:BM76" si="81">BI69+BJ69+BK69+BL69</f>
        <v>0</v>
      </c>
    </row>
    <row r="70" spans="1:65" ht="15.75" customHeight="1" x14ac:dyDescent="0.25">
      <c r="A70" s="90" t="s">
        <v>549</v>
      </c>
      <c r="B70" s="88">
        <v>200</v>
      </c>
      <c r="C70" s="88">
        <v>200</v>
      </c>
      <c r="D70" s="88">
        <v>200</v>
      </c>
      <c r="E70" s="88">
        <v>50</v>
      </c>
      <c r="F70" s="89">
        <f t="shared" si="70"/>
        <v>650</v>
      </c>
      <c r="G70" s="88">
        <v>0</v>
      </c>
      <c r="H70" s="88">
        <v>150</v>
      </c>
      <c r="I70" s="88">
        <v>200</v>
      </c>
      <c r="J70" s="88">
        <v>200</v>
      </c>
      <c r="K70" s="89">
        <f t="shared" si="71"/>
        <v>550</v>
      </c>
      <c r="L70" s="88">
        <v>200</v>
      </c>
      <c r="M70" s="88">
        <v>0</v>
      </c>
      <c r="N70" s="88">
        <v>200</v>
      </c>
      <c r="O70" s="88">
        <v>200</v>
      </c>
      <c r="P70" s="88">
        <v>200</v>
      </c>
      <c r="Q70" s="89">
        <f t="shared" si="72"/>
        <v>800</v>
      </c>
      <c r="R70" s="88"/>
      <c r="S70" s="88"/>
      <c r="T70" s="88"/>
      <c r="U70" s="88"/>
      <c r="V70" s="89">
        <f t="shared" si="73"/>
        <v>0</v>
      </c>
      <c r="W70" s="88">
        <v>0</v>
      </c>
      <c r="X70" s="88">
        <v>200</v>
      </c>
      <c r="Y70" s="88"/>
      <c r="Z70" s="88"/>
      <c r="AA70" s="89">
        <f t="shared" si="74"/>
        <v>200</v>
      </c>
      <c r="AB70" s="88"/>
      <c r="AC70" s="88"/>
      <c r="AD70" s="88"/>
      <c r="AE70" s="88"/>
      <c r="AF70" s="88"/>
      <c r="AG70" s="89">
        <f t="shared" si="75"/>
        <v>0</v>
      </c>
      <c r="AH70" s="88"/>
      <c r="AI70" s="88"/>
      <c r="AJ70" s="88"/>
      <c r="AK70" s="88"/>
      <c r="AL70" s="89">
        <f t="shared" si="76"/>
        <v>0</v>
      </c>
      <c r="AM70" s="88"/>
      <c r="AN70" s="88"/>
      <c r="AO70" s="88"/>
      <c r="AP70" s="88"/>
      <c r="AQ70" s="88"/>
      <c r="AR70" s="89">
        <f t="shared" si="77"/>
        <v>0</v>
      </c>
      <c r="AS70" s="88"/>
      <c r="AT70" s="88"/>
      <c r="AU70" s="88"/>
      <c r="AV70" s="88"/>
      <c r="AW70" s="89">
        <f t="shared" si="78"/>
        <v>0</v>
      </c>
      <c r="AX70" s="88"/>
      <c r="AY70" s="88"/>
      <c r="AZ70" s="88"/>
      <c r="BA70" s="88"/>
      <c r="BB70" s="89">
        <f t="shared" si="79"/>
        <v>0</v>
      </c>
      <c r="BC70" s="88"/>
      <c r="BD70" s="88"/>
      <c r="BE70" s="88"/>
      <c r="BF70" s="88"/>
      <c r="BG70" s="88"/>
      <c r="BH70" s="89">
        <f t="shared" si="80"/>
        <v>0</v>
      </c>
      <c r="BI70" s="88"/>
      <c r="BJ70" s="88"/>
      <c r="BK70" s="88"/>
      <c r="BL70" s="88"/>
      <c r="BM70" s="89">
        <f t="shared" si="81"/>
        <v>0</v>
      </c>
    </row>
    <row r="71" spans="1:65" ht="15.75" customHeight="1" x14ac:dyDescent="0.25">
      <c r="A71" s="90" t="s">
        <v>137</v>
      </c>
      <c r="B71" s="88">
        <v>0</v>
      </c>
      <c r="C71" s="88">
        <v>0</v>
      </c>
      <c r="D71" s="88">
        <v>200</v>
      </c>
      <c r="E71" s="88">
        <v>0</v>
      </c>
      <c r="F71" s="89">
        <f t="shared" si="70"/>
        <v>200</v>
      </c>
      <c r="G71" s="88">
        <v>0</v>
      </c>
      <c r="H71" s="88">
        <v>0</v>
      </c>
      <c r="I71" s="88">
        <v>0</v>
      </c>
      <c r="J71" s="88">
        <v>0</v>
      </c>
      <c r="K71" s="89">
        <f t="shared" si="71"/>
        <v>0</v>
      </c>
      <c r="L71" s="88">
        <v>0</v>
      </c>
      <c r="M71" s="88">
        <v>200</v>
      </c>
      <c r="N71" s="88">
        <v>0</v>
      </c>
      <c r="O71" s="88">
        <v>200</v>
      </c>
      <c r="P71" s="88">
        <v>0</v>
      </c>
      <c r="Q71" s="89">
        <f t="shared" si="72"/>
        <v>400</v>
      </c>
      <c r="R71" s="88"/>
      <c r="S71" s="88"/>
      <c r="T71" s="88"/>
      <c r="U71" s="88"/>
      <c r="V71" s="89">
        <f t="shared" si="73"/>
        <v>0</v>
      </c>
      <c r="W71" s="88">
        <v>0</v>
      </c>
      <c r="X71" s="88">
        <v>200</v>
      </c>
      <c r="Y71" s="88"/>
      <c r="Z71" s="88"/>
      <c r="AA71" s="89">
        <f t="shared" si="74"/>
        <v>200</v>
      </c>
      <c r="AB71" s="88"/>
      <c r="AC71" s="88"/>
      <c r="AD71" s="88"/>
      <c r="AE71" s="88"/>
      <c r="AF71" s="88"/>
      <c r="AG71" s="89">
        <f t="shared" si="75"/>
        <v>0</v>
      </c>
      <c r="AH71" s="88"/>
      <c r="AI71" s="88"/>
      <c r="AJ71" s="88"/>
      <c r="AK71" s="88"/>
      <c r="AL71" s="89">
        <f t="shared" si="76"/>
        <v>0</v>
      </c>
      <c r="AM71" s="88"/>
      <c r="AN71" s="88"/>
      <c r="AO71" s="88"/>
      <c r="AP71" s="88"/>
      <c r="AQ71" s="88"/>
      <c r="AR71" s="89">
        <f t="shared" si="77"/>
        <v>0</v>
      </c>
      <c r="AS71" s="88"/>
      <c r="AT71" s="88"/>
      <c r="AU71" s="88"/>
      <c r="AV71" s="88"/>
      <c r="AW71" s="89">
        <f t="shared" si="78"/>
        <v>0</v>
      </c>
      <c r="AX71" s="88"/>
      <c r="AY71" s="88"/>
      <c r="AZ71" s="88"/>
      <c r="BA71" s="88"/>
      <c r="BB71" s="89">
        <f t="shared" si="79"/>
        <v>0</v>
      </c>
      <c r="BC71" s="88"/>
      <c r="BD71" s="88"/>
      <c r="BE71" s="88"/>
      <c r="BF71" s="88"/>
      <c r="BG71" s="88"/>
      <c r="BH71" s="89">
        <f t="shared" si="80"/>
        <v>0</v>
      </c>
      <c r="BI71" s="88"/>
      <c r="BJ71" s="88"/>
      <c r="BK71" s="88"/>
      <c r="BL71" s="88"/>
      <c r="BM71" s="89">
        <f t="shared" si="81"/>
        <v>0</v>
      </c>
    </row>
    <row r="72" spans="1:65" ht="15.75" customHeight="1" x14ac:dyDescent="0.25">
      <c r="A72" s="91" t="s">
        <v>550</v>
      </c>
      <c r="B72" s="88">
        <v>0</v>
      </c>
      <c r="C72" s="88">
        <v>0</v>
      </c>
      <c r="D72" s="88">
        <v>0</v>
      </c>
      <c r="E72" s="88">
        <v>0</v>
      </c>
      <c r="F72" s="89">
        <f t="shared" si="70"/>
        <v>0</v>
      </c>
      <c r="G72" s="88">
        <v>32</v>
      </c>
      <c r="H72" s="88">
        <v>0</v>
      </c>
      <c r="I72" s="88">
        <v>0</v>
      </c>
      <c r="J72" s="88">
        <v>0</v>
      </c>
      <c r="K72" s="89">
        <f t="shared" si="71"/>
        <v>32</v>
      </c>
      <c r="L72" s="88">
        <v>0</v>
      </c>
      <c r="M72" s="88">
        <v>0</v>
      </c>
      <c r="N72" s="88">
        <v>0</v>
      </c>
      <c r="O72" s="88">
        <v>0</v>
      </c>
      <c r="P72" s="88">
        <v>0</v>
      </c>
      <c r="Q72" s="89">
        <f t="shared" si="72"/>
        <v>0</v>
      </c>
      <c r="R72" s="88"/>
      <c r="S72" s="88"/>
      <c r="T72" s="88"/>
      <c r="U72" s="88"/>
      <c r="V72" s="89">
        <f t="shared" si="73"/>
        <v>0</v>
      </c>
      <c r="W72" s="88">
        <v>0</v>
      </c>
      <c r="X72" s="88">
        <v>0</v>
      </c>
      <c r="Y72" s="88"/>
      <c r="Z72" s="88"/>
      <c r="AA72" s="89">
        <f t="shared" si="74"/>
        <v>0</v>
      </c>
      <c r="AB72" s="88"/>
      <c r="AC72" s="88"/>
      <c r="AD72" s="88"/>
      <c r="AE72" s="88"/>
      <c r="AF72" s="88"/>
      <c r="AG72" s="89">
        <f t="shared" si="75"/>
        <v>0</v>
      </c>
      <c r="AH72" s="88"/>
      <c r="AI72" s="88"/>
      <c r="AJ72" s="88"/>
      <c r="AK72" s="88"/>
      <c r="AL72" s="89">
        <f t="shared" si="76"/>
        <v>0</v>
      </c>
      <c r="AM72" s="88"/>
      <c r="AN72" s="88"/>
      <c r="AO72" s="88"/>
      <c r="AP72" s="88"/>
      <c r="AQ72" s="88"/>
      <c r="AR72" s="89">
        <f t="shared" si="77"/>
        <v>0</v>
      </c>
      <c r="AS72" s="88"/>
      <c r="AT72" s="88"/>
      <c r="AU72" s="88"/>
      <c r="AV72" s="88"/>
      <c r="AW72" s="89">
        <f t="shared" si="78"/>
        <v>0</v>
      </c>
      <c r="AX72" s="88"/>
      <c r="AY72" s="88"/>
      <c r="AZ72" s="88"/>
      <c r="BA72" s="88"/>
      <c r="BB72" s="89">
        <f t="shared" si="79"/>
        <v>0</v>
      </c>
      <c r="BC72" s="88"/>
      <c r="BD72" s="88"/>
      <c r="BE72" s="88"/>
      <c r="BF72" s="88"/>
      <c r="BG72" s="88"/>
      <c r="BH72" s="89">
        <f t="shared" si="80"/>
        <v>0</v>
      </c>
      <c r="BI72" s="88"/>
      <c r="BJ72" s="88"/>
      <c r="BK72" s="88"/>
      <c r="BL72" s="88"/>
      <c r="BM72" s="89">
        <f t="shared" si="81"/>
        <v>0</v>
      </c>
    </row>
    <row r="73" spans="1:65" ht="15.75" customHeight="1" x14ac:dyDescent="0.25">
      <c r="A73" s="92" t="s">
        <v>224</v>
      </c>
      <c r="B73" s="88">
        <v>0</v>
      </c>
      <c r="C73" s="88">
        <v>0</v>
      </c>
      <c r="D73" s="88">
        <v>0</v>
      </c>
      <c r="E73" s="88">
        <v>1</v>
      </c>
      <c r="F73" s="89">
        <f t="shared" si="70"/>
        <v>1</v>
      </c>
      <c r="G73" s="88">
        <v>1</v>
      </c>
      <c r="H73" s="88">
        <v>1</v>
      </c>
      <c r="I73" s="88">
        <v>0</v>
      </c>
      <c r="J73" s="88">
        <v>0</v>
      </c>
      <c r="K73" s="89">
        <f t="shared" si="71"/>
        <v>2</v>
      </c>
      <c r="L73" s="88">
        <v>0</v>
      </c>
      <c r="M73" s="88">
        <v>1</v>
      </c>
      <c r="N73" s="88">
        <v>1</v>
      </c>
      <c r="O73" s="88">
        <v>0</v>
      </c>
      <c r="P73" s="88">
        <v>2</v>
      </c>
      <c r="Q73" s="89">
        <f t="shared" si="72"/>
        <v>4</v>
      </c>
      <c r="R73" s="88"/>
      <c r="S73" s="88"/>
      <c r="T73" s="88"/>
      <c r="U73" s="88"/>
      <c r="V73" s="89">
        <f t="shared" si="73"/>
        <v>0</v>
      </c>
      <c r="W73" s="88">
        <v>0</v>
      </c>
      <c r="X73" s="88">
        <v>1</v>
      </c>
      <c r="Y73" s="88"/>
      <c r="Z73" s="88"/>
      <c r="AA73" s="89">
        <f t="shared" si="74"/>
        <v>1</v>
      </c>
      <c r="AB73" s="88"/>
      <c r="AC73" s="88"/>
      <c r="AD73" s="88"/>
      <c r="AE73" s="88"/>
      <c r="AF73" s="88"/>
      <c r="AG73" s="89">
        <f t="shared" si="75"/>
        <v>0</v>
      </c>
      <c r="AH73" s="88"/>
      <c r="AI73" s="88"/>
      <c r="AJ73" s="88"/>
      <c r="AK73" s="88"/>
      <c r="AL73" s="89">
        <f t="shared" si="76"/>
        <v>0</v>
      </c>
      <c r="AM73" s="88"/>
      <c r="AN73" s="88"/>
      <c r="AO73" s="88"/>
      <c r="AP73" s="88"/>
      <c r="AQ73" s="88"/>
      <c r="AR73" s="89">
        <f t="shared" si="77"/>
        <v>0</v>
      </c>
      <c r="AS73" s="88"/>
      <c r="AT73" s="88"/>
      <c r="AU73" s="88"/>
      <c r="AV73" s="88"/>
      <c r="AW73" s="89">
        <f t="shared" si="78"/>
        <v>0</v>
      </c>
      <c r="AX73" s="88"/>
      <c r="AY73" s="88"/>
      <c r="AZ73" s="88"/>
      <c r="BA73" s="88"/>
      <c r="BB73" s="89">
        <f t="shared" si="79"/>
        <v>0</v>
      </c>
      <c r="BC73" s="88"/>
      <c r="BD73" s="88"/>
      <c r="BE73" s="88"/>
      <c r="BF73" s="88"/>
      <c r="BG73" s="88"/>
      <c r="BH73" s="89">
        <f t="shared" si="80"/>
        <v>0</v>
      </c>
      <c r="BI73" s="88"/>
      <c r="BJ73" s="88"/>
      <c r="BK73" s="88"/>
      <c r="BL73" s="88"/>
      <c r="BM73" s="89">
        <f t="shared" si="81"/>
        <v>0</v>
      </c>
    </row>
    <row r="74" spans="1:65" ht="15.75" customHeight="1" x14ac:dyDescent="0.25">
      <c r="A74" s="92" t="s">
        <v>225</v>
      </c>
      <c r="B74" s="88">
        <v>0</v>
      </c>
      <c r="C74" s="88">
        <v>0</v>
      </c>
      <c r="D74" s="88">
        <v>0</v>
      </c>
      <c r="E74" s="88">
        <v>0</v>
      </c>
      <c r="F74" s="89">
        <f t="shared" si="70"/>
        <v>0</v>
      </c>
      <c r="G74" s="88">
        <v>0</v>
      </c>
      <c r="H74" s="88">
        <v>0</v>
      </c>
      <c r="I74" s="88">
        <v>0</v>
      </c>
      <c r="J74" s="88">
        <v>0</v>
      </c>
      <c r="K74" s="89">
        <f t="shared" si="71"/>
        <v>0</v>
      </c>
      <c r="L74" s="88">
        <v>0</v>
      </c>
      <c r="M74" s="88">
        <v>0</v>
      </c>
      <c r="N74" s="88">
        <v>0</v>
      </c>
      <c r="O74" s="88">
        <v>1</v>
      </c>
      <c r="P74" s="88">
        <v>0</v>
      </c>
      <c r="Q74" s="89">
        <f t="shared" si="72"/>
        <v>1</v>
      </c>
      <c r="R74" s="88"/>
      <c r="S74" s="88"/>
      <c r="T74" s="88"/>
      <c r="U74" s="88"/>
      <c r="V74" s="89">
        <f t="shared" si="73"/>
        <v>0</v>
      </c>
      <c r="W74" s="88">
        <v>0</v>
      </c>
      <c r="X74" s="88">
        <v>1</v>
      </c>
      <c r="Y74" s="88"/>
      <c r="Z74" s="88"/>
      <c r="AA74" s="89">
        <f t="shared" si="74"/>
        <v>1</v>
      </c>
      <c r="AB74" s="88"/>
      <c r="AC74" s="88"/>
      <c r="AD74" s="88"/>
      <c r="AE74" s="88"/>
      <c r="AF74" s="88"/>
      <c r="AG74" s="89">
        <f t="shared" si="75"/>
        <v>0</v>
      </c>
      <c r="AH74" s="88"/>
      <c r="AI74" s="88"/>
      <c r="AJ74" s="88"/>
      <c r="AK74" s="88"/>
      <c r="AL74" s="89">
        <f t="shared" si="76"/>
        <v>0</v>
      </c>
      <c r="AM74" s="88"/>
      <c r="AN74" s="88"/>
      <c r="AO74" s="88"/>
      <c r="AP74" s="88"/>
      <c r="AQ74" s="88"/>
      <c r="AR74" s="89">
        <f t="shared" si="77"/>
        <v>0</v>
      </c>
      <c r="AS74" s="88"/>
      <c r="AT74" s="88"/>
      <c r="AU74" s="88"/>
      <c r="AV74" s="88"/>
      <c r="AW74" s="89">
        <f t="shared" si="78"/>
        <v>0</v>
      </c>
      <c r="AX74" s="88"/>
      <c r="AY74" s="88"/>
      <c r="AZ74" s="88"/>
      <c r="BA74" s="88"/>
      <c r="BB74" s="89">
        <f t="shared" si="79"/>
        <v>0</v>
      </c>
      <c r="BC74" s="88"/>
      <c r="BD74" s="88"/>
      <c r="BE74" s="88"/>
      <c r="BF74" s="88"/>
      <c r="BG74" s="88"/>
      <c r="BH74" s="89">
        <f t="shared" si="80"/>
        <v>0</v>
      </c>
      <c r="BI74" s="88"/>
      <c r="BJ74" s="88"/>
      <c r="BK74" s="88"/>
      <c r="BL74" s="88"/>
      <c r="BM74" s="89">
        <f t="shared" si="81"/>
        <v>0</v>
      </c>
    </row>
    <row r="75" spans="1:65" ht="15.75" customHeight="1" x14ac:dyDescent="0.25">
      <c r="A75" s="92" t="s">
        <v>147</v>
      </c>
      <c r="B75" s="88">
        <v>0</v>
      </c>
      <c r="C75" s="88">
        <v>0</v>
      </c>
      <c r="D75" s="88">
        <v>0</v>
      </c>
      <c r="E75" s="88">
        <v>0</v>
      </c>
      <c r="F75" s="89">
        <f t="shared" si="70"/>
        <v>0</v>
      </c>
      <c r="G75" s="88">
        <v>1</v>
      </c>
      <c r="H75" s="88">
        <v>1</v>
      </c>
      <c r="I75" s="88">
        <v>1</v>
      </c>
      <c r="J75" s="88">
        <v>0</v>
      </c>
      <c r="K75" s="89">
        <f t="shared" si="71"/>
        <v>3</v>
      </c>
      <c r="L75" s="88">
        <v>0</v>
      </c>
      <c r="M75" s="88">
        <v>0</v>
      </c>
      <c r="N75" s="88">
        <v>0</v>
      </c>
      <c r="O75" s="88">
        <v>1</v>
      </c>
      <c r="P75" s="88">
        <v>0</v>
      </c>
      <c r="Q75" s="89">
        <f t="shared" si="72"/>
        <v>1</v>
      </c>
      <c r="R75" s="88"/>
      <c r="S75" s="88"/>
      <c r="T75" s="88"/>
      <c r="U75" s="88"/>
      <c r="V75" s="89">
        <f t="shared" si="73"/>
        <v>0</v>
      </c>
      <c r="W75" s="88">
        <v>0</v>
      </c>
      <c r="X75" s="88">
        <v>2</v>
      </c>
      <c r="Y75" s="88"/>
      <c r="Z75" s="88"/>
      <c r="AA75" s="89">
        <f t="shared" si="74"/>
        <v>2</v>
      </c>
      <c r="AB75" s="88"/>
      <c r="AC75" s="88"/>
      <c r="AD75" s="88"/>
      <c r="AE75" s="88"/>
      <c r="AF75" s="88"/>
      <c r="AG75" s="89">
        <f t="shared" si="75"/>
        <v>0</v>
      </c>
      <c r="AH75" s="88"/>
      <c r="AI75" s="88"/>
      <c r="AJ75" s="88"/>
      <c r="AK75" s="88"/>
      <c r="AL75" s="89">
        <f t="shared" si="76"/>
        <v>0</v>
      </c>
      <c r="AM75" s="88"/>
      <c r="AN75" s="88"/>
      <c r="AO75" s="88"/>
      <c r="AP75" s="88"/>
      <c r="AQ75" s="88"/>
      <c r="AR75" s="89">
        <f t="shared" si="77"/>
        <v>0</v>
      </c>
      <c r="AS75" s="88"/>
      <c r="AT75" s="88"/>
      <c r="AU75" s="88"/>
      <c r="AV75" s="88"/>
      <c r="AW75" s="89">
        <f t="shared" si="78"/>
        <v>0</v>
      </c>
      <c r="AX75" s="88"/>
      <c r="AY75" s="88"/>
      <c r="AZ75" s="88"/>
      <c r="BA75" s="88"/>
      <c r="BB75" s="89">
        <f t="shared" si="79"/>
        <v>0</v>
      </c>
      <c r="BC75" s="88"/>
      <c r="BD75" s="88"/>
      <c r="BE75" s="88"/>
      <c r="BF75" s="88"/>
      <c r="BG75" s="88"/>
      <c r="BH75" s="89">
        <f t="shared" si="80"/>
        <v>0</v>
      </c>
      <c r="BI75" s="88"/>
      <c r="BJ75" s="88"/>
      <c r="BK75" s="88"/>
      <c r="BL75" s="88"/>
      <c r="BM75" s="89">
        <f t="shared" si="81"/>
        <v>0</v>
      </c>
    </row>
    <row r="76" spans="1:65" ht="15.75" customHeight="1" x14ac:dyDescent="0.25">
      <c r="A76" s="92" t="s">
        <v>148</v>
      </c>
      <c r="B76" s="88">
        <v>0</v>
      </c>
      <c r="C76" s="88">
        <v>0</v>
      </c>
      <c r="D76" s="88">
        <v>0</v>
      </c>
      <c r="E76" s="88">
        <v>0</v>
      </c>
      <c r="F76" s="89">
        <f t="shared" si="70"/>
        <v>0</v>
      </c>
      <c r="G76" s="88">
        <v>0</v>
      </c>
      <c r="H76" s="88">
        <v>0</v>
      </c>
      <c r="I76" s="88">
        <v>0</v>
      </c>
      <c r="J76" s="88">
        <v>0</v>
      </c>
      <c r="K76" s="89">
        <f t="shared" si="71"/>
        <v>0</v>
      </c>
      <c r="L76" s="88">
        <v>0</v>
      </c>
      <c r="M76" s="88">
        <v>0</v>
      </c>
      <c r="N76" s="88">
        <v>0</v>
      </c>
      <c r="O76" s="88">
        <v>1</v>
      </c>
      <c r="P76" s="88">
        <v>2</v>
      </c>
      <c r="Q76" s="89">
        <f t="shared" si="72"/>
        <v>3</v>
      </c>
      <c r="R76" s="88"/>
      <c r="S76" s="88"/>
      <c r="T76" s="88"/>
      <c r="U76" s="88"/>
      <c r="V76" s="89">
        <f t="shared" si="73"/>
        <v>0</v>
      </c>
      <c r="W76" s="88">
        <v>0</v>
      </c>
      <c r="X76" s="88">
        <v>0</v>
      </c>
      <c r="Y76" s="88"/>
      <c r="Z76" s="88"/>
      <c r="AA76" s="89">
        <f t="shared" si="74"/>
        <v>0</v>
      </c>
      <c r="AB76" s="88"/>
      <c r="AC76" s="88"/>
      <c r="AD76" s="88"/>
      <c r="AE76" s="88"/>
      <c r="AF76" s="88"/>
      <c r="AG76" s="89">
        <f t="shared" si="75"/>
        <v>0</v>
      </c>
      <c r="AH76" s="88"/>
      <c r="AI76" s="88"/>
      <c r="AJ76" s="88"/>
      <c r="AK76" s="88"/>
      <c r="AL76" s="89">
        <f t="shared" si="76"/>
        <v>0</v>
      </c>
      <c r="AM76" s="88"/>
      <c r="AN76" s="88"/>
      <c r="AO76" s="88"/>
      <c r="AP76" s="88"/>
      <c r="AQ76" s="88"/>
      <c r="AR76" s="89">
        <f t="shared" si="77"/>
        <v>0</v>
      </c>
      <c r="AS76" s="88"/>
      <c r="AT76" s="88"/>
      <c r="AU76" s="88"/>
      <c r="AV76" s="88"/>
      <c r="AW76" s="89">
        <f t="shared" si="78"/>
        <v>0</v>
      </c>
      <c r="AX76" s="88"/>
      <c r="AY76" s="88"/>
      <c r="AZ76" s="88"/>
      <c r="BA76" s="88"/>
      <c r="BB76" s="89">
        <f t="shared" si="79"/>
        <v>0</v>
      </c>
      <c r="BC76" s="88"/>
      <c r="BD76" s="88"/>
      <c r="BE76" s="88"/>
      <c r="BF76" s="88"/>
      <c r="BG76" s="88"/>
      <c r="BH76" s="89">
        <f t="shared" si="80"/>
        <v>0</v>
      </c>
      <c r="BI76" s="88"/>
      <c r="BJ76" s="88"/>
      <c r="BK76" s="88"/>
      <c r="BL76" s="88"/>
      <c r="BM76" s="89">
        <f t="shared" si="81"/>
        <v>0</v>
      </c>
    </row>
    <row r="77" spans="1:65" ht="15.75" customHeight="1" x14ac:dyDescent="0.25">
      <c r="A77" s="93" t="s">
        <v>401</v>
      </c>
      <c r="B77" s="94">
        <f t="shared" ref="B77:AG77" si="82">SUM(B69:B72)</f>
        <v>300</v>
      </c>
      <c r="C77" s="94">
        <f t="shared" si="82"/>
        <v>235</v>
      </c>
      <c r="D77" s="94">
        <f t="shared" si="82"/>
        <v>400</v>
      </c>
      <c r="E77" s="94">
        <f t="shared" si="82"/>
        <v>50</v>
      </c>
      <c r="F77" s="94">
        <f t="shared" si="82"/>
        <v>985</v>
      </c>
      <c r="G77" s="94">
        <f t="shared" si="82"/>
        <v>32</v>
      </c>
      <c r="H77" s="94">
        <f t="shared" si="82"/>
        <v>150</v>
      </c>
      <c r="I77" s="94">
        <f t="shared" si="82"/>
        <v>200</v>
      </c>
      <c r="J77" s="94">
        <f t="shared" si="82"/>
        <v>200</v>
      </c>
      <c r="K77" s="94">
        <f t="shared" si="82"/>
        <v>582</v>
      </c>
      <c r="L77" s="94">
        <f t="shared" si="82"/>
        <v>500</v>
      </c>
      <c r="M77" s="94">
        <f t="shared" si="82"/>
        <v>200</v>
      </c>
      <c r="N77" s="94">
        <f t="shared" si="82"/>
        <v>200</v>
      </c>
      <c r="O77" s="94">
        <f t="shared" si="82"/>
        <v>400</v>
      </c>
      <c r="P77" s="94">
        <f t="shared" si="82"/>
        <v>200</v>
      </c>
      <c r="Q77" s="94">
        <f t="shared" si="82"/>
        <v>1500</v>
      </c>
      <c r="R77" s="94">
        <f t="shared" si="82"/>
        <v>0</v>
      </c>
      <c r="S77" s="94">
        <f t="shared" si="82"/>
        <v>0</v>
      </c>
      <c r="T77" s="94">
        <f t="shared" si="82"/>
        <v>0</v>
      </c>
      <c r="U77" s="94">
        <f t="shared" si="82"/>
        <v>0</v>
      </c>
      <c r="V77" s="94">
        <f t="shared" si="82"/>
        <v>0</v>
      </c>
      <c r="W77" s="94">
        <f t="shared" si="82"/>
        <v>0</v>
      </c>
      <c r="X77" s="94">
        <f t="shared" si="82"/>
        <v>400</v>
      </c>
      <c r="Y77" s="94">
        <f t="shared" si="82"/>
        <v>0</v>
      </c>
      <c r="Z77" s="94">
        <f t="shared" si="82"/>
        <v>0</v>
      </c>
      <c r="AA77" s="94">
        <f t="shared" si="82"/>
        <v>400</v>
      </c>
      <c r="AB77" s="94">
        <f t="shared" si="82"/>
        <v>0</v>
      </c>
      <c r="AC77" s="94">
        <f t="shared" si="82"/>
        <v>0</v>
      </c>
      <c r="AD77" s="94">
        <f t="shared" si="82"/>
        <v>0</v>
      </c>
      <c r="AE77" s="94">
        <f t="shared" si="82"/>
        <v>0</v>
      </c>
      <c r="AF77" s="94">
        <f t="shared" si="82"/>
        <v>0</v>
      </c>
      <c r="AG77" s="94">
        <f t="shared" si="82"/>
        <v>0</v>
      </c>
      <c r="AH77" s="94">
        <f t="shared" ref="AH77:BM77" si="83">SUM(AH69:AH72)</f>
        <v>0</v>
      </c>
      <c r="AI77" s="94">
        <f t="shared" si="83"/>
        <v>0</v>
      </c>
      <c r="AJ77" s="94">
        <f t="shared" si="83"/>
        <v>0</v>
      </c>
      <c r="AK77" s="94">
        <f t="shared" si="83"/>
        <v>0</v>
      </c>
      <c r="AL77" s="94">
        <f t="shared" si="83"/>
        <v>0</v>
      </c>
      <c r="AM77" s="94">
        <f t="shared" si="83"/>
        <v>0</v>
      </c>
      <c r="AN77" s="94">
        <f t="shared" si="83"/>
        <v>0</v>
      </c>
      <c r="AO77" s="94">
        <f t="shared" si="83"/>
        <v>0</v>
      </c>
      <c r="AP77" s="94">
        <f t="shared" si="83"/>
        <v>0</v>
      </c>
      <c r="AQ77" s="94">
        <f t="shared" si="83"/>
        <v>0</v>
      </c>
      <c r="AR77" s="94">
        <f t="shared" si="83"/>
        <v>0</v>
      </c>
      <c r="AS77" s="94">
        <f t="shared" si="83"/>
        <v>0</v>
      </c>
      <c r="AT77" s="94">
        <f t="shared" si="83"/>
        <v>0</v>
      </c>
      <c r="AU77" s="94">
        <f t="shared" si="83"/>
        <v>0</v>
      </c>
      <c r="AV77" s="94">
        <f t="shared" si="83"/>
        <v>0</v>
      </c>
      <c r="AW77" s="94">
        <f t="shared" si="83"/>
        <v>0</v>
      </c>
      <c r="AX77" s="94">
        <f t="shared" si="83"/>
        <v>0</v>
      </c>
      <c r="AY77" s="94">
        <f t="shared" si="83"/>
        <v>0</v>
      </c>
      <c r="AZ77" s="94">
        <f t="shared" si="83"/>
        <v>0</v>
      </c>
      <c r="BA77" s="94">
        <f t="shared" si="83"/>
        <v>0</v>
      </c>
      <c r="BB77" s="94">
        <f t="shared" si="83"/>
        <v>0</v>
      </c>
      <c r="BC77" s="94">
        <f t="shared" si="83"/>
        <v>0</v>
      </c>
      <c r="BD77" s="94">
        <f t="shared" si="83"/>
        <v>0</v>
      </c>
      <c r="BE77" s="94">
        <f t="shared" si="83"/>
        <v>0</v>
      </c>
      <c r="BF77" s="94">
        <f t="shared" si="83"/>
        <v>0</v>
      </c>
      <c r="BG77" s="94">
        <f t="shared" si="83"/>
        <v>0</v>
      </c>
      <c r="BH77" s="94">
        <f t="shared" si="83"/>
        <v>0</v>
      </c>
      <c r="BI77" s="94">
        <f t="shared" si="83"/>
        <v>0</v>
      </c>
      <c r="BJ77" s="94">
        <f t="shared" si="83"/>
        <v>0</v>
      </c>
      <c r="BK77" s="94">
        <f t="shared" si="83"/>
        <v>0</v>
      </c>
      <c r="BL77" s="94">
        <f t="shared" si="83"/>
        <v>0</v>
      </c>
      <c r="BM77" s="94">
        <f t="shared" si="83"/>
        <v>0</v>
      </c>
    </row>
    <row r="79" spans="1:65" ht="18" customHeight="1" x14ac:dyDescent="0.25">
      <c r="A79" s="505" t="s">
        <v>542</v>
      </c>
      <c r="B79" s="506"/>
      <c r="C79" s="506"/>
      <c r="D79" s="506"/>
      <c r="E79" s="506"/>
      <c r="F79" s="506"/>
      <c r="G79" s="506"/>
      <c r="H79" s="506"/>
      <c r="I79" s="506"/>
      <c r="J79" s="506"/>
      <c r="K79" s="506"/>
      <c r="L79" s="506"/>
      <c r="M79" s="506"/>
      <c r="N79" s="506"/>
      <c r="O79" s="506"/>
      <c r="P79" s="506"/>
      <c r="Q79" s="506"/>
      <c r="R79" s="506"/>
      <c r="S79" s="506"/>
      <c r="T79" s="506"/>
      <c r="U79" s="506"/>
      <c r="V79" s="506"/>
      <c r="W79" s="506"/>
      <c r="X79" s="506"/>
      <c r="Y79" s="506"/>
      <c r="Z79" s="506"/>
      <c r="AA79" s="506"/>
      <c r="AB79" s="506"/>
      <c r="AC79" s="506"/>
      <c r="AD79" s="506"/>
      <c r="AE79" s="506"/>
      <c r="AF79" s="506"/>
      <c r="AG79" s="506"/>
      <c r="AH79" s="506"/>
      <c r="AI79" s="506"/>
      <c r="AJ79" s="506"/>
      <c r="AK79" s="506"/>
      <c r="AL79" s="506"/>
      <c r="AM79" s="506"/>
      <c r="AN79" s="506"/>
      <c r="AO79" s="506"/>
      <c r="AP79" s="506"/>
      <c r="AQ79" s="506"/>
      <c r="AR79" s="506"/>
      <c r="AS79" s="506"/>
      <c r="AT79" s="506"/>
      <c r="AU79" s="506"/>
      <c r="AV79" s="506"/>
      <c r="AW79" s="506"/>
      <c r="AX79" s="506"/>
      <c r="AY79" s="506"/>
      <c r="AZ79" s="506"/>
      <c r="BA79" s="506"/>
      <c r="BB79" s="506"/>
      <c r="BC79" s="506"/>
      <c r="BD79" s="506"/>
      <c r="BE79" s="506"/>
      <c r="BF79" s="506"/>
      <c r="BG79" s="506"/>
      <c r="BH79" s="506"/>
      <c r="BI79" s="506"/>
      <c r="BJ79" s="506"/>
      <c r="BK79" s="506"/>
      <c r="BL79" s="506"/>
      <c r="BM79" s="506"/>
    </row>
    <row r="80" spans="1:65" ht="18" customHeight="1" x14ac:dyDescent="0.25">
      <c r="A80" s="503" t="s">
        <v>248</v>
      </c>
      <c r="B80" s="503" t="s">
        <v>389</v>
      </c>
      <c r="C80" s="485"/>
      <c r="D80" s="485"/>
      <c r="E80" s="485"/>
      <c r="F80" s="486"/>
      <c r="G80" s="503" t="s">
        <v>390</v>
      </c>
      <c r="H80" s="485"/>
      <c r="I80" s="485"/>
      <c r="J80" s="485"/>
      <c r="K80" s="486"/>
      <c r="L80" s="503" t="s">
        <v>391</v>
      </c>
      <c r="M80" s="485"/>
      <c r="N80" s="485"/>
      <c r="O80" s="485"/>
      <c r="P80" s="485"/>
      <c r="Q80" s="486"/>
      <c r="R80" s="503" t="s">
        <v>413</v>
      </c>
      <c r="S80" s="485"/>
      <c r="T80" s="485"/>
      <c r="U80" s="485"/>
      <c r="V80" s="486"/>
      <c r="W80" s="503" t="s">
        <v>414</v>
      </c>
      <c r="X80" s="485"/>
      <c r="Y80" s="485"/>
      <c r="Z80" s="485"/>
      <c r="AA80" s="486"/>
      <c r="AB80" s="503" t="s">
        <v>543</v>
      </c>
      <c r="AC80" s="485"/>
      <c r="AD80" s="485"/>
      <c r="AE80" s="485"/>
      <c r="AF80" s="485"/>
      <c r="AG80" s="486"/>
      <c r="AH80" s="503" t="s">
        <v>544</v>
      </c>
      <c r="AI80" s="485"/>
      <c r="AJ80" s="485"/>
      <c r="AK80" s="485"/>
      <c r="AL80" s="486"/>
      <c r="AM80" s="503" t="s">
        <v>545</v>
      </c>
      <c r="AN80" s="485"/>
      <c r="AO80" s="485"/>
      <c r="AP80" s="485"/>
      <c r="AQ80" s="485"/>
      <c r="AR80" s="486"/>
      <c r="AS80" s="503" t="s">
        <v>546</v>
      </c>
      <c r="AT80" s="485"/>
      <c r="AU80" s="485"/>
      <c r="AV80" s="485"/>
      <c r="AW80" s="486"/>
      <c r="AX80" s="503" t="s">
        <v>547</v>
      </c>
      <c r="AY80" s="485"/>
      <c r="AZ80" s="485"/>
      <c r="BA80" s="485"/>
      <c r="BB80" s="486"/>
      <c r="BC80" s="503" t="s">
        <v>548</v>
      </c>
      <c r="BD80" s="485"/>
      <c r="BE80" s="485"/>
      <c r="BF80" s="485"/>
      <c r="BG80" s="485"/>
      <c r="BH80" s="486"/>
      <c r="BI80" s="503" t="s">
        <v>388</v>
      </c>
      <c r="BJ80" s="485"/>
      <c r="BK80" s="485"/>
      <c r="BL80" s="485"/>
      <c r="BM80" s="486"/>
    </row>
    <row r="81" spans="1:65" ht="15.75" customHeight="1" x14ac:dyDescent="0.25">
      <c r="A81" s="487"/>
      <c r="B81" s="85">
        <v>46027</v>
      </c>
      <c r="C81" s="85">
        <v>46034</v>
      </c>
      <c r="D81" s="85">
        <v>46041</v>
      </c>
      <c r="E81" s="85">
        <v>46048</v>
      </c>
      <c r="F81" s="86" t="s">
        <v>129</v>
      </c>
      <c r="G81" s="85">
        <v>46055</v>
      </c>
      <c r="H81" s="85">
        <v>46062</v>
      </c>
      <c r="I81" s="85">
        <v>46069</v>
      </c>
      <c r="J81" s="85">
        <v>46076</v>
      </c>
      <c r="K81" s="86" t="s">
        <v>129</v>
      </c>
      <c r="L81" s="85">
        <v>46083</v>
      </c>
      <c r="M81" s="85">
        <v>46090</v>
      </c>
      <c r="N81" s="85">
        <v>46097</v>
      </c>
      <c r="O81" s="85">
        <v>46104</v>
      </c>
      <c r="P81" s="85">
        <v>46111</v>
      </c>
      <c r="Q81" s="86" t="s">
        <v>129</v>
      </c>
      <c r="R81" s="85">
        <v>46118</v>
      </c>
      <c r="S81" s="85">
        <v>46125</v>
      </c>
      <c r="T81" s="85">
        <v>46132</v>
      </c>
      <c r="U81" s="85">
        <v>46139</v>
      </c>
      <c r="V81" s="86" t="s">
        <v>129</v>
      </c>
      <c r="W81" s="85">
        <v>46146</v>
      </c>
      <c r="X81" s="85">
        <v>46153</v>
      </c>
      <c r="Y81" s="85">
        <v>46160</v>
      </c>
      <c r="Z81" s="85">
        <v>46167</v>
      </c>
      <c r="AA81" s="86" t="s">
        <v>129</v>
      </c>
      <c r="AB81" s="85">
        <v>46174</v>
      </c>
      <c r="AC81" s="85">
        <v>46181</v>
      </c>
      <c r="AD81" s="85">
        <v>46188</v>
      </c>
      <c r="AE81" s="85">
        <v>46195</v>
      </c>
      <c r="AF81" s="85">
        <v>46202</v>
      </c>
      <c r="AG81" s="86" t="s">
        <v>129</v>
      </c>
      <c r="AH81" s="85">
        <v>46209</v>
      </c>
      <c r="AI81" s="85">
        <v>46216</v>
      </c>
      <c r="AJ81" s="85">
        <v>46223</v>
      </c>
      <c r="AK81" s="85">
        <v>46230</v>
      </c>
      <c r="AL81" s="86" t="s">
        <v>129</v>
      </c>
      <c r="AM81" s="85">
        <v>46237</v>
      </c>
      <c r="AN81" s="85">
        <v>46244</v>
      </c>
      <c r="AO81" s="85">
        <v>46251</v>
      </c>
      <c r="AP81" s="85">
        <v>46258</v>
      </c>
      <c r="AQ81" s="85">
        <v>46265</v>
      </c>
      <c r="AR81" s="86" t="s">
        <v>129</v>
      </c>
      <c r="AS81" s="85">
        <v>46272</v>
      </c>
      <c r="AT81" s="85">
        <v>46279</v>
      </c>
      <c r="AU81" s="85">
        <v>46286</v>
      </c>
      <c r="AV81" s="85">
        <v>46293</v>
      </c>
      <c r="AW81" s="86" t="s">
        <v>129</v>
      </c>
      <c r="AX81" s="85">
        <v>46300</v>
      </c>
      <c r="AY81" s="85">
        <v>46307</v>
      </c>
      <c r="AZ81" s="85">
        <v>46314</v>
      </c>
      <c r="BA81" s="85">
        <v>46321</v>
      </c>
      <c r="BB81" s="86" t="s">
        <v>129</v>
      </c>
      <c r="BC81" s="85">
        <v>46328</v>
      </c>
      <c r="BD81" s="85">
        <v>46335</v>
      </c>
      <c r="BE81" s="85">
        <v>46342</v>
      </c>
      <c r="BF81" s="85">
        <v>46349</v>
      </c>
      <c r="BG81" s="85">
        <v>46356</v>
      </c>
      <c r="BH81" s="86" t="s">
        <v>129</v>
      </c>
      <c r="BI81" s="85">
        <v>46363</v>
      </c>
      <c r="BJ81" s="85">
        <v>46370</v>
      </c>
      <c r="BK81" s="85">
        <v>46377</v>
      </c>
      <c r="BL81" s="85">
        <v>46384</v>
      </c>
      <c r="BM81" s="86" t="s">
        <v>129</v>
      </c>
    </row>
    <row r="82" spans="1:65" ht="15.75" customHeight="1" x14ac:dyDescent="0.25">
      <c r="A82" s="90" t="s">
        <v>132</v>
      </c>
      <c r="B82" s="88">
        <v>0</v>
      </c>
      <c r="C82" s="88">
        <v>0</v>
      </c>
      <c r="D82" s="88">
        <v>90</v>
      </c>
      <c r="E82" s="88">
        <v>0</v>
      </c>
      <c r="F82" s="89">
        <f t="shared" ref="F82:F89" si="84">B82+C82+D82+E82</f>
        <v>90</v>
      </c>
      <c r="G82" s="88">
        <v>0</v>
      </c>
      <c r="H82" s="88">
        <v>0</v>
      </c>
      <c r="I82" s="88">
        <v>0</v>
      </c>
      <c r="J82" s="88">
        <v>50</v>
      </c>
      <c r="K82" s="89">
        <f t="shared" ref="K82:K89" si="85">G82+H82+I82+J82</f>
        <v>50</v>
      </c>
      <c r="L82" s="88">
        <v>0</v>
      </c>
      <c r="M82" s="88">
        <v>0</v>
      </c>
      <c r="N82" s="88">
        <v>55</v>
      </c>
      <c r="O82" s="88">
        <v>15</v>
      </c>
      <c r="P82" s="88">
        <v>150</v>
      </c>
      <c r="Q82" s="89">
        <f t="shared" ref="Q82:Q89" si="86">L82+M82+N82+O82+P82</f>
        <v>220</v>
      </c>
      <c r="R82" s="88"/>
      <c r="S82" s="88"/>
      <c r="T82" s="88"/>
      <c r="U82" s="88"/>
      <c r="V82" s="89">
        <f t="shared" ref="V82:V89" si="87">R82+S82+T82+U82</f>
        <v>0</v>
      </c>
      <c r="W82" s="88">
        <v>0</v>
      </c>
      <c r="X82" s="88">
        <v>100</v>
      </c>
      <c r="Y82" s="88"/>
      <c r="Z82" s="88"/>
      <c r="AA82" s="89">
        <f t="shared" ref="AA82:AA89" si="88">W82+X82+Y82+Z82</f>
        <v>100</v>
      </c>
      <c r="AB82" s="88"/>
      <c r="AC82" s="88"/>
      <c r="AD82" s="88"/>
      <c r="AE82" s="88"/>
      <c r="AF82" s="88"/>
      <c r="AG82" s="89">
        <f t="shared" ref="AG82:AG89" si="89">AB82+AC82+AD82+AE82+AF82</f>
        <v>0</v>
      </c>
      <c r="AH82" s="88"/>
      <c r="AI82" s="88"/>
      <c r="AJ82" s="88"/>
      <c r="AK82" s="88"/>
      <c r="AL82" s="89">
        <f t="shared" ref="AL82:AL89" si="90">AH82+AI82+AJ82+AK82</f>
        <v>0</v>
      </c>
      <c r="AM82" s="88"/>
      <c r="AN82" s="88"/>
      <c r="AO82" s="88"/>
      <c r="AP82" s="88"/>
      <c r="AQ82" s="88"/>
      <c r="AR82" s="89">
        <f t="shared" ref="AR82:AR89" si="91">AM82+AN82+AO82+AP82+AQ82</f>
        <v>0</v>
      </c>
      <c r="AS82" s="88"/>
      <c r="AT82" s="88"/>
      <c r="AU82" s="88"/>
      <c r="AV82" s="88"/>
      <c r="AW82" s="89">
        <f t="shared" ref="AW82:AW89" si="92">AS82+AT82+AU82+AV82</f>
        <v>0</v>
      </c>
      <c r="AX82" s="88"/>
      <c r="AY82" s="88"/>
      <c r="AZ82" s="88"/>
      <c r="BA82" s="88"/>
      <c r="BB82" s="89">
        <f t="shared" ref="BB82:BB89" si="93">AX82+AY82+AZ82+BA82</f>
        <v>0</v>
      </c>
      <c r="BC82" s="88"/>
      <c r="BD82" s="88"/>
      <c r="BE82" s="88"/>
      <c r="BF82" s="88"/>
      <c r="BG82" s="88"/>
      <c r="BH82" s="89">
        <f t="shared" ref="BH82:BH89" si="94">BC82+BD82+BE82+BF82+BG82</f>
        <v>0</v>
      </c>
      <c r="BI82" s="88"/>
      <c r="BJ82" s="88"/>
      <c r="BK82" s="88"/>
      <c r="BL82" s="88"/>
      <c r="BM82" s="89">
        <f t="shared" ref="BM82:BM89" si="95">BI82+BJ82+BK82+BL82</f>
        <v>0</v>
      </c>
    </row>
    <row r="83" spans="1:65" ht="15.75" customHeight="1" x14ac:dyDescent="0.25">
      <c r="A83" s="90" t="s">
        <v>549</v>
      </c>
      <c r="B83" s="88">
        <v>100</v>
      </c>
      <c r="C83" s="88">
        <v>110</v>
      </c>
      <c r="D83" s="88">
        <v>90</v>
      </c>
      <c r="E83" s="88">
        <v>200</v>
      </c>
      <c r="F83" s="89">
        <f t="shared" si="84"/>
        <v>500</v>
      </c>
      <c r="G83" s="88">
        <v>0</v>
      </c>
      <c r="H83" s="88">
        <v>200</v>
      </c>
      <c r="I83" s="88">
        <v>160</v>
      </c>
      <c r="J83" s="88">
        <v>40</v>
      </c>
      <c r="K83" s="89">
        <f t="shared" si="85"/>
        <v>400</v>
      </c>
      <c r="L83" s="88">
        <v>0</v>
      </c>
      <c r="M83" s="88">
        <v>290</v>
      </c>
      <c r="N83" s="88">
        <v>210</v>
      </c>
      <c r="O83" s="88">
        <v>20</v>
      </c>
      <c r="P83" s="88">
        <v>80</v>
      </c>
      <c r="Q83" s="89">
        <f t="shared" si="86"/>
        <v>600</v>
      </c>
      <c r="R83" s="88"/>
      <c r="S83" s="88"/>
      <c r="T83" s="88"/>
      <c r="U83" s="88"/>
      <c r="V83" s="89">
        <f t="shared" si="87"/>
        <v>0</v>
      </c>
      <c r="W83" s="88">
        <v>30</v>
      </c>
      <c r="X83" s="88">
        <v>240</v>
      </c>
      <c r="Y83" s="88"/>
      <c r="Z83" s="88"/>
      <c r="AA83" s="89">
        <f t="shared" si="88"/>
        <v>270</v>
      </c>
      <c r="AB83" s="88"/>
      <c r="AC83" s="88"/>
      <c r="AD83" s="88"/>
      <c r="AE83" s="88"/>
      <c r="AF83" s="88"/>
      <c r="AG83" s="89">
        <f t="shared" si="89"/>
        <v>0</v>
      </c>
      <c r="AH83" s="88"/>
      <c r="AI83" s="88"/>
      <c r="AJ83" s="88"/>
      <c r="AK83" s="88"/>
      <c r="AL83" s="89">
        <f t="shared" si="90"/>
        <v>0</v>
      </c>
      <c r="AM83" s="88"/>
      <c r="AN83" s="88"/>
      <c r="AO83" s="88"/>
      <c r="AP83" s="88"/>
      <c r="AQ83" s="88"/>
      <c r="AR83" s="89">
        <f t="shared" si="91"/>
        <v>0</v>
      </c>
      <c r="AS83" s="88"/>
      <c r="AT83" s="88"/>
      <c r="AU83" s="88"/>
      <c r="AV83" s="88"/>
      <c r="AW83" s="89">
        <f t="shared" si="92"/>
        <v>0</v>
      </c>
      <c r="AX83" s="88"/>
      <c r="AY83" s="88"/>
      <c r="AZ83" s="88"/>
      <c r="BA83" s="88"/>
      <c r="BB83" s="89">
        <f t="shared" si="93"/>
        <v>0</v>
      </c>
      <c r="BC83" s="88"/>
      <c r="BD83" s="88"/>
      <c r="BE83" s="88"/>
      <c r="BF83" s="88"/>
      <c r="BG83" s="88"/>
      <c r="BH83" s="89">
        <f t="shared" si="94"/>
        <v>0</v>
      </c>
      <c r="BI83" s="88"/>
      <c r="BJ83" s="88"/>
      <c r="BK83" s="88"/>
      <c r="BL83" s="88"/>
      <c r="BM83" s="89">
        <f t="shared" si="95"/>
        <v>0</v>
      </c>
    </row>
    <row r="84" spans="1:65" ht="15.75" customHeight="1" x14ac:dyDescent="0.25">
      <c r="A84" s="90" t="s">
        <v>137</v>
      </c>
      <c r="B84" s="88">
        <v>0</v>
      </c>
      <c r="C84" s="88">
        <v>100</v>
      </c>
      <c r="D84" s="88">
        <v>24</v>
      </c>
      <c r="E84" s="88">
        <v>30</v>
      </c>
      <c r="F84" s="89">
        <f t="shared" si="84"/>
        <v>154</v>
      </c>
      <c r="G84" s="88">
        <v>120</v>
      </c>
      <c r="H84" s="88">
        <v>0</v>
      </c>
      <c r="I84" s="88">
        <v>0</v>
      </c>
      <c r="J84" s="88">
        <v>0</v>
      </c>
      <c r="K84" s="89">
        <f t="shared" si="85"/>
        <v>120</v>
      </c>
      <c r="L84" s="88">
        <v>50</v>
      </c>
      <c r="M84" s="88">
        <v>0</v>
      </c>
      <c r="N84" s="88">
        <v>40</v>
      </c>
      <c r="O84" s="88">
        <v>0</v>
      </c>
      <c r="P84" s="88">
        <v>110</v>
      </c>
      <c r="Q84" s="89">
        <f t="shared" si="86"/>
        <v>200</v>
      </c>
      <c r="R84" s="88"/>
      <c r="S84" s="88"/>
      <c r="T84" s="88"/>
      <c r="U84" s="88"/>
      <c r="V84" s="89">
        <f t="shared" si="87"/>
        <v>0</v>
      </c>
      <c r="W84" s="88">
        <v>0</v>
      </c>
      <c r="X84" s="88">
        <v>0</v>
      </c>
      <c r="Y84" s="88"/>
      <c r="Z84" s="88"/>
      <c r="AA84" s="89">
        <f t="shared" si="88"/>
        <v>0</v>
      </c>
      <c r="AB84" s="88"/>
      <c r="AC84" s="88"/>
      <c r="AD84" s="88"/>
      <c r="AE84" s="88"/>
      <c r="AF84" s="88"/>
      <c r="AG84" s="89">
        <f t="shared" si="89"/>
        <v>0</v>
      </c>
      <c r="AH84" s="88"/>
      <c r="AI84" s="88"/>
      <c r="AJ84" s="88"/>
      <c r="AK84" s="88"/>
      <c r="AL84" s="89">
        <f t="shared" si="90"/>
        <v>0</v>
      </c>
      <c r="AM84" s="88"/>
      <c r="AN84" s="88"/>
      <c r="AO84" s="88"/>
      <c r="AP84" s="88"/>
      <c r="AQ84" s="88"/>
      <c r="AR84" s="89">
        <f t="shared" si="91"/>
        <v>0</v>
      </c>
      <c r="AS84" s="88"/>
      <c r="AT84" s="88"/>
      <c r="AU84" s="88"/>
      <c r="AV84" s="88"/>
      <c r="AW84" s="89">
        <f t="shared" si="92"/>
        <v>0</v>
      </c>
      <c r="AX84" s="88"/>
      <c r="AY84" s="88"/>
      <c r="AZ84" s="88"/>
      <c r="BA84" s="88"/>
      <c r="BB84" s="89">
        <f t="shared" si="93"/>
        <v>0</v>
      </c>
      <c r="BC84" s="88"/>
      <c r="BD84" s="88"/>
      <c r="BE84" s="88"/>
      <c r="BF84" s="88"/>
      <c r="BG84" s="88"/>
      <c r="BH84" s="89">
        <f t="shared" si="94"/>
        <v>0</v>
      </c>
      <c r="BI84" s="88"/>
      <c r="BJ84" s="88"/>
      <c r="BK84" s="88"/>
      <c r="BL84" s="88"/>
      <c r="BM84" s="89">
        <f t="shared" si="95"/>
        <v>0</v>
      </c>
    </row>
    <row r="85" spans="1:65" ht="15.75" customHeight="1" x14ac:dyDescent="0.25">
      <c r="A85" s="91" t="s">
        <v>550</v>
      </c>
      <c r="B85" s="88">
        <v>0</v>
      </c>
      <c r="C85" s="88">
        <v>0</v>
      </c>
      <c r="D85" s="88">
        <v>0</v>
      </c>
      <c r="E85" s="88">
        <v>0</v>
      </c>
      <c r="F85" s="89">
        <f t="shared" si="84"/>
        <v>0</v>
      </c>
      <c r="G85" s="88">
        <v>0</v>
      </c>
      <c r="H85" s="88">
        <v>0</v>
      </c>
      <c r="I85" s="88">
        <v>0</v>
      </c>
      <c r="J85" s="88">
        <v>100</v>
      </c>
      <c r="K85" s="89">
        <f t="shared" si="85"/>
        <v>100</v>
      </c>
      <c r="L85" s="88">
        <v>0</v>
      </c>
      <c r="M85" s="88">
        <v>0</v>
      </c>
      <c r="N85" s="88">
        <v>0</v>
      </c>
      <c r="O85" s="88">
        <v>0</v>
      </c>
      <c r="P85" s="88">
        <v>0</v>
      </c>
      <c r="Q85" s="89">
        <f t="shared" si="86"/>
        <v>0</v>
      </c>
      <c r="R85" s="88"/>
      <c r="S85" s="88"/>
      <c r="T85" s="88"/>
      <c r="U85" s="88"/>
      <c r="V85" s="89">
        <f t="shared" si="87"/>
        <v>0</v>
      </c>
      <c r="W85" s="88">
        <v>0</v>
      </c>
      <c r="X85" s="88">
        <v>80</v>
      </c>
      <c r="Y85" s="88"/>
      <c r="Z85" s="88"/>
      <c r="AA85" s="89">
        <f t="shared" si="88"/>
        <v>80</v>
      </c>
      <c r="AB85" s="88"/>
      <c r="AC85" s="88"/>
      <c r="AD85" s="88"/>
      <c r="AE85" s="88"/>
      <c r="AF85" s="88"/>
      <c r="AG85" s="89">
        <f t="shared" si="89"/>
        <v>0</v>
      </c>
      <c r="AH85" s="88"/>
      <c r="AI85" s="88"/>
      <c r="AJ85" s="88"/>
      <c r="AK85" s="88"/>
      <c r="AL85" s="89">
        <f t="shared" si="90"/>
        <v>0</v>
      </c>
      <c r="AM85" s="88"/>
      <c r="AN85" s="88"/>
      <c r="AO85" s="88"/>
      <c r="AP85" s="88"/>
      <c r="AQ85" s="88"/>
      <c r="AR85" s="89">
        <f t="shared" si="91"/>
        <v>0</v>
      </c>
      <c r="AS85" s="88"/>
      <c r="AT85" s="88"/>
      <c r="AU85" s="88"/>
      <c r="AV85" s="88"/>
      <c r="AW85" s="89">
        <f t="shared" si="92"/>
        <v>0</v>
      </c>
      <c r="AX85" s="88"/>
      <c r="AY85" s="88"/>
      <c r="AZ85" s="88"/>
      <c r="BA85" s="88"/>
      <c r="BB85" s="89">
        <f t="shared" si="93"/>
        <v>0</v>
      </c>
      <c r="BC85" s="88"/>
      <c r="BD85" s="88"/>
      <c r="BE85" s="88"/>
      <c r="BF85" s="88"/>
      <c r="BG85" s="88"/>
      <c r="BH85" s="89">
        <f t="shared" si="94"/>
        <v>0</v>
      </c>
      <c r="BI85" s="88"/>
      <c r="BJ85" s="88"/>
      <c r="BK85" s="88"/>
      <c r="BL85" s="88"/>
      <c r="BM85" s="89">
        <f t="shared" si="95"/>
        <v>0</v>
      </c>
    </row>
    <row r="86" spans="1:65" ht="15.75" customHeight="1" x14ac:dyDescent="0.25">
      <c r="A86" s="92" t="s">
        <v>224</v>
      </c>
      <c r="B86" s="88">
        <v>0</v>
      </c>
      <c r="C86" s="88">
        <v>0</v>
      </c>
      <c r="D86" s="88">
        <v>1</v>
      </c>
      <c r="E86" s="88">
        <v>0</v>
      </c>
      <c r="F86" s="89">
        <f t="shared" si="84"/>
        <v>1</v>
      </c>
      <c r="G86" s="88">
        <v>1</v>
      </c>
      <c r="H86" s="88">
        <v>0</v>
      </c>
      <c r="I86" s="88">
        <v>1</v>
      </c>
      <c r="J86" s="88">
        <v>1</v>
      </c>
      <c r="K86" s="89">
        <f t="shared" si="85"/>
        <v>3</v>
      </c>
      <c r="L86" s="88">
        <v>0</v>
      </c>
      <c r="M86" s="88">
        <v>2</v>
      </c>
      <c r="N86" s="88">
        <v>0</v>
      </c>
      <c r="O86" s="88">
        <v>0</v>
      </c>
      <c r="P86" s="88">
        <v>1</v>
      </c>
      <c r="Q86" s="89">
        <f t="shared" si="86"/>
        <v>3</v>
      </c>
      <c r="R86" s="88"/>
      <c r="S86" s="88"/>
      <c r="T86" s="88"/>
      <c r="U86" s="88"/>
      <c r="V86" s="89">
        <f t="shared" si="87"/>
        <v>0</v>
      </c>
      <c r="W86" s="88">
        <v>1</v>
      </c>
      <c r="X86" s="88">
        <v>0</v>
      </c>
      <c r="Y86" s="88"/>
      <c r="Z86" s="88"/>
      <c r="AA86" s="89">
        <f t="shared" si="88"/>
        <v>1</v>
      </c>
      <c r="AB86" s="88"/>
      <c r="AC86" s="88"/>
      <c r="AD86" s="88"/>
      <c r="AE86" s="88"/>
      <c r="AF86" s="88"/>
      <c r="AG86" s="89">
        <f t="shared" si="89"/>
        <v>0</v>
      </c>
      <c r="AH86" s="88"/>
      <c r="AI86" s="88"/>
      <c r="AJ86" s="88"/>
      <c r="AK86" s="88"/>
      <c r="AL86" s="89">
        <f t="shared" si="90"/>
        <v>0</v>
      </c>
      <c r="AM86" s="88"/>
      <c r="AN86" s="88"/>
      <c r="AO86" s="88"/>
      <c r="AP86" s="88"/>
      <c r="AQ86" s="88"/>
      <c r="AR86" s="89">
        <f t="shared" si="91"/>
        <v>0</v>
      </c>
      <c r="AS86" s="88"/>
      <c r="AT86" s="88"/>
      <c r="AU86" s="88"/>
      <c r="AV86" s="88"/>
      <c r="AW86" s="89">
        <f t="shared" si="92"/>
        <v>0</v>
      </c>
      <c r="AX86" s="88"/>
      <c r="AY86" s="88"/>
      <c r="AZ86" s="88"/>
      <c r="BA86" s="88"/>
      <c r="BB86" s="89">
        <f t="shared" si="93"/>
        <v>0</v>
      </c>
      <c r="BC86" s="88"/>
      <c r="BD86" s="88"/>
      <c r="BE86" s="88"/>
      <c r="BF86" s="88"/>
      <c r="BG86" s="88"/>
      <c r="BH86" s="89">
        <f t="shared" si="94"/>
        <v>0</v>
      </c>
      <c r="BI86" s="88"/>
      <c r="BJ86" s="88"/>
      <c r="BK86" s="88"/>
      <c r="BL86" s="88"/>
      <c r="BM86" s="89">
        <f t="shared" si="95"/>
        <v>0</v>
      </c>
    </row>
    <row r="87" spans="1:65" ht="15.75" customHeight="1" x14ac:dyDescent="0.25">
      <c r="A87" s="92" t="s">
        <v>225</v>
      </c>
      <c r="B87" s="88">
        <v>0</v>
      </c>
      <c r="C87" s="88">
        <v>0</v>
      </c>
      <c r="D87" s="88">
        <v>0</v>
      </c>
      <c r="E87" s="88">
        <v>0</v>
      </c>
      <c r="F87" s="89">
        <f t="shared" si="84"/>
        <v>0</v>
      </c>
      <c r="G87" s="88">
        <v>0</v>
      </c>
      <c r="H87" s="88">
        <v>0</v>
      </c>
      <c r="I87" s="88">
        <v>0</v>
      </c>
      <c r="J87" s="88">
        <v>0</v>
      </c>
      <c r="K87" s="89">
        <f t="shared" si="85"/>
        <v>0</v>
      </c>
      <c r="L87" s="88">
        <v>0</v>
      </c>
      <c r="M87" s="88">
        <v>0</v>
      </c>
      <c r="N87" s="88">
        <v>0</v>
      </c>
      <c r="O87" s="88">
        <v>1</v>
      </c>
      <c r="P87" s="88">
        <v>0</v>
      </c>
      <c r="Q87" s="89">
        <f t="shared" si="86"/>
        <v>1</v>
      </c>
      <c r="R87" s="88"/>
      <c r="S87" s="88"/>
      <c r="T87" s="88"/>
      <c r="U87" s="88"/>
      <c r="V87" s="89">
        <f t="shared" si="87"/>
        <v>0</v>
      </c>
      <c r="W87" s="88">
        <v>0</v>
      </c>
      <c r="X87" s="88">
        <v>0</v>
      </c>
      <c r="Y87" s="88"/>
      <c r="Z87" s="88"/>
      <c r="AA87" s="89">
        <f t="shared" si="88"/>
        <v>0</v>
      </c>
      <c r="AB87" s="88"/>
      <c r="AC87" s="88"/>
      <c r="AD87" s="88"/>
      <c r="AE87" s="88"/>
      <c r="AF87" s="88"/>
      <c r="AG87" s="89">
        <f t="shared" si="89"/>
        <v>0</v>
      </c>
      <c r="AH87" s="88"/>
      <c r="AI87" s="88"/>
      <c r="AJ87" s="88"/>
      <c r="AK87" s="88"/>
      <c r="AL87" s="89">
        <f t="shared" si="90"/>
        <v>0</v>
      </c>
      <c r="AM87" s="88"/>
      <c r="AN87" s="88"/>
      <c r="AO87" s="88"/>
      <c r="AP87" s="88"/>
      <c r="AQ87" s="88"/>
      <c r="AR87" s="89">
        <f t="shared" si="91"/>
        <v>0</v>
      </c>
      <c r="AS87" s="88"/>
      <c r="AT87" s="88"/>
      <c r="AU87" s="88"/>
      <c r="AV87" s="88"/>
      <c r="AW87" s="89">
        <f t="shared" si="92"/>
        <v>0</v>
      </c>
      <c r="AX87" s="88"/>
      <c r="AY87" s="88"/>
      <c r="AZ87" s="88"/>
      <c r="BA87" s="88"/>
      <c r="BB87" s="89">
        <f t="shared" si="93"/>
        <v>0</v>
      </c>
      <c r="BC87" s="88"/>
      <c r="BD87" s="88"/>
      <c r="BE87" s="88"/>
      <c r="BF87" s="88"/>
      <c r="BG87" s="88"/>
      <c r="BH87" s="89">
        <f t="shared" si="94"/>
        <v>0</v>
      </c>
      <c r="BI87" s="88"/>
      <c r="BJ87" s="88"/>
      <c r="BK87" s="88"/>
      <c r="BL87" s="88"/>
      <c r="BM87" s="89">
        <f t="shared" si="95"/>
        <v>0</v>
      </c>
    </row>
    <row r="88" spans="1:65" ht="15.75" customHeight="1" x14ac:dyDescent="0.25">
      <c r="A88" s="92" t="s">
        <v>147</v>
      </c>
      <c r="B88" s="88">
        <v>0</v>
      </c>
      <c r="C88" s="88">
        <v>2</v>
      </c>
      <c r="D88" s="88">
        <v>0</v>
      </c>
      <c r="E88" s="88">
        <v>0</v>
      </c>
      <c r="F88" s="89">
        <f t="shared" si="84"/>
        <v>2</v>
      </c>
      <c r="G88" s="88">
        <v>0</v>
      </c>
      <c r="H88" s="88">
        <v>0</v>
      </c>
      <c r="I88" s="88">
        <v>0</v>
      </c>
      <c r="J88" s="88">
        <v>0</v>
      </c>
      <c r="K88" s="89">
        <f t="shared" si="85"/>
        <v>0</v>
      </c>
      <c r="L88" s="88">
        <v>0</v>
      </c>
      <c r="M88" s="88">
        <v>0</v>
      </c>
      <c r="N88" s="88">
        <v>0</v>
      </c>
      <c r="O88" s="88">
        <v>0</v>
      </c>
      <c r="P88" s="88">
        <v>0</v>
      </c>
      <c r="Q88" s="89">
        <f t="shared" si="86"/>
        <v>0</v>
      </c>
      <c r="R88" s="88"/>
      <c r="S88" s="88"/>
      <c r="T88" s="88"/>
      <c r="U88" s="88"/>
      <c r="V88" s="89">
        <f t="shared" si="87"/>
        <v>0</v>
      </c>
      <c r="W88" s="88">
        <v>0</v>
      </c>
      <c r="X88" s="88">
        <v>0</v>
      </c>
      <c r="Y88" s="88"/>
      <c r="Z88" s="88"/>
      <c r="AA88" s="89">
        <f t="shared" si="88"/>
        <v>0</v>
      </c>
      <c r="AB88" s="88"/>
      <c r="AC88" s="88"/>
      <c r="AD88" s="88"/>
      <c r="AE88" s="88"/>
      <c r="AF88" s="88"/>
      <c r="AG88" s="89">
        <f t="shared" si="89"/>
        <v>0</v>
      </c>
      <c r="AH88" s="88"/>
      <c r="AI88" s="88"/>
      <c r="AJ88" s="88"/>
      <c r="AK88" s="88"/>
      <c r="AL88" s="89">
        <f t="shared" si="90"/>
        <v>0</v>
      </c>
      <c r="AM88" s="88"/>
      <c r="AN88" s="88"/>
      <c r="AO88" s="88"/>
      <c r="AP88" s="88"/>
      <c r="AQ88" s="88"/>
      <c r="AR88" s="89">
        <f t="shared" si="91"/>
        <v>0</v>
      </c>
      <c r="AS88" s="88"/>
      <c r="AT88" s="88"/>
      <c r="AU88" s="88"/>
      <c r="AV88" s="88"/>
      <c r="AW88" s="89">
        <f t="shared" si="92"/>
        <v>0</v>
      </c>
      <c r="AX88" s="88"/>
      <c r="AY88" s="88"/>
      <c r="AZ88" s="88"/>
      <c r="BA88" s="88"/>
      <c r="BB88" s="89">
        <f t="shared" si="93"/>
        <v>0</v>
      </c>
      <c r="BC88" s="88"/>
      <c r="BD88" s="88"/>
      <c r="BE88" s="88"/>
      <c r="BF88" s="88"/>
      <c r="BG88" s="88"/>
      <c r="BH88" s="89">
        <f t="shared" si="94"/>
        <v>0</v>
      </c>
      <c r="BI88" s="88"/>
      <c r="BJ88" s="88"/>
      <c r="BK88" s="88"/>
      <c r="BL88" s="88"/>
      <c r="BM88" s="89">
        <f t="shared" si="95"/>
        <v>0</v>
      </c>
    </row>
    <row r="89" spans="1:65" ht="15.75" customHeight="1" x14ac:dyDescent="0.25">
      <c r="A89" s="92" t="s">
        <v>148</v>
      </c>
      <c r="B89" s="88">
        <v>0</v>
      </c>
      <c r="C89" s="88">
        <v>0</v>
      </c>
      <c r="D89" s="88">
        <v>0</v>
      </c>
      <c r="E89" s="88">
        <v>0</v>
      </c>
      <c r="F89" s="89">
        <f t="shared" si="84"/>
        <v>0</v>
      </c>
      <c r="G89" s="88">
        <v>1</v>
      </c>
      <c r="H89" s="88">
        <v>0</v>
      </c>
      <c r="I89" s="88">
        <v>0</v>
      </c>
      <c r="J89" s="88">
        <v>0</v>
      </c>
      <c r="K89" s="89">
        <f t="shared" si="85"/>
        <v>1</v>
      </c>
      <c r="L89" s="88">
        <v>0</v>
      </c>
      <c r="M89" s="88">
        <v>0</v>
      </c>
      <c r="N89" s="88">
        <v>0</v>
      </c>
      <c r="O89" s="88">
        <v>1</v>
      </c>
      <c r="P89" s="88">
        <v>1</v>
      </c>
      <c r="Q89" s="89">
        <f t="shared" si="86"/>
        <v>2</v>
      </c>
      <c r="R89" s="88"/>
      <c r="S89" s="88"/>
      <c r="T89" s="88"/>
      <c r="U89" s="88"/>
      <c r="V89" s="89">
        <f t="shared" si="87"/>
        <v>0</v>
      </c>
      <c r="W89" s="88">
        <v>0</v>
      </c>
      <c r="X89" s="88">
        <v>0</v>
      </c>
      <c r="Y89" s="88"/>
      <c r="Z89" s="88"/>
      <c r="AA89" s="89">
        <f t="shared" si="88"/>
        <v>0</v>
      </c>
      <c r="AB89" s="88"/>
      <c r="AC89" s="88"/>
      <c r="AD89" s="88"/>
      <c r="AE89" s="88"/>
      <c r="AF89" s="88"/>
      <c r="AG89" s="89">
        <f t="shared" si="89"/>
        <v>0</v>
      </c>
      <c r="AH89" s="88"/>
      <c r="AI89" s="88"/>
      <c r="AJ89" s="88"/>
      <c r="AK89" s="88"/>
      <c r="AL89" s="89">
        <f t="shared" si="90"/>
        <v>0</v>
      </c>
      <c r="AM89" s="88"/>
      <c r="AN89" s="88"/>
      <c r="AO89" s="88"/>
      <c r="AP89" s="88"/>
      <c r="AQ89" s="88"/>
      <c r="AR89" s="89">
        <f t="shared" si="91"/>
        <v>0</v>
      </c>
      <c r="AS89" s="88"/>
      <c r="AT89" s="88"/>
      <c r="AU89" s="88"/>
      <c r="AV89" s="88"/>
      <c r="AW89" s="89">
        <f t="shared" si="92"/>
        <v>0</v>
      </c>
      <c r="AX89" s="88"/>
      <c r="AY89" s="88"/>
      <c r="AZ89" s="88"/>
      <c r="BA89" s="88"/>
      <c r="BB89" s="89">
        <f t="shared" si="93"/>
        <v>0</v>
      </c>
      <c r="BC89" s="88"/>
      <c r="BD89" s="88"/>
      <c r="BE89" s="88"/>
      <c r="BF89" s="88"/>
      <c r="BG89" s="88"/>
      <c r="BH89" s="89">
        <f t="shared" si="94"/>
        <v>0</v>
      </c>
      <c r="BI89" s="88"/>
      <c r="BJ89" s="88"/>
      <c r="BK89" s="88"/>
      <c r="BL89" s="88"/>
      <c r="BM89" s="89">
        <f t="shared" si="95"/>
        <v>0</v>
      </c>
    </row>
    <row r="90" spans="1:65" ht="15.75" customHeight="1" x14ac:dyDescent="0.25">
      <c r="A90" s="93" t="s">
        <v>401</v>
      </c>
      <c r="B90" s="94">
        <f t="shared" ref="B90:AG90" si="96">SUM(B82:B85)</f>
        <v>100</v>
      </c>
      <c r="C90" s="94">
        <f t="shared" si="96"/>
        <v>210</v>
      </c>
      <c r="D90" s="94">
        <f t="shared" si="96"/>
        <v>204</v>
      </c>
      <c r="E90" s="94">
        <f t="shared" si="96"/>
        <v>230</v>
      </c>
      <c r="F90" s="94">
        <f t="shared" si="96"/>
        <v>744</v>
      </c>
      <c r="G90" s="94">
        <f t="shared" si="96"/>
        <v>120</v>
      </c>
      <c r="H90" s="94">
        <f t="shared" si="96"/>
        <v>200</v>
      </c>
      <c r="I90" s="94">
        <f t="shared" si="96"/>
        <v>160</v>
      </c>
      <c r="J90" s="94">
        <f t="shared" si="96"/>
        <v>190</v>
      </c>
      <c r="K90" s="94">
        <f t="shared" si="96"/>
        <v>670</v>
      </c>
      <c r="L90" s="94">
        <f t="shared" si="96"/>
        <v>50</v>
      </c>
      <c r="M90" s="94">
        <f t="shared" si="96"/>
        <v>290</v>
      </c>
      <c r="N90" s="94">
        <f t="shared" si="96"/>
        <v>305</v>
      </c>
      <c r="O90" s="94">
        <f t="shared" si="96"/>
        <v>35</v>
      </c>
      <c r="P90" s="94">
        <f t="shared" si="96"/>
        <v>340</v>
      </c>
      <c r="Q90" s="94">
        <f t="shared" si="96"/>
        <v>1020</v>
      </c>
      <c r="R90" s="94">
        <f t="shared" si="96"/>
        <v>0</v>
      </c>
      <c r="S90" s="94">
        <f t="shared" si="96"/>
        <v>0</v>
      </c>
      <c r="T90" s="94">
        <f t="shared" si="96"/>
        <v>0</v>
      </c>
      <c r="U90" s="94">
        <f t="shared" si="96"/>
        <v>0</v>
      </c>
      <c r="V90" s="94">
        <f t="shared" si="96"/>
        <v>0</v>
      </c>
      <c r="W90" s="94">
        <f t="shared" si="96"/>
        <v>30</v>
      </c>
      <c r="X90" s="94">
        <f t="shared" si="96"/>
        <v>420</v>
      </c>
      <c r="Y90" s="94">
        <f t="shared" si="96"/>
        <v>0</v>
      </c>
      <c r="Z90" s="94">
        <f t="shared" si="96"/>
        <v>0</v>
      </c>
      <c r="AA90" s="94">
        <f t="shared" si="96"/>
        <v>450</v>
      </c>
      <c r="AB90" s="94">
        <f t="shared" si="96"/>
        <v>0</v>
      </c>
      <c r="AC90" s="94">
        <f t="shared" si="96"/>
        <v>0</v>
      </c>
      <c r="AD90" s="94">
        <f t="shared" si="96"/>
        <v>0</v>
      </c>
      <c r="AE90" s="94">
        <f t="shared" si="96"/>
        <v>0</v>
      </c>
      <c r="AF90" s="94">
        <f t="shared" si="96"/>
        <v>0</v>
      </c>
      <c r="AG90" s="94">
        <f t="shared" si="96"/>
        <v>0</v>
      </c>
      <c r="AH90" s="94">
        <f t="shared" ref="AH90:BM90" si="97">SUM(AH82:AH85)</f>
        <v>0</v>
      </c>
      <c r="AI90" s="94">
        <f t="shared" si="97"/>
        <v>0</v>
      </c>
      <c r="AJ90" s="94">
        <f t="shared" si="97"/>
        <v>0</v>
      </c>
      <c r="AK90" s="94">
        <f t="shared" si="97"/>
        <v>0</v>
      </c>
      <c r="AL90" s="94">
        <f t="shared" si="97"/>
        <v>0</v>
      </c>
      <c r="AM90" s="94">
        <f t="shared" si="97"/>
        <v>0</v>
      </c>
      <c r="AN90" s="94">
        <f t="shared" si="97"/>
        <v>0</v>
      </c>
      <c r="AO90" s="94">
        <f t="shared" si="97"/>
        <v>0</v>
      </c>
      <c r="AP90" s="94">
        <f t="shared" si="97"/>
        <v>0</v>
      </c>
      <c r="AQ90" s="94">
        <f t="shared" si="97"/>
        <v>0</v>
      </c>
      <c r="AR90" s="94">
        <f t="shared" si="97"/>
        <v>0</v>
      </c>
      <c r="AS90" s="94">
        <f t="shared" si="97"/>
        <v>0</v>
      </c>
      <c r="AT90" s="94">
        <f t="shared" si="97"/>
        <v>0</v>
      </c>
      <c r="AU90" s="94">
        <f t="shared" si="97"/>
        <v>0</v>
      </c>
      <c r="AV90" s="94">
        <f t="shared" si="97"/>
        <v>0</v>
      </c>
      <c r="AW90" s="94">
        <f t="shared" si="97"/>
        <v>0</v>
      </c>
      <c r="AX90" s="94">
        <f t="shared" si="97"/>
        <v>0</v>
      </c>
      <c r="AY90" s="94">
        <f t="shared" si="97"/>
        <v>0</v>
      </c>
      <c r="AZ90" s="94">
        <f t="shared" si="97"/>
        <v>0</v>
      </c>
      <c r="BA90" s="94">
        <f t="shared" si="97"/>
        <v>0</v>
      </c>
      <c r="BB90" s="94">
        <f t="shared" si="97"/>
        <v>0</v>
      </c>
      <c r="BC90" s="94">
        <f t="shared" si="97"/>
        <v>0</v>
      </c>
      <c r="BD90" s="94">
        <f t="shared" si="97"/>
        <v>0</v>
      </c>
      <c r="BE90" s="94">
        <f t="shared" si="97"/>
        <v>0</v>
      </c>
      <c r="BF90" s="94">
        <f t="shared" si="97"/>
        <v>0</v>
      </c>
      <c r="BG90" s="94">
        <f t="shared" si="97"/>
        <v>0</v>
      </c>
      <c r="BH90" s="94">
        <f t="shared" si="97"/>
        <v>0</v>
      </c>
      <c r="BI90" s="94">
        <f t="shared" si="97"/>
        <v>0</v>
      </c>
      <c r="BJ90" s="94">
        <f t="shared" si="97"/>
        <v>0</v>
      </c>
      <c r="BK90" s="94">
        <f t="shared" si="97"/>
        <v>0</v>
      </c>
      <c r="BL90" s="94">
        <f t="shared" si="97"/>
        <v>0</v>
      </c>
      <c r="BM90" s="94">
        <f t="shared" si="97"/>
        <v>0</v>
      </c>
    </row>
    <row r="92" spans="1:65" ht="18" customHeight="1" x14ac:dyDescent="0.25">
      <c r="A92" s="505" t="s">
        <v>542</v>
      </c>
      <c r="B92" s="506"/>
      <c r="C92" s="506"/>
      <c r="D92" s="506"/>
      <c r="E92" s="506"/>
      <c r="F92" s="506"/>
      <c r="G92" s="506"/>
      <c r="H92" s="506"/>
      <c r="I92" s="506"/>
      <c r="J92" s="506"/>
      <c r="K92" s="506"/>
      <c r="L92" s="506"/>
      <c r="M92" s="506"/>
      <c r="N92" s="506"/>
      <c r="O92" s="506"/>
      <c r="P92" s="506"/>
      <c r="Q92" s="506"/>
      <c r="R92" s="506"/>
      <c r="S92" s="506"/>
      <c r="T92" s="506"/>
      <c r="U92" s="506"/>
      <c r="V92" s="506"/>
      <c r="W92" s="506"/>
      <c r="X92" s="506"/>
      <c r="Y92" s="506"/>
      <c r="Z92" s="506"/>
      <c r="AA92" s="506"/>
      <c r="AB92" s="506"/>
      <c r="AC92" s="506"/>
      <c r="AD92" s="506"/>
      <c r="AE92" s="506"/>
      <c r="AF92" s="506"/>
      <c r="AG92" s="506"/>
      <c r="AH92" s="506"/>
      <c r="AI92" s="506"/>
      <c r="AJ92" s="506"/>
      <c r="AK92" s="506"/>
      <c r="AL92" s="506"/>
      <c r="AM92" s="506"/>
      <c r="AN92" s="506"/>
      <c r="AO92" s="506"/>
      <c r="AP92" s="506"/>
      <c r="AQ92" s="506"/>
      <c r="AR92" s="506"/>
      <c r="AS92" s="506"/>
      <c r="AT92" s="506"/>
      <c r="AU92" s="506"/>
      <c r="AV92" s="506"/>
      <c r="AW92" s="506"/>
      <c r="AX92" s="506"/>
      <c r="AY92" s="506"/>
      <c r="AZ92" s="506"/>
      <c r="BA92" s="506"/>
      <c r="BB92" s="506"/>
      <c r="BC92" s="506"/>
      <c r="BD92" s="506"/>
      <c r="BE92" s="506"/>
      <c r="BF92" s="506"/>
      <c r="BG92" s="506"/>
      <c r="BH92" s="506"/>
      <c r="BI92" s="506"/>
      <c r="BJ92" s="506"/>
      <c r="BK92" s="506"/>
      <c r="BL92" s="506"/>
      <c r="BM92" s="506"/>
    </row>
    <row r="93" spans="1:65" ht="18" customHeight="1" x14ac:dyDescent="0.25">
      <c r="A93" s="503" t="s">
        <v>323</v>
      </c>
      <c r="B93" s="503" t="s">
        <v>389</v>
      </c>
      <c r="C93" s="485"/>
      <c r="D93" s="485"/>
      <c r="E93" s="485"/>
      <c r="F93" s="486"/>
      <c r="G93" s="503" t="s">
        <v>390</v>
      </c>
      <c r="H93" s="485"/>
      <c r="I93" s="485"/>
      <c r="J93" s="485"/>
      <c r="K93" s="486"/>
      <c r="L93" s="503" t="s">
        <v>391</v>
      </c>
      <c r="M93" s="485"/>
      <c r="N93" s="485"/>
      <c r="O93" s="485"/>
      <c r="P93" s="485"/>
      <c r="Q93" s="486"/>
      <c r="R93" s="503" t="s">
        <v>413</v>
      </c>
      <c r="S93" s="485"/>
      <c r="T93" s="485"/>
      <c r="U93" s="485"/>
      <c r="V93" s="486"/>
      <c r="W93" s="503" t="s">
        <v>414</v>
      </c>
      <c r="X93" s="485"/>
      <c r="Y93" s="485"/>
      <c r="Z93" s="485"/>
      <c r="AA93" s="486"/>
      <c r="AB93" s="503" t="s">
        <v>543</v>
      </c>
      <c r="AC93" s="485"/>
      <c r="AD93" s="485"/>
      <c r="AE93" s="485"/>
      <c r="AF93" s="485"/>
      <c r="AG93" s="486"/>
      <c r="AH93" s="503" t="s">
        <v>544</v>
      </c>
      <c r="AI93" s="485"/>
      <c r="AJ93" s="485"/>
      <c r="AK93" s="485"/>
      <c r="AL93" s="486"/>
      <c r="AM93" s="503" t="s">
        <v>545</v>
      </c>
      <c r="AN93" s="485"/>
      <c r="AO93" s="485"/>
      <c r="AP93" s="485"/>
      <c r="AQ93" s="485"/>
      <c r="AR93" s="486"/>
      <c r="AS93" s="503" t="s">
        <v>546</v>
      </c>
      <c r="AT93" s="485"/>
      <c r="AU93" s="485"/>
      <c r="AV93" s="485"/>
      <c r="AW93" s="486"/>
      <c r="AX93" s="503" t="s">
        <v>547</v>
      </c>
      <c r="AY93" s="485"/>
      <c r="AZ93" s="485"/>
      <c r="BA93" s="485"/>
      <c r="BB93" s="486"/>
      <c r="BC93" s="503" t="s">
        <v>548</v>
      </c>
      <c r="BD93" s="485"/>
      <c r="BE93" s="485"/>
      <c r="BF93" s="485"/>
      <c r="BG93" s="485"/>
      <c r="BH93" s="486"/>
      <c r="BI93" s="503" t="s">
        <v>388</v>
      </c>
      <c r="BJ93" s="485"/>
      <c r="BK93" s="485"/>
      <c r="BL93" s="485"/>
      <c r="BM93" s="486"/>
    </row>
    <row r="94" spans="1:65" ht="15.75" customHeight="1" x14ac:dyDescent="0.25">
      <c r="A94" s="487"/>
      <c r="B94" s="85">
        <v>46027</v>
      </c>
      <c r="C94" s="85">
        <v>46034</v>
      </c>
      <c r="D94" s="85">
        <v>46041</v>
      </c>
      <c r="E94" s="85">
        <v>46048</v>
      </c>
      <c r="F94" s="86" t="s">
        <v>129</v>
      </c>
      <c r="G94" s="85">
        <v>46055</v>
      </c>
      <c r="H94" s="85">
        <v>46062</v>
      </c>
      <c r="I94" s="85">
        <v>46069</v>
      </c>
      <c r="J94" s="85">
        <v>46076</v>
      </c>
      <c r="K94" s="86" t="s">
        <v>129</v>
      </c>
      <c r="L94" s="85">
        <v>46083</v>
      </c>
      <c r="M94" s="85">
        <v>46090</v>
      </c>
      <c r="N94" s="85">
        <v>46097</v>
      </c>
      <c r="O94" s="85">
        <v>46104</v>
      </c>
      <c r="P94" s="85">
        <v>46111</v>
      </c>
      <c r="Q94" s="86" t="s">
        <v>129</v>
      </c>
      <c r="R94" s="85">
        <v>46118</v>
      </c>
      <c r="S94" s="85">
        <v>46125</v>
      </c>
      <c r="T94" s="85">
        <v>46132</v>
      </c>
      <c r="U94" s="85">
        <v>46139</v>
      </c>
      <c r="V94" s="86" t="s">
        <v>129</v>
      </c>
      <c r="W94" s="85">
        <v>46146</v>
      </c>
      <c r="X94" s="85">
        <v>46153</v>
      </c>
      <c r="Y94" s="85">
        <v>46160</v>
      </c>
      <c r="Z94" s="85">
        <v>46167</v>
      </c>
      <c r="AA94" s="86" t="s">
        <v>129</v>
      </c>
      <c r="AB94" s="85">
        <v>46174</v>
      </c>
      <c r="AC94" s="85">
        <v>46181</v>
      </c>
      <c r="AD94" s="85">
        <v>46188</v>
      </c>
      <c r="AE94" s="85">
        <v>46195</v>
      </c>
      <c r="AF94" s="85">
        <v>46202</v>
      </c>
      <c r="AG94" s="86" t="s">
        <v>129</v>
      </c>
      <c r="AH94" s="85">
        <v>46209</v>
      </c>
      <c r="AI94" s="85">
        <v>46216</v>
      </c>
      <c r="AJ94" s="85">
        <v>46223</v>
      </c>
      <c r="AK94" s="85">
        <v>46230</v>
      </c>
      <c r="AL94" s="86" t="s">
        <v>129</v>
      </c>
      <c r="AM94" s="85">
        <v>46237</v>
      </c>
      <c r="AN94" s="85">
        <v>46244</v>
      </c>
      <c r="AO94" s="85">
        <v>46251</v>
      </c>
      <c r="AP94" s="85">
        <v>46258</v>
      </c>
      <c r="AQ94" s="85">
        <v>46265</v>
      </c>
      <c r="AR94" s="86" t="s">
        <v>129</v>
      </c>
      <c r="AS94" s="85">
        <v>46272</v>
      </c>
      <c r="AT94" s="85">
        <v>46279</v>
      </c>
      <c r="AU94" s="85">
        <v>46286</v>
      </c>
      <c r="AV94" s="85">
        <v>46293</v>
      </c>
      <c r="AW94" s="86" t="s">
        <v>129</v>
      </c>
      <c r="AX94" s="85">
        <v>46300</v>
      </c>
      <c r="AY94" s="85">
        <v>46307</v>
      </c>
      <c r="AZ94" s="85">
        <v>46314</v>
      </c>
      <c r="BA94" s="85">
        <v>46321</v>
      </c>
      <c r="BB94" s="86" t="s">
        <v>129</v>
      </c>
      <c r="BC94" s="85">
        <v>46328</v>
      </c>
      <c r="BD94" s="85">
        <v>46335</v>
      </c>
      <c r="BE94" s="85">
        <v>46342</v>
      </c>
      <c r="BF94" s="85">
        <v>46349</v>
      </c>
      <c r="BG94" s="85">
        <v>46356</v>
      </c>
      <c r="BH94" s="86" t="s">
        <v>129</v>
      </c>
      <c r="BI94" s="85">
        <v>46363</v>
      </c>
      <c r="BJ94" s="85">
        <v>46370</v>
      </c>
      <c r="BK94" s="85">
        <v>46377</v>
      </c>
      <c r="BL94" s="85">
        <v>46384</v>
      </c>
      <c r="BM94" s="86" t="s">
        <v>129</v>
      </c>
    </row>
    <row r="95" spans="1:65" ht="15.75" customHeight="1" x14ac:dyDescent="0.25">
      <c r="A95" s="90" t="s">
        <v>132</v>
      </c>
      <c r="B95" s="88">
        <v>0</v>
      </c>
      <c r="C95" s="88">
        <v>0</v>
      </c>
      <c r="D95" s="88">
        <v>0</v>
      </c>
      <c r="E95" s="88">
        <v>0</v>
      </c>
      <c r="F95" s="89">
        <f t="shared" ref="F95:F102" si="98">B95+C95+D95+E95</f>
        <v>0</v>
      </c>
      <c r="G95" s="88">
        <v>0</v>
      </c>
      <c r="H95" s="88">
        <v>0</v>
      </c>
      <c r="I95" s="88">
        <v>0</v>
      </c>
      <c r="J95" s="88">
        <v>70</v>
      </c>
      <c r="K95" s="89">
        <f t="shared" ref="K95:K102" si="99">G95+H95+I95+J95</f>
        <v>70</v>
      </c>
      <c r="L95" s="88">
        <v>0</v>
      </c>
      <c r="M95" s="88">
        <v>30</v>
      </c>
      <c r="N95" s="88">
        <v>0</v>
      </c>
      <c r="O95" s="88">
        <v>70</v>
      </c>
      <c r="P95" s="88">
        <v>0</v>
      </c>
      <c r="Q95" s="89">
        <f t="shared" ref="Q95:Q102" si="100">L95+M95+N95+O95+P95</f>
        <v>100</v>
      </c>
      <c r="R95" s="88"/>
      <c r="S95" s="88"/>
      <c r="T95" s="88"/>
      <c r="U95" s="88"/>
      <c r="V95" s="89">
        <f t="shared" ref="V95:V102" si="101">R95+S95+T95+U95</f>
        <v>0</v>
      </c>
      <c r="W95" s="88">
        <v>50</v>
      </c>
      <c r="X95" s="88">
        <v>26</v>
      </c>
      <c r="Y95" s="88"/>
      <c r="Z95" s="88"/>
      <c r="AA95" s="89">
        <f t="shared" ref="AA95:AA102" si="102">W95+X95+Y95+Z95</f>
        <v>76</v>
      </c>
      <c r="AB95" s="88"/>
      <c r="AC95" s="88"/>
      <c r="AD95" s="88"/>
      <c r="AE95" s="88"/>
      <c r="AF95" s="88"/>
      <c r="AG95" s="89">
        <f t="shared" ref="AG95:AG102" si="103">AB95+AC95+AD95+AE95+AF95</f>
        <v>0</v>
      </c>
      <c r="AH95" s="88"/>
      <c r="AI95" s="88"/>
      <c r="AJ95" s="88"/>
      <c r="AK95" s="88"/>
      <c r="AL95" s="89">
        <f t="shared" ref="AL95:AL102" si="104">AH95+AI95+AJ95+AK95</f>
        <v>0</v>
      </c>
      <c r="AM95" s="88"/>
      <c r="AN95" s="88"/>
      <c r="AO95" s="88"/>
      <c r="AP95" s="88"/>
      <c r="AQ95" s="88"/>
      <c r="AR95" s="89">
        <f t="shared" ref="AR95:AR102" si="105">AM95+AN95+AO95+AP95+AQ95</f>
        <v>0</v>
      </c>
      <c r="AS95" s="88"/>
      <c r="AT95" s="88"/>
      <c r="AU95" s="88"/>
      <c r="AV95" s="88"/>
      <c r="AW95" s="89">
        <f t="shared" ref="AW95:AW102" si="106">AS95+AT95+AU95+AV95</f>
        <v>0</v>
      </c>
      <c r="AX95" s="88"/>
      <c r="AY95" s="88"/>
      <c r="AZ95" s="88"/>
      <c r="BA95" s="88"/>
      <c r="BB95" s="89">
        <f t="shared" ref="BB95:BB102" si="107">AX95+AY95+AZ95+BA95</f>
        <v>0</v>
      </c>
      <c r="BC95" s="88"/>
      <c r="BD95" s="88"/>
      <c r="BE95" s="88"/>
      <c r="BF95" s="88"/>
      <c r="BG95" s="88"/>
      <c r="BH95" s="89">
        <f t="shared" ref="BH95:BH102" si="108">BC95+BD95+BE95+BF95+BG95</f>
        <v>0</v>
      </c>
      <c r="BI95" s="88"/>
      <c r="BJ95" s="88"/>
      <c r="BK95" s="88"/>
      <c r="BL95" s="88"/>
      <c r="BM95" s="89">
        <f t="shared" ref="BM95:BM102" si="109">BI95+BJ95+BK95+BL95</f>
        <v>0</v>
      </c>
    </row>
    <row r="96" spans="1:65" ht="15.75" customHeight="1" x14ac:dyDescent="0.25">
      <c r="A96" s="90" t="s">
        <v>549</v>
      </c>
      <c r="B96" s="88">
        <v>72</v>
      </c>
      <c r="C96" s="88">
        <v>70</v>
      </c>
      <c r="D96" s="88">
        <v>20</v>
      </c>
      <c r="E96" s="88">
        <v>65</v>
      </c>
      <c r="F96" s="89">
        <f t="shared" si="98"/>
        <v>227</v>
      </c>
      <c r="G96" s="88">
        <v>65</v>
      </c>
      <c r="H96" s="88">
        <v>60</v>
      </c>
      <c r="I96" s="88">
        <v>85</v>
      </c>
      <c r="J96" s="88">
        <v>55</v>
      </c>
      <c r="K96" s="89">
        <f t="shared" si="99"/>
        <v>265</v>
      </c>
      <c r="L96" s="88">
        <v>60</v>
      </c>
      <c r="M96" s="88">
        <v>60</v>
      </c>
      <c r="N96" s="88">
        <v>45</v>
      </c>
      <c r="O96" s="88">
        <v>35</v>
      </c>
      <c r="P96" s="88">
        <v>50</v>
      </c>
      <c r="Q96" s="89">
        <f t="shared" si="100"/>
        <v>250</v>
      </c>
      <c r="R96" s="88"/>
      <c r="S96" s="88"/>
      <c r="T96" s="88"/>
      <c r="U96" s="88"/>
      <c r="V96" s="89">
        <f t="shared" si="101"/>
        <v>0</v>
      </c>
      <c r="W96" s="88">
        <v>60</v>
      </c>
      <c r="X96" s="88">
        <v>140</v>
      </c>
      <c r="Y96" s="88"/>
      <c r="Z96" s="88"/>
      <c r="AA96" s="89">
        <f t="shared" si="102"/>
        <v>200</v>
      </c>
      <c r="AB96" s="88"/>
      <c r="AC96" s="88"/>
      <c r="AD96" s="88"/>
      <c r="AE96" s="88"/>
      <c r="AF96" s="88"/>
      <c r="AG96" s="89">
        <f t="shared" si="103"/>
        <v>0</v>
      </c>
      <c r="AH96" s="88"/>
      <c r="AI96" s="88"/>
      <c r="AJ96" s="88"/>
      <c r="AK96" s="88"/>
      <c r="AL96" s="89">
        <f t="shared" si="104"/>
        <v>0</v>
      </c>
      <c r="AM96" s="88"/>
      <c r="AN96" s="88"/>
      <c r="AO96" s="88"/>
      <c r="AP96" s="88"/>
      <c r="AQ96" s="88"/>
      <c r="AR96" s="89">
        <f t="shared" si="105"/>
        <v>0</v>
      </c>
      <c r="AS96" s="88"/>
      <c r="AT96" s="88"/>
      <c r="AU96" s="88"/>
      <c r="AV96" s="88"/>
      <c r="AW96" s="89">
        <f t="shared" si="106"/>
        <v>0</v>
      </c>
      <c r="AX96" s="88"/>
      <c r="AY96" s="88"/>
      <c r="AZ96" s="88"/>
      <c r="BA96" s="88"/>
      <c r="BB96" s="89">
        <f t="shared" si="107"/>
        <v>0</v>
      </c>
      <c r="BC96" s="88"/>
      <c r="BD96" s="88"/>
      <c r="BE96" s="88"/>
      <c r="BF96" s="88"/>
      <c r="BG96" s="88"/>
      <c r="BH96" s="89">
        <f t="shared" si="108"/>
        <v>0</v>
      </c>
      <c r="BI96" s="88"/>
      <c r="BJ96" s="88"/>
      <c r="BK96" s="88"/>
      <c r="BL96" s="88"/>
      <c r="BM96" s="89">
        <f t="shared" si="109"/>
        <v>0</v>
      </c>
    </row>
    <row r="97" spans="1:65" ht="15.75" customHeight="1" x14ac:dyDescent="0.25">
      <c r="A97" s="90" t="s">
        <v>137</v>
      </c>
      <c r="B97" s="88">
        <v>20</v>
      </c>
      <c r="C97" s="88">
        <v>27</v>
      </c>
      <c r="D97" s="88">
        <v>40</v>
      </c>
      <c r="E97" s="88">
        <v>20</v>
      </c>
      <c r="F97" s="89">
        <f t="shared" si="98"/>
        <v>107</v>
      </c>
      <c r="G97" s="88">
        <v>35</v>
      </c>
      <c r="H97" s="88">
        <v>30</v>
      </c>
      <c r="I97" s="88">
        <v>35</v>
      </c>
      <c r="J97" s="88">
        <v>80</v>
      </c>
      <c r="K97" s="89">
        <f t="shared" si="99"/>
        <v>180</v>
      </c>
      <c r="L97" s="88">
        <v>0</v>
      </c>
      <c r="M97" s="88">
        <v>30</v>
      </c>
      <c r="N97" s="88">
        <v>30</v>
      </c>
      <c r="O97" s="88">
        <v>40</v>
      </c>
      <c r="P97" s="88">
        <v>25</v>
      </c>
      <c r="Q97" s="89">
        <f t="shared" si="100"/>
        <v>125</v>
      </c>
      <c r="R97" s="88"/>
      <c r="S97" s="88"/>
      <c r="T97" s="88"/>
      <c r="U97" s="88"/>
      <c r="V97" s="89">
        <f t="shared" si="101"/>
        <v>0</v>
      </c>
      <c r="W97" s="88">
        <v>75</v>
      </c>
      <c r="X97" s="88">
        <v>0</v>
      </c>
      <c r="Y97" s="88"/>
      <c r="Z97" s="88"/>
      <c r="AA97" s="89">
        <f t="shared" si="102"/>
        <v>75</v>
      </c>
      <c r="AB97" s="88"/>
      <c r="AC97" s="88"/>
      <c r="AD97" s="88"/>
      <c r="AE97" s="88"/>
      <c r="AF97" s="88"/>
      <c r="AG97" s="89">
        <f t="shared" si="103"/>
        <v>0</v>
      </c>
      <c r="AH97" s="88"/>
      <c r="AI97" s="88"/>
      <c r="AJ97" s="88"/>
      <c r="AK97" s="88"/>
      <c r="AL97" s="89">
        <f t="shared" si="104"/>
        <v>0</v>
      </c>
      <c r="AM97" s="88"/>
      <c r="AN97" s="88"/>
      <c r="AO97" s="88"/>
      <c r="AP97" s="88"/>
      <c r="AQ97" s="88"/>
      <c r="AR97" s="89">
        <f t="shared" si="105"/>
        <v>0</v>
      </c>
      <c r="AS97" s="88"/>
      <c r="AT97" s="88"/>
      <c r="AU97" s="88"/>
      <c r="AV97" s="88"/>
      <c r="AW97" s="89">
        <f t="shared" si="106"/>
        <v>0</v>
      </c>
      <c r="AX97" s="88"/>
      <c r="AY97" s="88"/>
      <c r="AZ97" s="88"/>
      <c r="BA97" s="88"/>
      <c r="BB97" s="89">
        <f t="shared" si="107"/>
        <v>0</v>
      </c>
      <c r="BC97" s="88"/>
      <c r="BD97" s="88"/>
      <c r="BE97" s="88"/>
      <c r="BF97" s="88"/>
      <c r="BG97" s="88"/>
      <c r="BH97" s="89">
        <f t="shared" si="108"/>
        <v>0</v>
      </c>
      <c r="BI97" s="88"/>
      <c r="BJ97" s="88"/>
      <c r="BK97" s="88"/>
      <c r="BL97" s="88"/>
      <c r="BM97" s="89">
        <f t="shared" si="109"/>
        <v>0</v>
      </c>
    </row>
    <row r="98" spans="1:65" ht="15.75" customHeight="1" x14ac:dyDescent="0.25">
      <c r="A98" s="91" t="s">
        <v>550</v>
      </c>
      <c r="B98" s="88">
        <v>0</v>
      </c>
      <c r="C98" s="88">
        <v>0</v>
      </c>
      <c r="D98" s="88">
        <v>0</v>
      </c>
      <c r="E98" s="88">
        <v>0</v>
      </c>
      <c r="F98" s="89">
        <f t="shared" si="98"/>
        <v>0</v>
      </c>
      <c r="G98" s="88">
        <v>0</v>
      </c>
      <c r="H98" s="88">
        <v>0</v>
      </c>
      <c r="I98" s="88">
        <v>0</v>
      </c>
      <c r="J98" s="88">
        <v>0</v>
      </c>
      <c r="K98" s="89">
        <f t="shared" si="99"/>
        <v>0</v>
      </c>
      <c r="L98" s="88">
        <v>0</v>
      </c>
      <c r="M98" s="88">
        <v>0</v>
      </c>
      <c r="N98" s="88">
        <v>0</v>
      </c>
      <c r="O98" s="88">
        <v>0</v>
      </c>
      <c r="P98" s="88">
        <v>0</v>
      </c>
      <c r="Q98" s="89">
        <f t="shared" si="100"/>
        <v>0</v>
      </c>
      <c r="R98" s="88"/>
      <c r="S98" s="88"/>
      <c r="T98" s="88"/>
      <c r="U98" s="88"/>
      <c r="V98" s="89">
        <f t="shared" si="101"/>
        <v>0</v>
      </c>
      <c r="W98" s="88">
        <v>0</v>
      </c>
      <c r="X98" s="88">
        <v>0</v>
      </c>
      <c r="Y98" s="88"/>
      <c r="Z98" s="88"/>
      <c r="AA98" s="89">
        <f t="shared" si="102"/>
        <v>0</v>
      </c>
      <c r="AB98" s="88"/>
      <c r="AC98" s="88"/>
      <c r="AD98" s="88"/>
      <c r="AE98" s="88"/>
      <c r="AF98" s="88"/>
      <c r="AG98" s="89">
        <f t="shared" si="103"/>
        <v>0</v>
      </c>
      <c r="AH98" s="88"/>
      <c r="AI98" s="88"/>
      <c r="AJ98" s="88"/>
      <c r="AK98" s="88"/>
      <c r="AL98" s="89">
        <f t="shared" si="104"/>
        <v>0</v>
      </c>
      <c r="AM98" s="88"/>
      <c r="AN98" s="88"/>
      <c r="AO98" s="88"/>
      <c r="AP98" s="88"/>
      <c r="AQ98" s="88"/>
      <c r="AR98" s="89">
        <f t="shared" si="105"/>
        <v>0</v>
      </c>
      <c r="AS98" s="88"/>
      <c r="AT98" s="88"/>
      <c r="AU98" s="88"/>
      <c r="AV98" s="88"/>
      <c r="AW98" s="89">
        <f t="shared" si="106"/>
        <v>0</v>
      </c>
      <c r="AX98" s="88"/>
      <c r="AY98" s="88"/>
      <c r="AZ98" s="88"/>
      <c r="BA98" s="88"/>
      <c r="BB98" s="89">
        <f t="shared" si="107"/>
        <v>0</v>
      </c>
      <c r="BC98" s="88"/>
      <c r="BD98" s="88"/>
      <c r="BE98" s="88"/>
      <c r="BF98" s="88"/>
      <c r="BG98" s="88"/>
      <c r="BH98" s="89">
        <f t="shared" si="108"/>
        <v>0</v>
      </c>
      <c r="BI98" s="88"/>
      <c r="BJ98" s="88"/>
      <c r="BK98" s="88"/>
      <c r="BL98" s="88"/>
      <c r="BM98" s="89">
        <f t="shared" si="109"/>
        <v>0</v>
      </c>
    </row>
    <row r="99" spans="1:65" ht="15.75" customHeight="1" x14ac:dyDescent="0.25">
      <c r="A99" s="92" t="s">
        <v>224</v>
      </c>
      <c r="B99" s="88">
        <v>0</v>
      </c>
      <c r="C99" s="88">
        <v>1</v>
      </c>
      <c r="D99" s="88">
        <v>0</v>
      </c>
      <c r="E99" s="88">
        <v>0</v>
      </c>
      <c r="F99" s="89">
        <f t="shared" si="98"/>
        <v>1</v>
      </c>
      <c r="G99" s="88">
        <v>0</v>
      </c>
      <c r="H99" s="88">
        <v>0</v>
      </c>
      <c r="I99" s="88">
        <v>0</v>
      </c>
      <c r="J99" s="88">
        <v>0</v>
      </c>
      <c r="K99" s="89">
        <f t="shared" si="99"/>
        <v>0</v>
      </c>
      <c r="L99" s="88">
        <v>0</v>
      </c>
      <c r="M99" s="88">
        <v>0</v>
      </c>
      <c r="N99" s="88">
        <v>1</v>
      </c>
      <c r="O99" s="88">
        <v>0</v>
      </c>
      <c r="P99" s="88">
        <v>1</v>
      </c>
      <c r="Q99" s="89">
        <f t="shared" si="100"/>
        <v>2</v>
      </c>
      <c r="R99" s="88"/>
      <c r="S99" s="88"/>
      <c r="T99" s="88"/>
      <c r="U99" s="88"/>
      <c r="V99" s="89">
        <f t="shared" si="101"/>
        <v>0</v>
      </c>
      <c r="W99" s="88">
        <v>0</v>
      </c>
      <c r="X99" s="88">
        <v>1</v>
      </c>
      <c r="Y99" s="88"/>
      <c r="Z99" s="88"/>
      <c r="AA99" s="89">
        <f t="shared" si="102"/>
        <v>1</v>
      </c>
      <c r="AB99" s="88"/>
      <c r="AC99" s="88"/>
      <c r="AD99" s="88"/>
      <c r="AE99" s="88"/>
      <c r="AF99" s="88"/>
      <c r="AG99" s="89">
        <f t="shared" si="103"/>
        <v>0</v>
      </c>
      <c r="AH99" s="88"/>
      <c r="AI99" s="88"/>
      <c r="AJ99" s="88"/>
      <c r="AK99" s="88"/>
      <c r="AL99" s="89">
        <f t="shared" si="104"/>
        <v>0</v>
      </c>
      <c r="AM99" s="88"/>
      <c r="AN99" s="88"/>
      <c r="AO99" s="88"/>
      <c r="AP99" s="88"/>
      <c r="AQ99" s="88"/>
      <c r="AR99" s="89">
        <f t="shared" si="105"/>
        <v>0</v>
      </c>
      <c r="AS99" s="88"/>
      <c r="AT99" s="88"/>
      <c r="AU99" s="88"/>
      <c r="AV99" s="88"/>
      <c r="AW99" s="89">
        <f t="shared" si="106"/>
        <v>0</v>
      </c>
      <c r="AX99" s="88"/>
      <c r="AY99" s="88"/>
      <c r="AZ99" s="88"/>
      <c r="BA99" s="88"/>
      <c r="BB99" s="89">
        <f t="shared" si="107"/>
        <v>0</v>
      </c>
      <c r="BC99" s="88"/>
      <c r="BD99" s="88"/>
      <c r="BE99" s="88"/>
      <c r="BF99" s="88"/>
      <c r="BG99" s="88"/>
      <c r="BH99" s="89">
        <f t="shared" si="108"/>
        <v>0</v>
      </c>
      <c r="BI99" s="88"/>
      <c r="BJ99" s="88"/>
      <c r="BK99" s="88"/>
      <c r="BL99" s="88"/>
      <c r="BM99" s="89">
        <f t="shared" si="109"/>
        <v>0</v>
      </c>
    </row>
    <row r="100" spans="1:65" ht="15.75" customHeight="1" x14ac:dyDescent="0.25">
      <c r="A100" s="92" t="s">
        <v>225</v>
      </c>
      <c r="B100" s="88">
        <v>0</v>
      </c>
      <c r="C100" s="88">
        <v>1</v>
      </c>
      <c r="D100" s="88">
        <v>0</v>
      </c>
      <c r="E100" s="88">
        <v>0</v>
      </c>
      <c r="F100" s="89">
        <f t="shared" si="98"/>
        <v>1</v>
      </c>
      <c r="G100" s="88">
        <v>0</v>
      </c>
      <c r="H100" s="88">
        <v>0</v>
      </c>
      <c r="I100" s="88">
        <v>0</v>
      </c>
      <c r="J100" s="88">
        <v>0</v>
      </c>
      <c r="K100" s="89">
        <f t="shared" si="99"/>
        <v>0</v>
      </c>
      <c r="L100" s="88">
        <v>0</v>
      </c>
      <c r="M100" s="88">
        <v>0</v>
      </c>
      <c r="N100" s="88">
        <v>0</v>
      </c>
      <c r="O100" s="88">
        <v>0</v>
      </c>
      <c r="P100" s="88">
        <v>0</v>
      </c>
      <c r="Q100" s="89">
        <f t="shared" si="100"/>
        <v>0</v>
      </c>
      <c r="R100" s="88"/>
      <c r="S100" s="88"/>
      <c r="T100" s="88"/>
      <c r="U100" s="88"/>
      <c r="V100" s="89">
        <f t="shared" si="101"/>
        <v>0</v>
      </c>
      <c r="W100" s="88">
        <v>0</v>
      </c>
      <c r="X100" s="88">
        <v>0</v>
      </c>
      <c r="Y100" s="88"/>
      <c r="Z100" s="88"/>
      <c r="AA100" s="89">
        <f t="shared" si="102"/>
        <v>0</v>
      </c>
      <c r="AB100" s="88"/>
      <c r="AC100" s="88"/>
      <c r="AD100" s="88"/>
      <c r="AE100" s="88"/>
      <c r="AF100" s="88"/>
      <c r="AG100" s="89">
        <f t="shared" si="103"/>
        <v>0</v>
      </c>
      <c r="AH100" s="88"/>
      <c r="AI100" s="88"/>
      <c r="AJ100" s="88"/>
      <c r="AK100" s="88"/>
      <c r="AL100" s="89">
        <f t="shared" si="104"/>
        <v>0</v>
      </c>
      <c r="AM100" s="88"/>
      <c r="AN100" s="88"/>
      <c r="AO100" s="88"/>
      <c r="AP100" s="88"/>
      <c r="AQ100" s="88"/>
      <c r="AR100" s="89">
        <f t="shared" si="105"/>
        <v>0</v>
      </c>
      <c r="AS100" s="88"/>
      <c r="AT100" s="88"/>
      <c r="AU100" s="88"/>
      <c r="AV100" s="88"/>
      <c r="AW100" s="89">
        <f t="shared" si="106"/>
        <v>0</v>
      </c>
      <c r="AX100" s="88"/>
      <c r="AY100" s="88"/>
      <c r="AZ100" s="88"/>
      <c r="BA100" s="88"/>
      <c r="BB100" s="89">
        <f t="shared" si="107"/>
        <v>0</v>
      </c>
      <c r="BC100" s="88"/>
      <c r="BD100" s="88"/>
      <c r="BE100" s="88"/>
      <c r="BF100" s="88"/>
      <c r="BG100" s="88"/>
      <c r="BH100" s="89">
        <f t="shared" si="108"/>
        <v>0</v>
      </c>
      <c r="BI100" s="88"/>
      <c r="BJ100" s="88"/>
      <c r="BK100" s="88"/>
      <c r="BL100" s="88"/>
      <c r="BM100" s="89">
        <f t="shared" si="109"/>
        <v>0</v>
      </c>
    </row>
    <row r="101" spans="1:65" ht="15.75" customHeight="1" x14ac:dyDescent="0.25">
      <c r="A101" s="92" t="s">
        <v>147</v>
      </c>
      <c r="B101" s="88">
        <v>0</v>
      </c>
      <c r="C101" s="88">
        <v>0</v>
      </c>
      <c r="D101" s="88">
        <v>0</v>
      </c>
      <c r="E101" s="88">
        <v>0</v>
      </c>
      <c r="F101" s="89">
        <f t="shared" si="98"/>
        <v>0</v>
      </c>
      <c r="G101" s="88">
        <v>1</v>
      </c>
      <c r="H101" s="88">
        <v>0</v>
      </c>
      <c r="I101" s="88">
        <v>0</v>
      </c>
      <c r="J101" s="88">
        <v>0</v>
      </c>
      <c r="K101" s="89">
        <f t="shared" si="99"/>
        <v>1</v>
      </c>
      <c r="L101" s="88">
        <v>0</v>
      </c>
      <c r="M101" s="88">
        <v>0</v>
      </c>
      <c r="N101" s="88">
        <v>0</v>
      </c>
      <c r="O101" s="88">
        <v>0</v>
      </c>
      <c r="P101" s="88">
        <v>0</v>
      </c>
      <c r="Q101" s="89">
        <f t="shared" si="100"/>
        <v>0</v>
      </c>
      <c r="R101" s="88"/>
      <c r="S101" s="88"/>
      <c r="T101" s="88"/>
      <c r="U101" s="88"/>
      <c r="V101" s="89">
        <f t="shared" si="101"/>
        <v>0</v>
      </c>
      <c r="W101" s="88">
        <v>0</v>
      </c>
      <c r="X101" s="88">
        <v>0</v>
      </c>
      <c r="Y101" s="88"/>
      <c r="Z101" s="88"/>
      <c r="AA101" s="89">
        <f t="shared" si="102"/>
        <v>0</v>
      </c>
      <c r="AB101" s="88"/>
      <c r="AC101" s="88"/>
      <c r="AD101" s="88"/>
      <c r="AE101" s="88"/>
      <c r="AF101" s="88"/>
      <c r="AG101" s="89">
        <f t="shared" si="103"/>
        <v>0</v>
      </c>
      <c r="AH101" s="88"/>
      <c r="AI101" s="88"/>
      <c r="AJ101" s="88"/>
      <c r="AK101" s="88"/>
      <c r="AL101" s="89">
        <f t="shared" si="104"/>
        <v>0</v>
      </c>
      <c r="AM101" s="88"/>
      <c r="AN101" s="88"/>
      <c r="AO101" s="88"/>
      <c r="AP101" s="88"/>
      <c r="AQ101" s="88"/>
      <c r="AR101" s="89">
        <f t="shared" si="105"/>
        <v>0</v>
      </c>
      <c r="AS101" s="88"/>
      <c r="AT101" s="88"/>
      <c r="AU101" s="88"/>
      <c r="AV101" s="88"/>
      <c r="AW101" s="89">
        <f t="shared" si="106"/>
        <v>0</v>
      </c>
      <c r="AX101" s="88"/>
      <c r="AY101" s="88"/>
      <c r="AZ101" s="88"/>
      <c r="BA101" s="88"/>
      <c r="BB101" s="89">
        <f t="shared" si="107"/>
        <v>0</v>
      </c>
      <c r="BC101" s="88"/>
      <c r="BD101" s="88"/>
      <c r="BE101" s="88"/>
      <c r="BF101" s="88"/>
      <c r="BG101" s="88"/>
      <c r="BH101" s="89">
        <f t="shared" si="108"/>
        <v>0</v>
      </c>
      <c r="BI101" s="88"/>
      <c r="BJ101" s="88"/>
      <c r="BK101" s="88"/>
      <c r="BL101" s="88"/>
      <c r="BM101" s="89">
        <f t="shared" si="109"/>
        <v>0</v>
      </c>
    </row>
    <row r="102" spans="1:65" ht="15.75" customHeight="1" x14ac:dyDescent="0.25">
      <c r="A102" s="92" t="s">
        <v>148</v>
      </c>
      <c r="B102" s="88">
        <v>0</v>
      </c>
      <c r="C102" s="88">
        <v>0</v>
      </c>
      <c r="D102" s="88">
        <v>0</v>
      </c>
      <c r="E102" s="88">
        <v>0</v>
      </c>
      <c r="F102" s="89">
        <f t="shared" si="98"/>
        <v>0</v>
      </c>
      <c r="G102" s="88">
        <v>0</v>
      </c>
      <c r="H102" s="88">
        <v>0</v>
      </c>
      <c r="I102" s="88">
        <v>1</v>
      </c>
      <c r="J102" s="88">
        <v>0</v>
      </c>
      <c r="K102" s="89">
        <f t="shared" si="99"/>
        <v>1</v>
      </c>
      <c r="L102" s="88">
        <v>0</v>
      </c>
      <c r="M102" s="88">
        <v>0</v>
      </c>
      <c r="N102" s="88">
        <v>0</v>
      </c>
      <c r="O102" s="88">
        <v>0</v>
      </c>
      <c r="P102" s="88">
        <v>0</v>
      </c>
      <c r="Q102" s="89">
        <f t="shared" si="100"/>
        <v>0</v>
      </c>
      <c r="R102" s="88"/>
      <c r="S102" s="88"/>
      <c r="T102" s="88"/>
      <c r="U102" s="88"/>
      <c r="V102" s="89">
        <f t="shared" si="101"/>
        <v>0</v>
      </c>
      <c r="W102" s="88">
        <v>0</v>
      </c>
      <c r="X102" s="88">
        <v>1</v>
      </c>
      <c r="Y102" s="88"/>
      <c r="Z102" s="88"/>
      <c r="AA102" s="89">
        <f t="shared" si="102"/>
        <v>1</v>
      </c>
      <c r="AB102" s="88"/>
      <c r="AC102" s="88"/>
      <c r="AD102" s="88"/>
      <c r="AE102" s="88"/>
      <c r="AF102" s="88"/>
      <c r="AG102" s="89">
        <f t="shared" si="103"/>
        <v>0</v>
      </c>
      <c r="AH102" s="88"/>
      <c r="AI102" s="88"/>
      <c r="AJ102" s="88"/>
      <c r="AK102" s="88"/>
      <c r="AL102" s="89">
        <f t="shared" si="104"/>
        <v>0</v>
      </c>
      <c r="AM102" s="88"/>
      <c r="AN102" s="88"/>
      <c r="AO102" s="88"/>
      <c r="AP102" s="88"/>
      <c r="AQ102" s="88"/>
      <c r="AR102" s="89">
        <f t="shared" si="105"/>
        <v>0</v>
      </c>
      <c r="AS102" s="88"/>
      <c r="AT102" s="88"/>
      <c r="AU102" s="88"/>
      <c r="AV102" s="88"/>
      <c r="AW102" s="89">
        <f t="shared" si="106"/>
        <v>0</v>
      </c>
      <c r="AX102" s="88"/>
      <c r="AY102" s="88"/>
      <c r="AZ102" s="88"/>
      <c r="BA102" s="88"/>
      <c r="BB102" s="89">
        <f t="shared" si="107"/>
        <v>0</v>
      </c>
      <c r="BC102" s="88"/>
      <c r="BD102" s="88"/>
      <c r="BE102" s="88"/>
      <c r="BF102" s="88"/>
      <c r="BG102" s="88"/>
      <c r="BH102" s="89">
        <f t="shared" si="108"/>
        <v>0</v>
      </c>
      <c r="BI102" s="88"/>
      <c r="BJ102" s="88"/>
      <c r="BK102" s="88"/>
      <c r="BL102" s="88"/>
      <c r="BM102" s="89">
        <f t="shared" si="109"/>
        <v>0</v>
      </c>
    </row>
    <row r="103" spans="1:65" ht="15.75" customHeight="1" x14ac:dyDescent="0.25">
      <c r="A103" s="93" t="s">
        <v>401</v>
      </c>
      <c r="B103" s="94">
        <f t="shared" ref="B103:AG103" si="110">SUM(B95:B98)</f>
        <v>92</v>
      </c>
      <c r="C103" s="94">
        <f t="shared" si="110"/>
        <v>97</v>
      </c>
      <c r="D103" s="94">
        <f t="shared" si="110"/>
        <v>60</v>
      </c>
      <c r="E103" s="94">
        <f t="shared" si="110"/>
        <v>85</v>
      </c>
      <c r="F103" s="94">
        <f t="shared" si="110"/>
        <v>334</v>
      </c>
      <c r="G103" s="94">
        <f t="shared" si="110"/>
        <v>100</v>
      </c>
      <c r="H103" s="94">
        <f t="shared" si="110"/>
        <v>90</v>
      </c>
      <c r="I103" s="94">
        <f t="shared" si="110"/>
        <v>120</v>
      </c>
      <c r="J103" s="94">
        <f t="shared" si="110"/>
        <v>205</v>
      </c>
      <c r="K103" s="94">
        <f t="shared" si="110"/>
        <v>515</v>
      </c>
      <c r="L103" s="94">
        <f t="shared" si="110"/>
        <v>60</v>
      </c>
      <c r="M103" s="94">
        <f t="shared" si="110"/>
        <v>120</v>
      </c>
      <c r="N103" s="94">
        <f t="shared" si="110"/>
        <v>75</v>
      </c>
      <c r="O103" s="94">
        <f t="shared" si="110"/>
        <v>145</v>
      </c>
      <c r="P103" s="94">
        <f t="shared" si="110"/>
        <v>75</v>
      </c>
      <c r="Q103" s="94">
        <f t="shared" si="110"/>
        <v>475</v>
      </c>
      <c r="R103" s="94">
        <f t="shared" si="110"/>
        <v>0</v>
      </c>
      <c r="S103" s="94">
        <f t="shared" si="110"/>
        <v>0</v>
      </c>
      <c r="T103" s="94">
        <f t="shared" si="110"/>
        <v>0</v>
      </c>
      <c r="U103" s="94">
        <f t="shared" si="110"/>
        <v>0</v>
      </c>
      <c r="V103" s="94">
        <f t="shared" si="110"/>
        <v>0</v>
      </c>
      <c r="W103" s="94">
        <f t="shared" si="110"/>
        <v>185</v>
      </c>
      <c r="X103" s="94">
        <f t="shared" si="110"/>
        <v>166</v>
      </c>
      <c r="Y103" s="94">
        <f t="shared" si="110"/>
        <v>0</v>
      </c>
      <c r="Z103" s="94">
        <f t="shared" si="110"/>
        <v>0</v>
      </c>
      <c r="AA103" s="94">
        <f t="shared" si="110"/>
        <v>351</v>
      </c>
      <c r="AB103" s="94">
        <f t="shared" si="110"/>
        <v>0</v>
      </c>
      <c r="AC103" s="94">
        <f t="shared" si="110"/>
        <v>0</v>
      </c>
      <c r="AD103" s="94">
        <f t="shared" si="110"/>
        <v>0</v>
      </c>
      <c r="AE103" s="94">
        <f t="shared" si="110"/>
        <v>0</v>
      </c>
      <c r="AF103" s="94">
        <f t="shared" si="110"/>
        <v>0</v>
      </c>
      <c r="AG103" s="94">
        <f t="shared" si="110"/>
        <v>0</v>
      </c>
      <c r="AH103" s="94">
        <f t="shared" ref="AH103:BM103" si="111">SUM(AH95:AH98)</f>
        <v>0</v>
      </c>
      <c r="AI103" s="94">
        <f t="shared" si="111"/>
        <v>0</v>
      </c>
      <c r="AJ103" s="94">
        <f t="shared" si="111"/>
        <v>0</v>
      </c>
      <c r="AK103" s="94">
        <f t="shared" si="111"/>
        <v>0</v>
      </c>
      <c r="AL103" s="94">
        <f t="shared" si="111"/>
        <v>0</v>
      </c>
      <c r="AM103" s="94">
        <f t="shared" si="111"/>
        <v>0</v>
      </c>
      <c r="AN103" s="94">
        <f t="shared" si="111"/>
        <v>0</v>
      </c>
      <c r="AO103" s="94">
        <f t="shared" si="111"/>
        <v>0</v>
      </c>
      <c r="AP103" s="94">
        <f t="shared" si="111"/>
        <v>0</v>
      </c>
      <c r="AQ103" s="94">
        <f t="shared" si="111"/>
        <v>0</v>
      </c>
      <c r="AR103" s="94">
        <f t="shared" si="111"/>
        <v>0</v>
      </c>
      <c r="AS103" s="94">
        <f t="shared" si="111"/>
        <v>0</v>
      </c>
      <c r="AT103" s="94">
        <f t="shared" si="111"/>
        <v>0</v>
      </c>
      <c r="AU103" s="94">
        <f t="shared" si="111"/>
        <v>0</v>
      </c>
      <c r="AV103" s="94">
        <f t="shared" si="111"/>
        <v>0</v>
      </c>
      <c r="AW103" s="94">
        <f t="shared" si="111"/>
        <v>0</v>
      </c>
      <c r="AX103" s="94">
        <f t="shared" si="111"/>
        <v>0</v>
      </c>
      <c r="AY103" s="94">
        <f t="shared" si="111"/>
        <v>0</v>
      </c>
      <c r="AZ103" s="94">
        <f t="shared" si="111"/>
        <v>0</v>
      </c>
      <c r="BA103" s="94">
        <f t="shared" si="111"/>
        <v>0</v>
      </c>
      <c r="BB103" s="94">
        <f t="shared" si="111"/>
        <v>0</v>
      </c>
      <c r="BC103" s="94">
        <f t="shared" si="111"/>
        <v>0</v>
      </c>
      <c r="BD103" s="94">
        <f t="shared" si="111"/>
        <v>0</v>
      </c>
      <c r="BE103" s="94">
        <f t="shared" si="111"/>
        <v>0</v>
      </c>
      <c r="BF103" s="94">
        <f t="shared" si="111"/>
        <v>0</v>
      </c>
      <c r="BG103" s="94">
        <f t="shared" si="111"/>
        <v>0</v>
      </c>
      <c r="BH103" s="94">
        <f t="shared" si="111"/>
        <v>0</v>
      </c>
      <c r="BI103" s="94">
        <f t="shared" si="111"/>
        <v>0</v>
      </c>
      <c r="BJ103" s="94">
        <f t="shared" si="111"/>
        <v>0</v>
      </c>
      <c r="BK103" s="94">
        <f t="shared" si="111"/>
        <v>0</v>
      </c>
      <c r="BL103" s="94">
        <f t="shared" si="111"/>
        <v>0</v>
      </c>
      <c r="BM103" s="94">
        <f t="shared" si="111"/>
        <v>0</v>
      </c>
    </row>
    <row r="105" spans="1:65" ht="18" customHeight="1" x14ac:dyDescent="0.25">
      <c r="A105" s="505" t="s">
        <v>542</v>
      </c>
      <c r="B105" s="506"/>
      <c r="C105" s="506"/>
      <c r="D105" s="506"/>
      <c r="E105" s="506"/>
      <c r="F105" s="506"/>
      <c r="G105" s="506"/>
      <c r="H105" s="506"/>
      <c r="I105" s="506"/>
      <c r="J105" s="506"/>
      <c r="K105" s="506"/>
      <c r="L105" s="506"/>
      <c r="M105" s="506"/>
      <c r="N105" s="506"/>
      <c r="O105" s="506"/>
      <c r="P105" s="506"/>
      <c r="Q105" s="506"/>
      <c r="R105" s="506"/>
      <c r="S105" s="506"/>
      <c r="T105" s="506"/>
      <c r="U105" s="506"/>
      <c r="V105" s="506"/>
      <c r="W105" s="506"/>
      <c r="X105" s="506"/>
      <c r="Y105" s="506"/>
      <c r="Z105" s="506"/>
      <c r="AA105" s="506"/>
      <c r="AB105" s="506"/>
      <c r="AC105" s="506"/>
      <c r="AD105" s="506"/>
      <c r="AE105" s="506"/>
      <c r="AF105" s="506"/>
      <c r="AG105" s="506"/>
      <c r="AH105" s="506"/>
      <c r="AI105" s="506"/>
      <c r="AJ105" s="506"/>
      <c r="AK105" s="506"/>
      <c r="AL105" s="506"/>
      <c r="AM105" s="506"/>
      <c r="AN105" s="506"/>
      <c r="AO105" s="506"/>
      <c r="AP105" s="506"/>
      <c r="AQ105" s="506"/>
      <c r="AR105" s="506"/>
      <c r="AS105" s="506"/>
      <c r="AT105" s="506"/>
      <c r="AU105" s="506"/>
      <c r="AV105" s="506"/>
      <c r="AW105" s="506"/>
      <c r="AX105" s="506"/>
      <c r="AY105" s="506"/>
      <c r="AZ105" s="506"/>
      <c r="BA105" s="506"/>
      <c r="BB105" s="506"/>
      <c r="BC105" s="506"/>
      <c r="BD105" s="506"/>
      <c r="BE105" s="506"/>
      <c r="BF105" s="506"/>
      <c r="BG105" s="506"/>
      <c r="BH105" s="506"/>
      <c r="BI105" s="506"/>
      <c r="BJ105" s="506"/>
      <c r="BK105" s="506"/>
      <c r="BL105" s="506"/>
      <c r="BM105" s="506"/>
    </row>
    <row r="106" spans="1:65" ht="18" customHeight="1" x14ac:dyDescent="0.25">
      <c r="A106" s="503" t="s">
        <v>338</v>
      </c>
      <c r="B106" s="503" t="s">
        <v>389</v>
      </c>
      <c r="C106" s="485"/>
      <c r="D106" s="485"/>
      <c r="E106" s="485"/>
      <c r="F106" s="486"/>
      <c r="G106" s="503" t="s">
        <v>390</v>
      </c>
      <c r="H106" s="485"/>
      <c r="I106" s="485"/>
      <c r="J106" s="485"/>
      <c r="K106" s="486"/>
      <c r="L106" s="503" t="s">
        <v>391</v>
      </c>
      <c r="M106" s="485"/>
      <c r="N106" s="485"/>
      <c r="O106" s="485"/>
      <c r="P106" s="485"/>
      <c r="Q106" s="486"/>
      <c r="R106" s="503" t="s">
        <v>413</v>
      </c>
      <c r="S106" s="485"/>
      <c r="T106" s="485"/>
      <c r="U106" s="485"/>
      <c r="V106" s="486"/>
      <c r="W106" s="503" t="s">
        <v>414</v>
      </c>
      <c r="X106" s="485"/>
      <c r="Y106" s="485"/>
      <c r="Z106" s="485"/>
      <c r="AA106" s="486"/>
      <c r="AB106" s="503" t="s">
        <v>543</v>
      </c>
      <c r="AC106" s="485"/>
      <c r="AD106" s="485"/>
      <c r="AE106" s="485"/>
      <c r="AF106" s="485"/>
      <c r="AG106" s="486"/>
      <c r="AH106" s="503" t="s">
        <v>544</v>
      </c>
      <c r="AI106" s="485"/>
      <c r="AJ106" s="485"/>
      <c r="AK106" s="485"/>
      <c r="AL106" s="486"/>
      <c r="AM106" s="503" t="s">
        <v>545</v>
      </c>
      <c r="AN106" s="485"/>
      <c r="AO106" s="485"/>
      <c r="AP106" s="485"/>
      <c r="AQ106" s="485"/>
      <c r="AR106" s="486"/>
      <c r="AS106" s="503" t="s">
        <v>546</v>
      </c>
      <c r="AT106" s="485"/>
      <c r="AU106" s="485"/>
      <c r="AV106" s="485"/>
      <c r="AW106" s="486"/>
      <c r="AX106" s="503" t="s">
        <v>547</v>
      </c>
      <c r="AY106" s="485"/>
      <c r="AZ106" s="485"/>
      <c r="BA106" s="485"/>
      <c r="BB106" s="486"/>
      <c r="BC106" s="503" t="s">
        <v>548</v>
      </c>
      <c r="BD106" s="485"/>
      <c r="BE106" s="485"/>
      <c r="BF106" s="485"/>
      <c r="BG106" s="485"/>
      <c r="BH106" s="486"/>
      <c r="BI106" s="503" t="s">
        <v>388</v>
      </c>
      <c r="BJ106" s="485"/>
      <c r="BK106" s="485"/>
      <c r="BL106" s="485"/>
      <c r="BM106" s="486"/>
    </row>
    <row r="107" spans="1:65" ht="15.75" customHeight="1" x14ac:dyDescent="0.25">
      <c r="A107" s="487"/>
      <c r="B107" s="85">
        <v>46027</v>
      </c>
      <c r="C107" s="85">
        <v>46034</v>
      </c>
      <c r="D107" s="85">
        <v>46041</v>
      </c>
      <c r="E107" s="85">
        <v>46048</v>
      </c>
      <c r="F107" s="86" t="s">
        <v>129</v>
      </c>
      <c r="G107" s="85">
        <v>46055</v>
      </c>
      <c r="H107" s="85">
        <v>46062</v>
      </c>
      <c r="I107" s="85">
        <v>46069</v>
      </c>
      <c r="J107" s="85">
        <v>46076</v>
      </c>
      <c r="K107" s="86" t="s">
        <v>129</v>
      </c>
      <c r="L107" s="85">
        <v>46083</v>
      </c>
      <c r="M107" s="85">
        <v>46090</v>
      </c>
      <c r="N107" s="85">
        <v>46097</v>
      </c>
      <c r="O107" s="85">
        <v>46104</v>
      </c>
      <c r="P107" s="85">
        <v>46111</v>
      </c>
      <c r="Q107" s="86" t="s">
        <v>129</v>
      </c>
      <c r="R107" s="85">
        <v>46118</v>
      </c>
      <c r="S107" s="85">
        <v>46125</v>
      </c>
      <c r="T107" s="85">
        <v>46132</v>
      </c>
      <c r="U107" s="85">
        <v>46139</v>
      </c>
      <c r="V107" s="86" t="s">
        <v>129</v>
      </c>
      <c r="W107" s="85">
        <v>46146</v>
      </c>
      <c r="X107" s="85">
        <v>46153</v>
      </c>
      <c r="Y107" s="85">
        <v>46160</v>
      </c>
      <c r="Z107" s="85">
        <v>46167</v>
      </c>
      <c r="AA107" s="86" t="s">
        <v>129</v>
      </c>
      <c r="AB107" s="85">
        <v>46174</v>
      </c>
      <c r="AC107" s="85">
        <v>46181</v>
      </c>
      <c r="AD107" s="85">
        <v>46188</v>
      </c>
      <c r="AE107" s="85">
        <v>46195</v>
      </c>
      <c r="AF107" s="85">
        <v>46202</v>
      </c>
      <c r="AG107" s="86" t="s">
        <v>129</v>
      </c>
      <c r="AH107" s="85">
        <v>46209</v>
      </c>
      <c r="AI107" s="85">
        <v>46216</v>
      </c>
      <c r="AJ107" s="85">
        <v>46223</v>
      </c>
      <c r="AK107" s="85">
        <v>46230</v>
      </c>
      <c r="AL107" s="86" t="s">
        <v>129</v>
      </c>
      <c r="AM107" s="85">
        <v>46237</v>
      </c>
      <c r="AN107" s="85">
        <v>46244</v>
      </c>
      <c r="AO107" s="85">
        <v>46251</v>
      </c>
      <c r="AP107" s="85">
        <v>46258</v>
      </c>
      <c r="AQ107" s="85">
        <v>46265</v>
      </c>
      <c r="AR107" s="86" t="s">
        <v>129</v>
      </c>
      <c r="AS107" s="85">
        <v>46272</v>
      </c>
      <c r="AT107" s="85">
        <v>46279</v>
      </c>
      <c r="AU107" s="85">
        <v>46286</v>
      </c>
      <c r="AV107" s="85">
        <v>46293</v>
      </c>
      <c r="AW107" s="86" t="s">
        <v>129</v>
      </c>
      <c r="AX107" s="85">
        <v>46300</v>
      </c>
      <c r="AY107" s="85">
        <v>46307</v>
      </c>
      <c r="AZ107" s="85">
        <v>46314</v>
      </c>
      <c r="BA107" s="85">
        <v>46321</v>
      </c>
      <c r="BB107" s="86" t="s">
        <v>129</v>
      </c>
      <c r="BC107" s="85">
        <v>46328</v>
      </c>
      <c r="BD107" s="85">
        <v>46335</v>
      </c>
      <c r="BE107" s="85">
        <v>46342</v>
      </c>
      <c r="BF107" s="85">
        <v>46349</v>
      </c>
      <c r="BG107" s="85">
        <v>46356</v>
      </c>
      <c r="BH107" s="86" t="s">
        <v>129</v>
      </c>
      <c r="BI107" s="85">
        <v>46363</v>
      </c>
      <c r="BJ107" s="85">
        <v>46370</v>
      </c>
      <c r="BK107" s="85">
        <v>46377</v>
      </c>
      <c r="BL107" s="85">
        <v>46384</v>
      </c>
      <c r="BM107" s="86" t="s">
        <v>129</v>
      </c>
    </row>
    <row r="108" spans="1:65" ht="15.75" customHeight="1" x14ac:dyDescent="0.25">
      <c r="A108" s="90" t="s">
        <v>132</v>
      </c>
      <c r="B108" s="88">
        <v>0</v>
      </c>
      <c r="C108" s="88">
        <v>120</v>
      </c>
      <c r="D108" s="88">
        <v>0</v>
      </c>
      <c r="E108" s="88">
        <v>0</v>
      </c>
      <c r="F108" s="89">
        <f t="shared" ref="F108:F115" si="112">B108+C108+D108+E108</f>
        <v>120</v>
      </c>
      <c r="G108" s="88">
        <v>0</v>
      </c>
      <c r="H108" s="88">
        <v>0</v>
      </c>
      <c r="I108" s="88">
        <v>0</v>
      </c>
      <c r="J108" s="88">
        <v>120</v>
      </c>
      <c r="K108" s="89">
        <f t="shared" ref="K108:K115" si="113">G108+H108+I108+J108</f>
        <v>120</v>
      </c>
      <c r="L108" s="88">
        <v>40</v>
      </c>
      <c r="M108" s="88">
        <v>40</v>
      </c>
      <c r="N108" s="88">
        <v>0</v>
      </c>
      <c r="O108" s="88">
        <v>0</v>
      </c>
      <c r="P108" s="88">
        <v>0</v>
      </c>
      <c r="Q108" s="89">
        <f t="shared" ref="Q108:Q115" si="114">L108+M108+N108+O108+P108</f>
        <v>80</v>
      </c>
      <c r="R108" s="88"/>
      <c r="S108" s="88"/>
      <c r="T108" s="88"/>
      <c r="U108" s="88"/>
      <c r="V108" s="89">
        <f t="shared" ref="V108:V115" si="115">R108+S108+T108+U108</f>
        <v>0</v>
      </c>
      <c r="W108" s="88">
        <v>0</v>
      </c>
      <c r="X108" s="88">
        <v>60</v>
      </c>
      <c r="Y108" s="88"/>
      <c r="Z108" s="88"/>
      <c r="AA108" s="89">
        <f t="shared" ref="AA108:AA115" si="116">W108+X108+Y108+Z108</f>
        <v>60</v>
      </c>
      <c r="AB108" s="88"/>
      <c r="AC108" s="88"/>
      <c r="AD108" s="88"/>
      <c r="AE108" s="88"/>
      <c r="AF108" s="88"/>
      <c r="AG108" s="89">
        <f t="shared" ref="AG108:AG115" si="117">AB108+AC108+AD108+AE108+AF108</f>
        <v>0</v>
      </c>
      <c r="AH108" s="88"/>
      <c r="AI108" s="88"/>
      <c r="AJ108" s="88"/>
      <c r="AK108" s="88"/>
      <c r="AL108" s="89">
        <f t="shared" ref="AL108:AL115" si="118">AH108+AI108+AJ108+AK108</f>
        <v>0</v>
      </c>
      <c r="AM108" s="88"/>
      <c r="AN108" s="88"/>
      <c r="AO108" s="88"/>
      <c r="AP108" s="88"/>
      <c r="AQ108" s="88"/>
      <c r="AR108" s="89">
        <f t="shared" ref="AR108:AR115" si="119">AM108+AN108+AO108+AP108+AQ108</f>
        <v>0</v>
      </c>
      <c r="AS108" s="88"/>
      <c r="AT108" s="88"/>
      <c r="AU108" s="88"/>
      <c r="AV108" s="88"/>
      <c r="AW108" s="89">
        <f t="shared" ref="AW108:AW115" si="120">AS108+AT108+AU108+AV108</f>
        <v>0</v>
      </c>
      <c r="AX108" s="88"/>
      <c r="AY108" s="88"/>
      <c r="AZ108" s="88"/>
      <c r="BA108" s="88"/>
      <c r="BB108" s="89">
        <f t="shared" ref="BB108:BB115" si="121">AX108+AY108+AZ108+BA108</f>
        <v>0</v>
      </c>
      <c r="BC108" s="88"/>
      <c r="BD108" s="88"/>
      <c r="BE108" s="88"/>
      <c r="BF108" s="88"/>
      <c r="BG108" s="88"/>
      <c r="BH108" s="89">
        <f t="shared" ref="BH108:BH115" si="122">BC108+BD108+BE108+BF108+BG108</f>
        <v>0</v>
      </c>
      <c r="BI108" s="88"/>
      <c r="BJ108" s="88"/>
      <c r="BK108" s="88"/>
      <c r="BL108" s="88"/>
      <c r="BM108" s="89">
        <f t="shared" ref="BM108:BM115" si="123">BI108+BJ108+BK108+BL108</f>
        <v>0</v>
      </c>
    </row>
    <row r="109" spans="1:65" ht="15.75" customHeight="1" x14ac:dyDescent="0.25">
      <c r="A109" s="90" t="s">
        <v>549</v>
      </c>
      <c r="B109" s="88">
        <v>160</v>
      </c>
      <c r="C109" s="88">
        <v>120</v>
      </c>
      <c r="D109" s="88">
        <v>160</v>
      </c>
      <c r="E109" s="88">
        <v>80</v>
      </c>
      <c r="F109" s="89">
        <f t="shared" si="112"/>
        <v>520</v>
      </c>
      <c r="G109" s="88">
        <v>80</v>
      </c>
      <c r="H109" s="88">
        <v>20</v>
      </c>
      <c r="I109" s="88">
        <v>0</v>
      </c>
      <c r="J109" s="88">
        <v>60</v>
      </c>
      <c r="K109" s="89">
        <f t="shared" si="113"/>
        <v>160</v>
      </c>
      <c r="L109" s="88">
        <v>360</v>
      </c>
      <c r="M109" s="88">
        <v>160</v>
      </c>
      <c r="N109" s="88">
        <v>180</v>
      </c>
      <c r="O109" s="88">
        <v>100</v>
      </c>
      <c r="P109" s="88">
        <v>100</v>
      </c>
      <c r="Q109" s="89">
        <f t="shared" si="114"/>
        <v>900</v>
      </c>
      <c r="R109" s="88"/>
      <c r="S109" s="88"/>
      <c r="T109" s="88"/>
      <c r="U109" s="88"/>
      <c r="V109" s="89">
        <f t="shared" si="115"/>
        <v>0</v>
      </c>
      <c r="W109" s="88">
        <v>0</v>
      </c>
      <c r="X109" s="88">
        <v>0</v>
      </c>
      <c r="Y109" s="88"/>
      <c r="Z109" s="88"/>
      <c r="AA109" s="89">
        <f t="shared" si="116"/>
        <v>0</v>
      </c>
      <c r="AB109" s="88"/>
      <c r="AC109" s="88"/>
      <c r="AD109" s="88"/>
      <c r="AE109" s="88"/>
      <c r="AF109" s="88"/>
      <c r="AG109" s="89">
        <f t="shared" si="117"/>
        <v>0</v>
      </c>
      <c r="AH109" s="88"/>
      <c r="AI109" s="88"/>
      <c r="AJ109" s="88"/>
      <c r="AK109" s="88"/>
      <c r="AL109" s="89">
        <f t="shared" si="118"/>
        <v>0</v>
      </c>
      <c r="AM109" s="88"/>
      <c r="AN109" s="88"/>
      <c r="AO109" s="88"/>
      <c r="AP109" s="88"/>
      <c r="AQ109" s="88"/>
      <c r="AR109" s="89">
        <f t="shared" si="119"/>
        <v>0</v>
      </c>
      <c r="AS109" s="88"/>
      <c r="AT109" s="88"/>
      <c r="AU109" s="88"/>
      <c r="AV109" s="88"/>
      <c r="AW109" s="89">
        <f t="shared" si="120"/>
        <v>0</v>
      </c>
      <c r="AX109" s="88"/>
      <c r="AY109" s="88"/>
      <c r="AZ109" s="88"/>
      <c r="BA109" s="88"/>
      <c r="BB109" s="89">
        <f t="shared" si="121"/>
        <v>0</v>
      </c>
      <c r="BC109" s="88"/>
      <c r="BD109" s="88"/>
      <c r="BE109" s="88"/>
      <c r="BF109" s="88"/>
      <c r="BG109" s="88"/>
      <c r="BH109" s="89">
        <f t="shared" si="122"/>
        <v>0</v>
      </c>
      <c r="BI109" s="88"/>
      <c r="BJ109" s="88"/>
      <c r="BK109" s="88"/>
      <c r="BL109" s="88"/>
      <c r="BM109" s="89">
        <f t="shared" si="123"/>
        <v>0</v>
      </c>
    </row>
    <row r="110" spans="1:65" ht="15.75" customHeight="1" x14ac:dyDescent="0.25">
      <c r="A110" s="90" t="s">
        <v>137</v>
      </c>
      <c r="B110" s="88">
        <v>320</v>
      </c>
      <c r="C110" s="88">
        <v>40</v>
      </c>
      <c r="D110" s="88">
        <v>20</v>
      </c>
      <c r="E110" s="88">
        <v>20</v>
      </c>
      <c r="F110" s="89">
        <f t="shared" si="112"/>
        <v>400</v>
      </c>
      <c r="G110" s="88">
        <v>0</v>
      </c>
      <c r="H110" s="88">
        <v>80</v>
      </c>
      <c r="I110" s="88">
        <v>0</v>
      </c>
      <c r="J110" s="88">
        <v>40</v>
      </c>
      <c r="K110" s="89">
        <f t="shared" si="113"/>
        <v>120</v>
      </c>
      <c r="L110" s="88">
        <v>20</v>
      </c>
      <c r="M110" s="88">
        <v>60</v>
      </c>
      <c r="N110" s="88">
        <v>80</v>
      </c>
      <c r="O110" s="88">
        <v>40</v>
      </c>
      <c r="P110" s="88">
        <v>0</v>
      </c>
      <c r="Q110" s="89">
        <f t="shared" si="114"/>
        <v>200</v>
      </c>
      <c r="R110" s="88"/>
      <c r="S110" s="88"/>
      <c r="T110" s="88"/>
      <c r="U110" s="88"/>
      <c r="V110" s="89">
        <f t="shared" si="115"/>
        <v>0</v>
      </c>
      <c r="W110" s="88">
        <v>0</v>
      </c>
      <c r="X110" s="88">
        <v>0</v>
      </c>
      <c r="Y110" s="88"/>
      <c r="Z110" s="88"/>
      <c r="AA110" s="89">
        <f t="shared" si="116"/>
        <v>0</v>
      </c>
      <c r="AB110" s="88"/>
      <c r="AC110" s="88"/>
      <c r="AD110" s="88"/>
      <c r="AE110" s="88"/>
      <c r="AF110" s="88"/>
      <c r="AG110" s="89">
        <f t="shared" si="117"/>
        <v>0</v>
      </c>
      <c r="AH110" s="88"/>
      <c r="AI110" s="88"/>
      <c r="AJ110" s="88"/>
      <c r="AK110" s="88"/>
      <c r="AL110" s="89">
        <f t="shared" si="118"/>
        <v>0</v>
      </c>
      <c r="AM110" s="88"/>
      <c r="AN110" s="88"/>
      <c r="AO110" s="88"/>
      <c r="AP110" s="88"/>
      <c r="AQ110" s="88"/>
      <c r="AR110" s="89">
        <f t="shared" si="119"/>
        <v>0</v>
      </c>
      <c r="AS110" s="88"/>
      <c r="AT110" s="88"/>
      <c r="AU110" s="88"/>
      <c r="AV110" s="88"/>
      <c r="AW110" s="89">
        <f t="shared" si="120"/>
        <v>0</v>
      </c>
      <c r="AX110" s="88"/>
      <c r="AY110" s="88"/>
      <c r="AZ110" s="88"/>
      <c r="BA110" s="88"/>
      <c r="BB110" s="89">
        <f t="shared" si="121"/>
        <v>0</v>
      </c>
      <c r="BC110" s="88"/>
      <c r="BD110" s="88"/>
      <c r="BE110" s="88"/>
      <c r="BF110" s="88"/>
      <c r="BG110" s="88"/>
      <c r="BH110" s="89">
        <f t="shared" si="122"/>
        <v>0</v>
      </c>
      <c r="BI110" s="88"/>
      <c r="BJ110" s="88"/>
      <c r="BK110" s="88"/>
      <c r="BL110" s="88"/>
      <c r="BM110" s="89">
        <f t="shared" si="123"/>
        <v>0</v>
      </c>
    </row>
    <row r="111" spans="1:65" ht="15.75" customHeight="1" x14ac:dyDescent="0.25">
      <c r="A111" s="91" t="s">
        <v>550</v>
      </c>
      <c r="B111" s="88">
        <v>0</v>
      </c>
      <c r="C111" s="88">
        <v>40</v>
      </c>
      <c r="D111" s="88">
        <v>0</v>
      </c>
      <c r="E111" s="88">
        <v>0</v>
      </c>
      <c r="F111" s="89">
        <f t="shared" si="112"/>
        <v>40</v>
      </c>
      <c r="G111" s="88">
        <v>0</v>
      </c>
      <c r="H111" s="88">
        <v>0</v>
      </c>
      <c r="I111" s="88">
        <v>0</v>
      </c>
      <c r="J111" s="88">
        <v>60</v>
      </c>
      <c r="K111" s="89">
        <f t="shared" si="113"/>
        <v>60</v>
      </c>
      <c r="L111" s="88">
        <v>0</v>
      </c>
      <c r="M111" s="88">
        <v>0</v>
      </c>
      <c r="N111" s="88">
        <v>0</v>
      </c>
      <c r="O111" s="88">
        <v>0</v>
      </c>
      <c r="P111" s="88">
        <v>0</v>
      </c>
      <c r="Q111" s="89">
        <f t="shared" si="114"/>
        <v>0</v>
      </c>
      <c r="R111" s="88"/>
      <c r="S111" s="88"/>
      <c r="T111" s="88"/>
      <c r="U111" s="88"/>
      <c r="V111" s="89">
        <f t="shared" si="115"/>
        <v>0</v>
      </c>
      <c r="W111" s="88">
        <v>0</v>
      </c>
      <c r="X111" s="88">
        <v>0</v>
      </c>
      <c r="Y111" s="88"/>
      <c r="Z111" s="88"/>
      <c r="AA111" s="89">
        <f t="shared" si="116"/>
        <v>0</v>
      </c>
      <c r="AB111" s="88"/>
      <c r="AC111" s="88"/>
      <c r="AD111" s="88"/>
      <c r="AE111" s="88"/>
      <c r="AF111" s="88"/>
      <c r="AG111" s="89">
        <f t="shared" si="117"/>
        <v>0</v>
      </c>
      <c r="AH111" s="88"/>
      <c r="AI111" s="88"/>
      <c r="AJ111" s="88"/>
      <c r="AK111" s="88"/>
      <c r="AL111" s="89">
        <f t="shared" si="118"/>
        <v>0</v>
      </c>
      <c r="AM111" s="88"/>
      <c r="AN111" s="88"/>
      <c r="AO111" s="88"/>
      <c r="AP111" s="88"/>
      <c r="AQ111" s="88"/>
      <c r="AR111" s="89">
        <f t="shared" si="119"/>
        <v>0</v>
      </c>
      <c r="AS111" s="88"/>
      <c r="AT111" s="88"/>
      <c r="AU111" s="88"/>
      <c r="AV111" s="88"/>
      <c r="AW111" s="89">
        <f t="shared" si="120"/>
        <v>0</v>
      </c>
      <c r="AX111" s="88"/>
      <c r="AY111" s="88"/>
      <c r="AZ111" s="88"/>
      <c r="BA111" s="88"/>
      <c r="BB111" s="89">
        <f t="shared" si="121"/>
        <v>0</v>
      </c>
      <c r="BC111" s="88"/>
      <c r="BD111" s="88"/>
      <c r="BE111" s="88"/>
      <c r="BF111" s="88"/>
      <c r="BG111" s="88"/>
      <c r="BH111" s="89">
        <f t="shared" si="122"/>
        <v>0</v>
      </c>
      <c r="BI111" s="88"/>
      <c r="BJ111" s="88"/>
      <c r="BK111" s="88"/>
      <c r="BL111" s="88"/>
      <c r="BM111" s="89">
        <f t="shared" si="123"/>
        <v>0</v>
      </c>
    </row>
    <row r="112" spans="1:65" ht="15.75" customHeight="1" x14ac:dyDescent="0.25">
      <c r="A112" s="92" t="s">
        <v>224</v>
      </c>
      <c r="B112" s="88">
        <v>0</v>
      </c>
      <c r="C112" s="88">
        <v>0</v>
      </c>
      <c r="D112" s="88">
        <v>0</v>
      </c>
      <c r="E112" s="88">
        <v>0</v>
      </c>
      <c r="F112" s="89">
        <f t="shared" si="112"/>
        <v>0</v>
      </c>
      <c r="G112" s="88">
        <v>0</v>
      </c>
      <c r="H112" s="88">
        <v>1</v>
      </c>
      <c r="I112" s="88">
        <v>0</v>
      </c>
      <c r="J112" s="88">
        <v>1</v>
      </c>
      <c r="K112" s="89">
        <f t="shared" si="113"/>
        <v>2</v>
      </c>
      <c r="L112" s="88">
        <v>1</v>
      </c>
      <c r="M112" s="88">
        <v>1</v>
      </c>
      <c r="N112" s="88">
        <v>1</v>
      </c>
      <c r="O112" s="88">
        <v>1</v>
      </c>
      <c r="P112" s="88">
        <v>0</v>
      </c>
      <c r="Q112" s="89">
        <f t="shared" si="114"/>
        <v>4</v>
      </c>
      <c r="R112" s="88"/>
      <c r="S112" s="88"/>
      <c r="T112" s="88"/>
      <c r="U112" s="88"/>
      <c r="V112" s="89">
        <f t="shared" si="115"/>
        <v>0</v>
      </c>
      <c r="W112" s="88">
        <v>0</v>
      </c>
      <c r="X112" s="88">
        <v>0</v>
      </c>
      <c r="Y112" s="88"/>
      <c r="Z112" s="88"/>
      <c r="AA112" s="89">
        <f t="shared" si="116"/>
        <v>0</v>
      </c>
      <c r="AB112" s="88"/>
      <c r="AC112" s="88"/>
      <c r="AD112" s="88"/>
      <c r="AE112" s="88"/>
      <c r="AF112" s="88"/>
      <c r="AG112" s="89">
        <f t="shared" si="117"/>
        <v>0</v>
      </c>
      <c r="AH112" s="88"/>
      <c r="AI112" s="88"/>
      <c r="AJ112" s="88"/>
      <c r="AK112" s="88"/>
      <c r="AL112" s="89">
        <f t="shared" si="118"/>
        <v>0</v>
      </c>
      <c r="AM112" s="88"/>
      <c r="AN112" s="88"/>
      <c r="AO112" s="88"/>
      <c r="AP112" s="88"/>
      <c r="AQ112" s="88"/>
      <c r="AR112" s="89">
        <f t="shared" si="119"/>
        <v>0</v>
      </c>
      <c r="AS112" s="88"/>
      <c r="AT112" s="88"/>
      <c r="AU112" s="88"/>
      <c r="AV112" s="88"/>
      <c r="AW112" s="89">
        <f t="shared" si="120"/>
        <v>0</v>
      </c>
      <c r="AX112" s="88"/>
      <c r="AY112" s="88"/>
      <c r="AZ112" s="88"/>
      <c r="BA112" s="88"/>
      <c r="BB112" s="89">
        <f t="shared" si="121"/>
        <v>0</v>
      </c>
      <c r="BC112" s="88"/>
      <c r="BD112" s="88"/>
      <c r="BE112" s="88"/>
      <c r="BF112" s="88"/>
      <c r="BG112" s="88"/>
      <c r="BH112" s="89">
        <f t="shared" si="122"/>
        <v>0</v>
      </c>
      <c r="BI112" s="88"/>
      <c r="BJ112" s="88"/>
      <c r="BK112" s="88"/>
      <c r="BL112" s="88"/>
      <c r="BM112" s="89">
        <f t="shared" si="123"/>
        <v>0</v>
      </c>
    </row>
    <row r="113" spans="1:65" ht="15.75" customHeight="1" x14ac:dyDescent="0.25">
      <c r="A113" s="92" t="s">
        <v>225</v>
      </c>
      <c r="B113" s="88">
        <v>0</v>
      </c>
      <c r="C113" s="88">
        <v>1</v>
      </c>
      <c r="D113" s="88">
        <v>0</v>
      </c>
      <c r="E113" s="88">
        <v>0</v>
      </c>
      <c r="F113" s="89">
        <f t="shared" si="112"/>
        <v>1</v>
      </c>
      <c r="G113" s="88">
        <v>0</v>
      </c>
      <c r="H113" s="88">
        <v>2</v>
      </c>
      <c r="I113" s="88">
        <v>0</v>
      </c>
      <c r="J113" s="88">
        <v>0</v>
      </c>
      <c r="K113" s="89">
        <f t="shared" si="113"/>
        <v>2</v>
      </c>
      <c r="L113" s="88">
        <v>0</v>
      </c>
      <c r="M113" s="88">
        <v>0</v>
      </c>
      <c r="N113" s="88">
        <v>0</v>
      </c>
      <c r="O113" s="88">
        <v>0</v>
      </c>
      <c r="P113" s="88">
        <v>0</v>
      </c>
      <c r="Q113" s="89">
        <f t="shared" si="114"/>
        <v>0</v>
      </c>
      <c r="R113" s="88"/>
      <c r="S113" s="88"/>
      <c r="T113" s="88"/>
      <c r="U113" s="88"/>
      <c r="V113" s="89">
        <f t="shared" si="115"/>
        <v>0</v>
      </c>
      <c r="W113" s="88">
        <v>0</v>
      </c>
      <c r="X113" s="88">
        <v>0</v>
      </c>
      <c r="Y113" s="88"/>
      <c r="Z113" s="88"/>
      <c r="AA113" s="89">
        <f t="shared" si="116"/>
        <v>0</v>
      </c>
      <c r="AB113" s="88"/>
      <c r="AC113" s="88"/>
      <c r="AD113" s="88"/>
      <c r="AE113" s="88"/>
      <c r="AF113" s="88"/>
      <c r="AG113" s="89">
        <f t="shared" si="117"/>
        <v>0</v>
      </c>
      <c r="AH113" s="88"/>
      <c r="AI113" s="88"/>
      <c r="AJ113" s="88"/>
      <c r="AK113" s="88"/>
      <c r="AL113" s="89">
        <f t="shared" si="118"/>
        <v>0</v>
      </c>
      <c r="AM113" s="88"/>
      <c r="AN113" s="88"/>
      <c r="AO113" s="88"/>
      <c r="AP113" s="88"/>
      <c r="AQ113" s="88"/>
      <c r="AR113" s="89">
        <f t="shared" si="119"/>
        <v>0</v>
      </c>
      <c r="AS113" s="88"/>
      <c r="AT113" s="88"/>
      <c r="AU113" s="88"/>
      <c r="AV113" s="88"/>
      <c r="AW113" s="89">
        <f t="shared" si="120"/>
        <v>0</v>
      </c>
      <c r="AX113" s="88"/>
      <c r="AY113" s="88"/>
      <c r="AZ113" s="88"/>
      <c r="BA113" s="88"/>
      <c r="BB113" s="89">
        <f t="shared" si="121"/>
        <v>0</v>
      </c>
      <c r="BC113" s="88"/>
      <c r="BD113" s="88"/>
      <c r="BE113" s="88"/>
      <c r="BF113" s="88"/>
      <c r="BG113" s="88"/>
      <c r="BH113" s="89">
        <f t="shared" si="122"/>
        <v>0</v>
      </c>
      <c r="BI113" s="88"/>
      <c r="BJ113" s="88"/>
      <c r="BK113" s="88"/>
      <c r="BL113" s="88"/>
      <c r="BM113" s="89">
        <f t="shared" si="123"/>
        <v>0</v>
      </c>
    </row>
    <row r="114" spans="1:65" ht="15.75" customHeight="1" x14ac:dyDescent="0.25">
      <c r="A114" s="92" t="s">
        <v>147</v>
      </c>
      <c r="B114" s="88">
        <v>1</v>
      </c>
      <c r="C114" s="88">
        <v>0</v>
      </c>
      <c r="D114" s="88">
        <v>0</v>
      </c>
      <c r="E114" s="88">
        <v>1</v>
      </c>
      <c r="F114" s="89">
        <f t="shared" si="112"/>
        <v>2</v>
      </c>
      <c r="G114" s="88">
        <v>0</v>
      </c>
      <c r="H114" s="88">
        <v>0</v>
      </c>
      <c r="I114" s="88">
        <v>0</v>
      </c>
      <c r="J114" s="88">
        <v>0</v>
      </c>
      <c r="K114" s="89">
        <f t="shared" si="113"/>
        <v>0</v>
      </c>
      <c r="L114" s="88">
        <v>1</v>
      </c>
      <c r="M114" s="88">
        <v>1</v>
      </c>
      <c r="N114" s="88">
        <v>0</v>
      </c>
      <c r="O114" s="88">
        <v>0</v>
      </c>
      <c r="P114" s="88">
        <v>1</v>
      </c>
      <c r="Q114" s="89">
        <f t="shared" si="114"/>
        <v>3</v>
      </c>
      <c r="R114" s="88"/>
      <c r="S114" s="88"/>
      <c r="T114" s="88"/>
      <c r="U114" s="88"/>
      <c r="V114" s="89">
        <f t="shared" si="115"/>
        <v>0</v>
      </c>
      <c r="W114" s="88">
        <v>0</v>
      </c>
      <c r="X114" s="88">
        <v>1</v>
      </c>
      <c r="Y114" s="88"/>
      <c r="Z114" s="88"/>
      <c r="AA114" s="89">
        <f t="shared" si="116"/>
        <v>1</v>
      </c>
      <c r="AB114" s="88"/>
      <c r="AC114" s="88"/>
      <c r="AD114" s="88"/>
      <c r="AE114" s="88"/>
      <c r="AF114" s="88"/>
      <c r="AG114" s="89">
        <f t="shared" si="117"/>
        <v>0</v>
      </c>
      <c r="AH114" s="88"/>
      <c r="AI114" s="88"/>
      <c r="AJ114" s="88"/>
      <c r="AK114" s="88"/>
      <c r="AL114" s="89">
        <f t="shared" si="118"/>
        <v>0</v>
      </c>
      <c r="AM114" s="88"/>
      <c r="AN114" s="88"/>
      <c r="AO114" s="88"/>
      <c r="AP114" s="88"/>
      <c r="AQ114" s="88"/>
      <c r="AR114" s="89">
        <f t="shared" si="119"/>
        <v>0</v>
      </c>
      <c r="AS114" s="88"/>
      <c r="AT114" s="88"/>
      <c r="AU114" s="88"/>
      <c r="AV114" s="88"/>
      <c r="AW114" s="89">
        <f t="shared" si="120"/>
        <v>0</v>
      </c>
      <c r="AX114" s="88"/>
      <c r="AY114" s="88"/>
      <c r="AZ114" s="88"/>
      <c r="BA114" s="88"/>
      <c r="BB114" s="89">
        <f t="shared" si="121"/>
        <v>0</v>
      </c>
      <c r="BC114" s="88"/>
      <c r="BD114" s="88"/>
      <c r="BE114" s="88"/>
      <c r="BF114" s="88"/>
      <c r="BG114" s="88"/>
      <c r="BH114" s="89">
        <f t="shared" si="122"/>
        <v>0</v>
      </c>
      <c r="BI114" s="88"/>
      <c r="BJ114" s="88"/>
      <c r="BK114" s="88"/>
      <c r="BL114" s="88"/>
      <c r="BM114" s="89">
        <f t="shared" si="123"/>
        <v>0</v>
      </c>
    </row>
    <row r="115" spans="1:65" ht="15.75" customHeight="1" x14ac:dyDescent="0.25">
      <c r="A115" s="92" t="s">
        <v>148</v>
      </c>
      <c r="B115" s="88">
        <v>1</v>
      </c>
      <c r="C115" s="88">
        <v>0</v>
      </c>
      <c r="D115" s="88">
        <v>0</v>
      </c>
      <c r="E115" s="88">
        <v>0</v>
      </c>
      <c r="F115" s="89">
        <f t="shared" si="112"/>
        <v>1</v>
      </c>
      <c r="G115" s="88">
        <v>0</v>
      </c>
      <c r="H115" s="88">
        <v>0</v>
      </c>
      <c r="I115" s="88">
        <v>0</v>
      </c>
      <c r="J115" s="88">
        <v>1</v>
      </c>
      <c r="K115" s="89">
        <f t="shared" si="113"/>
        <v>1</v>
      </c>
      <c r="L115" s="88">
        <v>0</v>
      </c>
      <c r="M115" s="88">
        <v>0</v>
      </c>
      <c r="N115" s="88">
        <v>0</v>
      </c>
      <c r="O115" s="88">
        <v>1</v>
      </c>
      <c r="P115" s="88">
        <v>0</v>
      </c>
      <c r="Q115" s="89">
        <f t="shared" si="114"/>
        <v>1</v>
      </c>
      <c r="R115" s="88"/>
      <c r="S115" s="88"/>
      <c r="T115" s="88"/>
      <c r="U115" s="88"/>
      <c r="V115" s="89">
        <f t="shared" si="115"/>
        <v>0</v>
      </c>
      <c r="W115" s="88">
        <v>0</v>
      </c>
      <c r="X115" s="88">
        <v>0</v>
      </c>
      <c r="Y115" s="88"/>
      <c r="Z115" s="88"/>
      <c r="AA115" s="89">
        <f t="shared" si="116"/>
        <v>0</v>
      </c>
      <c r="AB115" s="88"/>
      <c r="AC115" s="88"/>
      <c r="AD115" s="88"/>
      <c r="AE115" s="88"/>
      <c r="AF115" s="88"/>
      <c r="AG115" s="89">
        <f t="shared" si="117"/>
        <v>0</v>
      </c>
      <c r="AH115" s="88"/>
      <c r="AI115" s="88"/>
      <c r="AJ115" s="88"/>
      <c r="AK115" s="88"/>
      <c r="AL115" s="89">
        <f t="shared" si="118"/>
        <v>0</v>
      </c>
      <c r="AM115" s="88"/>
      <c r="AN115" s="88"/>
      <c r="AO115" s="88"/>
      <c r="AP115" s="88"/>
      <c r="AQ115" s="88"/>
      <c r="AR115" s="89">
        <f t="shared" si="119"/>
        <v>0</v>
      </c>
      <c r="AS115" s="88"/>
      <c r="AT115" s="88"/>
      <c r="AU115" s="88"/>
      <c r="AV115" s="88"/>
      <c r="AW115" s="89">
        <f t="shared" si="120"/>
        <v>0</v>
      </c>
      <c r="AX115" s="88"/>
      <c r="AY115" s="88"/>
      <c r="AZ115" s="88"/>
      <c r="BA115" s="88"/>
      <c r="BB115" s="89">
        <f t="shared" si="121"/>
        <v>0</v>
      </c>
      <c r="BC115" s="88"/>
      <c r="BD115" s="88"/>
      <c r="BE115" s="88"/>
      <c r="BF115" s="88"/>
      <c r="BG115" s="88"/>
      <c r="BH115" s="89">
        <f t="shared" si="122"/>
        <v>0</v>
      </c>
      <c r="BI115" s="88"/>
      <c r="BJ115" s="88"/>
      <c r="BK115" s="88"/>
      <c r="BL115" s="88"/>
      <c r="BM115" s="89">
        <f t="shared" si="123"/>
        <v>0</v>
      </c>
    </row>
    <row r="116" spans="1:65" ht="15.75" customHeight="1" x14ac:dyDescent="0.25">
      <c r="A116" s="93" t="s">
        <v>401</v>
      </c>
      <c r="B116" s="94">
        <f t="shared" ref="B116:AG116" si="124">SUM(B108:B111)</f>
        <v>480</v>
      </c>
      <c r="C116" s="94">
        <f t="shared" si="124"/>
        <v>320</v>
      </c>
      <c r="D116" s="94">
        <f t="shared" si="124"/>
        <v>180</v>
      </c>
      <c r="E116" s="94">
        <f t="shared" si="124"/>
        <v>100</v>
      </c>
      <c r="F116" s="94">
        <f t="shared" si="124"/>
        <v>1080</v>
      </c>
      <c r="G116" s="94">
        <f t="shared" si="124"/>
        <v>80</v>
      </c>
      <c r="H116" s="94">
        <f t="shared" si="124"/>
        <v>100</v>
      </c>
      <c r="I116" s="94">
        <f t="shared" si="124"/>
        <v>0</v>
      </c>
      <c r="J116" s="94">
        <f t="shared" si="124"/>
        <v>280</v>
      </c>
      <c r="K116" s="94">
        <f t="shared" si="124"/>
        <v>460</v>
      </c>
      <c r="L116" s="94">
        <f t="shared" si="124"/>
        <v>420</v>
      </c>
      <c r="M116" s="94">
        <f t="shared" si="124"/>
        <v>260</v>
      </c>
      <c r="N116" s="94">
        <f t="shared" si="124"/>
        <v>260</v>
      </c>
      <c r="O116" s="94">
        <f t="shared" si="124"/>
        <v>140</v>
      </c>
      <c r="P116" s="94">
        <f t="shared" si="124"/>
        <v>100</v>
      </c>
      <c r="Q116" s="94">
        <f t="shared" si="124"/>
        <v>1180</v>
      </c>
      <c r="R116" s="94">
        <f t="shared" si="124"/>
        <v>0</v>
      </c>
      <c r="S116" s="94">
        <f t="shared" si="124"/>
        <v>0</v>
      </c>
      <c r="T116" s="94">
        <f t="shared" si="124"/>
        <v>0</v>
      </c>
      <c r="U116" s="94">
        <f t="shared" si="124"/>
        <v>0</v>
      </c>
      <c r="V116" s="94">
        <f t="shared" si="124"/>
        <v>0</v>
      </c>
      <c r="W116" s="94">
        <f t="shared" si="124"/>
        <v>0</v>
      </c>
      <c r="X116" s="94">
        <f t="shared" si="124"/>
        <v>60</v>
      </c>
      <c r="Y116" s="94">
        <f t="shared" si="124"/>
        <v>0</v>
      </c>
      <c r="Z116" s="94">
        <f t="shared" si="124"/>
        <v>0</v>
      </c>
      <c r="AA116" s="94">
        <f t="shared" si="124"/>
        <v>60</v>
      </c>
      <c r="AB116" s="94">
        <f t="shared" si="124"/>
        <v>0</v>
      </c>
      <c r="AC116" s="94">
        <f t="shared" si="124"/>
        <v>0</v>
      </c>
      <c r="AD116" s="94">
        <f t="shared" si="124"/>
        <v>0</v>
      </c>
      <c r="AE116" s="94">
        <f t="shared" si="124"/>
        <v>0</v>
      </c>
      <c r="AF116" s="94">
        <f t="shared" si="124"/>
        <v>0</v>
      </c>
      <c r="AG116" s="94">
        <f t="shared" si="124"/>
        <v>0</v>
      </c>
      <c r="AH116" s="94">
        <f t="shared" ref="AH116:BM116" si="125">SUM(AH108:AH111)</f>
        <v>0</v>
      </c>
      <c r="AI116" s="94">
        <f t="shared" si="125"/>
        <v>0</v>
      </c>
      <c r="AJ116" s="94">
        <f t="shared" si="125"/>
        <v>0</v>
      </c>
      <c r="AK116" s="94">
        <f t="shared" si="125"/>
        <v>0</v>
      </c>
      <c r="AL116" s="94">
        <f t="shared" si="125"/>
        <v>0</v>
      </c>
      <c r="AM116" s="94">
        <f t="shared" si="125"/>
        <v>0</v>
      </c>
      <c r="AN116" s="94">
        <f t="shared" si="125"/>
        <v>0</v>
      </c>
      <c r="AO116" s="94">
        <f t="shared" si="125"/>
        <v>0</v>
      </c>
      <c r="AP116" s="94">
        <f t="shared" si="125"/>
        <v>0</v>
      </c>
      <c r="AQ116" s="94">
        <f t="shared" si="125"/>
        <v>0</v>
      </c>
      <c r="AR116" s="94">
        <f t="shared" si="125"/>
        <v>0</v>
      </c>
      <c r="AS116" s="94">
        <f t="shared" si="125"/>
        <v>0</v>
      </c>
      <c r="AT116" s="94">
        <f t="shared" si="125"/>
        <v>0</v>
      </c>
      <c r="AU116" s="94">
        <f t="shared" si="125"/>
        <v>0</v>
      </c>
      <c r="AV116" s="94">
        <f t="shared" si="125"/>
        <v>0</v>
      </c>
      <c r="AW116" s="94">
        <f t="shared" si="125"/>
        <v>0</v>
      </c>
      <c r="AX116" s="94">
        <f t="shared" si="125"/>
        <v>0</v>
      </c>
      <c r="AY116" s="94">
        <f t="shared" si="125"/>
        <v>0</v>
      </c>
      <c r="AZ116" s="94">
        <f t="shared" si="125"/>
        <v>0</v>
      </c>
      <c r="BA116" s="94">
        <f t="shared" si="125"/>
        <v>0</v>
      </c>
      <c r="BB116" s="94">
        <f t="shared" si="125"/>
        <v>0</v>
      </c>
      <c r="BC116" s="94">
        <f t="shared" si="125"/>
        <v>0</v>
      </c>
      <c r="BD116" s="94">
        <f t="shared" si="125"/>
        <v>0</v>
      </c>
      <c r="BE116" s="94">
        <f t="shared" si="125"/>
        <v>0</v>
      </c>
      <c r="BF116" s="94">
        <f t="shared" si="125"/>
        <v>0</v>
      </c>
      <c r="BG116" s="94">
        <f t="shared" si="125"/>
        <v>0</v>
      </c>
      <c r="BH116" s="94">
        <f t="shared" si="125"/>
        <v>0</v>
      </c>
      <c r="BI116" s="94">
        <f t="shared" si="125"/>
        <v>0</v>
      </c>
      <c r="BJ116" s="94">
        <f t="shared" si="125"/>
        <v>0</v>
      </c>
      <c r="BK116" s="94">
        <f t="shared" si="125"/>
        <v>0</v>
      </c>
      <c r="BL116" s="94">
        <f t="shared" si="125"/>
        <v>0</v>
      </c>
      <c r="BM116" s="94">
        <f t="shared" si="125"/>
        <v>0</v>
      </c>
    </row>
    <row r="118" spans="1:65" ht="18" customHeight="1" x14ac:dyDescent="0.25">
      <c r="A118" s="505" t="s">
        <v>542</v>
      </c>
      <c r="B118" s="506"/>
      <c r="C118" s="506"/>
      <c r="D118" s="506"/>
      <c r="E118" s="506"/>
      <c r="F118" s="506"/>
      <c r="G118" s="506"/>
      <c r="H118" s="506"/>
      <c r="I118" s="506"/>
      <c r="J118" s="506"/>
      <c r="K118" s="506"/>
      <c r="L118" s="506"/>
      <c r="M118" s="506"/>
      <c r="N118" s="506"/>
      <c r="O118" s="506"/>
      <c r="P118" s="506"/>
      <c r="Q118" s="506"/>
      <c r="R118" s="506"/>
      <c r="S118" s="506"/>
      <c r="T118" s="506"/>
      <c r="U118" s="506"/>
      <c r="V118" s="506"/>
      <c r="W118" s="506"/>
      <c r="X118" s="506"/>
      <c r="Y118" s="506"/>
      <c r="Z118" s="506"/>
      <c r="AA118" s="506"/>
      <c r="AB118" s="506"/>
      <c r="AC118" s="506"/>
      <c r="AD118" s="506"/>
      <c r="AE118" s="506"/>
      <c r="AF118" s="506"/>
      <c r="AG118" s="506"/>
      <c r="AH118" s="506"/>
      <c r="AI118" s="506"/>
      <c r="AJ118" s="506"/>
      <c r="AK118" s="506"/>
      <c r="AL118" s="506"/>
      <c r="AM118" s="506"/>
      <c r="AN118" s="506"/>
      <c r="AO118" s="506"/>
      <c r="AP118" s="506"/>
      <c r="AQ118" s="506"/>
      <c r="AR118" s="506"/>
      <c r="AS118" s="506"/>
      <c r="AT118" s="506"/>
      <c r="AU118" s="506"/>
      <c r="AV118" s="506"/>
      <c r="AW118" s="506"/>
      <c r="AX118" s="506"/>
      <c r="AY118" s="506"/>
      <c r="AZ118" s="506"/>
      <c r="BA118" s="506"/>
      <c r="BB118" s="506"/>
      <c r="BC118" s="506"/>
      <c r="BD118" s="506"/>
      <c r="BE118" s="506"/>
      <c r="BF118" s="506"/>
      <c r="BG118" s="506"/>
      <c r="BH118" s="506"/>
      <c r="BI118" s="506"/>
      <c r="BJ118" s="506"/>
      <c r="BK118" s="506"/>
      <c r="BL118" s="506"/>
      <c r="BM118" s="506"/>
    </row>
    <row r="119" spans="1:65" ht="18" customHeight="1" x14ac:dyDescent="0.25">
      <c r="A119" s="507" t="s">
        <v>423</v>
      </c>
      <c r="B119" s="509" t="s">
        <v>389</v>
      </c>
      <c r="C119" s="485"/>
      <c r="D119" s="485"/>
      <c r="E119" s="485"/>
      <c r="F119" s="504" t="s">
        <v>390</v>
      </c>
      <c r="G119" s="485"/>
      <c r="H119" s="485"/>
      <c r="I119" s="485"/>
      <c r="J119" s="485"/>
      <c r="K119" s="147"/>
      <c r="L119" s="503" t="s">
        <v>391</v>
      </c>
      <c r="M119" s="485"/>
      <c r="N119" s="485"/>
      <c r="O119" s="485"/>
      <c r="P119" s="485"/>
      <c r="Q119" s="486"/>
      <c r="R119" s="503" t="s">
        <v>413</v>
      </c>
      <c r="S119" s="485"/>
      <c r="T119" s="485"/>
      <c r="U119" s="485"/>
      <c r="V119" s="486"/>
      <c r="W119" s="503" t="s">
        <v>414</v>
      </c>
      <c r="X119" s="485"/>
      <c r="Y119" s="485"/>
      <c r="Z119" s="485"/>
      <c r="AA119" s="486"/>
      <c r="AB119" s="503" t="s">
        <v>543</v>
      </c>
      <c r="AC119" s="485"/>
      <c r="AD119" s="485"/>
      <c r="AE119" s="485"/>
      <c r="AF119" s="485"/>
      <c r="AG119" s="486"/>
      <c r="AH119" s="503" t="s">
        <v>544</v>
      </c>
      <c r="AI119" s="485"/>
      <c r="AJ119" s="485"/>
      <c r="AK119" s="485"/>
      <c r="AL119" s="486"/>
      <c r="AM119" s="503" t="s">
        <v>545</v>
      </c>
      <c r="AN119" s="485"/>
      <c r="AO119" s="485"/>
      <c r="AP119" s="485"/>
      <c r="AQ119" s="485"/>
      <c r="AR119" s="486"/>
      <c r="AS119" s="503" t="s">
        <v>546</v>
      </c>
      <c r="AT119" s="485"/>
      <c r="AU119" s="485"/>
      <c r="AV119" s="485"/>
      <c r="AW119" s="486"/>
      <c r="AX119" s="503" t="s">
        <v>547</v>
      </c>
      <c r="AY119" s="485"/>
      <c r="AZ119" s="485"/>
      <c r="BA119" s="485"/>
      <c r="BB119" s="486"/>
      <c r="BC119" s="503" t="s">
        <v>548</v>
      </c>
      <c r="BD119" s="485"/>
      <c r="BE119" s="485"/>
      <c r="BF119" s="485"/>
      <c r="BG119" s="485"/>
      <c r="BH119" s="486"/>
      <c r="BI119" s="503" t="s">
        <v>388</v>
      </c>
      <c r="BJ119" s="485"/>
      <c r="BK119" s="485"/>
      <c r="BL119" s="485"/>
      <c r="BM119" s="486"/>
    </row>
    <row r="120" spans="1:65" ht="15.75" customHeight="1" x14ac:dyDescent="0.25">
      <c r="A120" s="508"/>
      <c r="B120" s="85">
        <v>46027</v>
      </c>
      <c r="C120" s="85">
        <v>46034</v>
      </c>
      <c r="D120" s="85">
        <v>46041</v>
      </c>
      <c r="E120" s="85">
        <v>46048</v>
      </c>
      <c r="F120" s="86" t="s">
        <v>129</v>
      </c>
      <c r="G120" s="85">
        <v>46055</v>
      </c>
      <c r="H120" s="85">
        <v>46062</v>
      </c>
      <c r="I120" s="85">
        <v>46069</v>
      </c>
      <c r="J120" s="85">
        <v>46076</v>
      </c>
      <c r="K120" s="86" t="s">
        <v>129</v>
      </c>
      <c r="L120" s="85">
        <v>46083</v>
      </c>
      <c r="M120" s="85">
        <v>46090</v>
      </c>
      <c r="N120" s="85">
        <v>46097</v>
      </c>
      <c r="O120" s="85">
        <v>46104</v>
      </c>
      <c r="P120" s="85">
        <v>46111</v>
      </c>
      <c r="Q120" s="86" t="s">
        <v>129</v>
      </c>
      <c r="R120" s="85">
        <v>46118</v>
      </c>
      <c r="S120" s="85">
        <v>46125</v>
      </c>
      <c r="T120" s="85">
        <v>46132</v>
      </c>
      <c r="U120" s="85">
        <v>46139</v>
      </c>
      <c r="V120" s="86" t="s">
        <v>129</v>
      </c>
      <c r="W120" s="85">
        <v>46146</v>
      </c>
      <c r="X120" s="85">
        <v>46153</v>
      </c>
      <c r="Y120" s="85">
        <v>46160</v>
      </c>
      <c r="Z120" s="85">
        <v>46167</v>
      </c>
      <c r="AA120" s="86" t="s">
        <v>129</v>
      </c>
      <c r="AB120" s="85">
        <v>46174</v>
      </c>
      <c r="AC120" s="85">
        <v>46181</v>
      </c>
      <c r="AD120" s="85">
        <v>46188</v>
      </c>
      <c r="AE120" s="85">
        <v>46195</v>
      </c>
      <c r="AF120" s="85">
        <v>46202</v>
      </c>
      <c r="AG120" s="86" t="s">
        <v>129</v>
      </c>
      <c r="AH120" s="85">
        <v>46209</v>
      </c>
      <c r="AI120" s="85">
        <v>46216</v>
      </c>
      <c r="AJ120" s="85">
        <v>46223</v>
      </c>
      <c r="AK120" s="85">
        <v>46230</v>
      </c>
      <c r="AL120" s="86" t="s">
        <v>129</v>
      </c>
      <c r="AM120" s="85">
        <v>46237</v>
      </c>
      <c r="AN120" s="85">
        <v>46244</v>
      </c>
      <c r="AO120" s="85">
        <v>46251</v>
      </c>
      <c r="AP120" s="85">
        <v>46258</v>
      </c>
      <c r="AQ120" s="85">
        <v>46265</v>
      </c>
      <c r="AR120" s="86" t="s">
        <v>129</v>
      </c>
      <c r="AS120" s="85">
        <v>46272</v>
      </c>
      <c r="AT120" s="85">
        <v>46279</v>
      </c>
      <c r="AU120" s="85">
        <v>46286</v>
      </c>
      <c r="AV120" s="85">
        <v>46293</v>
      </c>
      <c r="AW120" s="86" t="s">
        <v>129</v>
      </c>
      <c r="AX120" s="85">
        <v>46300</v>
      </c>
      <c r="AY120" s="85">
        <v>46307</v>
      </c>
      <c r="AZ120" s="85">
        <v>46314</v>
      </c>
      <c r="BA120" s="85">
        <v>46321</v>
      </c>
      <c r="BB120" s="86" t="s">
        <v>129</v>
      </c>
      <c r="BC120" s="85">
        <v>46328</v>
      </c>
      <c r="BD120" s="85">
        <v>46335</v>
      </c>
      <c r="BE120" s="85">
        <v>46342</v>
      </c>
      <c r="BF120" s="85">
        <v>46349</v>
      </c>
      <c r="BG120" s="85">
        <v>46356</v>
      </c>
      <c r="BH120" s="86" t="s">
        <v>129</v>
      </c>
      <c r="BI120" s="85">
        <v>46363</v>
      </c>
      <c r="BJ120" s="85">
        <v>46370</v>
      </c>
      <c r="BK120" s="85">
        <v>46377</v>
      </c>
      <c r="BL120" s="85">
        <v>46384</v>
      </c>
      <c r="BM120" s="86" t="s">
        <v>129</v>
      </c>
    </row>
    <row r="121" spans="1:65" ht="15.75" customHeight="1" x14ac:dyDescent="0.25">
      <c r="A121" s="148" t="s">
        <v>132</v>
      </c>
      <c r="B121" s="88">
        <v>600</v>
      </c>
      <c r="C121" s="88">
        <v>0</v>
      </c>
      <c r="D121" s="88">
        <v>300</v>
      </c>
      <c r="E121" s="88">
        <v>300</v>
      </c>
      <c r="F121" s="89">
        <f t="shared" ref="F121:F134" si="126">B121+C121+D121+E121</f>
        <v>1200</v>
      </c>
      <c r="G121" s="88">
        <v>300</v>
      </c>
      <c r="H121" s="88">
        <v>0</v>
      </c>
      <c r="I121" s="88">
        <v>300</v>
      </c>
      <c r="J121" s="88">
        <v>0</v>
      </c>
      <c r="K121" s="89">
        <f t="shared" ref="K121:K134" si="127">G121+H121+I121+J121</f>
        <v>600</v>
      </c>
      <c r="L121" s="88">
        <v>300</v>
      </c>
      <c r="M121" s="88">
        <v>300</v>
      </c>
      <c r="N121" s="88">
        <v>300</v>
      </c>
      <c r="O121" s="88">
        <v>0</v>
      </c>
      <c r="P121" s="88">
        <v>300</v>
      </c>
      <c r="Q121" s="89">
        <f t="shared" ref="Q121:Q134" si="128">L121+M121+N121+O121+P121</f>
        <v>1200</v>
      </c>
      <c r="R121" s="88"/>
      <c r="S121" s="88"/>
      <c r="T121" s="88"/>
      <c r="U121" s="88"/>
      <c r="V121" s="89">
        <f t="shared" ref="V121:V134" si="129">R121+S121+T121+U121</f>
        <v>0</v>
      </c>
      <c r="W121" s="88">
        <v>300</v>
      </c>
      <c r="X121" s="88">
        <v>0</v>
      </c>
      <c r="Y121" s="88"/>
      <c r="Z121" s="88"/>
      <c r="AA121" s="89">
        <f t="shared" ref="AA121:AA134" si="130">W121+X121+Y121+Z121</f>
        <v>300</v>
      </c>
      <c r="AB121" s="88"/>
      <c r="AC121" s="88"/>
      <c r="AD121" s="88"/>
      <c r="AE121" s="88"/>
      <c r="AF121" s="88"/>
      <c r="AG121" s="89">
        <f t="shared" ref="AG121:AG134" si="131">AB121+AC121+AD121+AE121+AF121</f>
        <v>0</v>
      </c>
      <c r="AH121" s="88"/>
      <c r="AI121" s="88"/>
      <c r="AJ121" s="88"/>
      <c r="AK121" s="88"/>
      <c r="AL121" s="89">
        <f t="shared" ref="AL121:AL134" si="132">AH121+AI121+AJ121+AK121</f>
        <v>0</v>
      </c>
      <c r="AM121" s="88"/>
      <c r="AN121" s="88"/>
      <c r="AO121" s="88"/>
      <c r="AP121" s="88"/>
      <c r="AQ121" s="88"/>
      <c r="AR121" s="89">
        <f t="shared" ref="AR121:AR134" si="133">AM121+AN121+AO121+AP121+AQ121</f>
        <v>0</v>
      </c>
      <c r="AS121" s="88"/>
      <c r="AT121" s="88"/>
      <c r="AU121" s="88"/>
      <c r="AV121" s="88"/>
      <c r="AW121" s="89">
        <f t="shared" ref="AW121:AW134" si="134">AS121+AT121+AU121+AV121</f>
        <v>0</v>
      </c>
      <c r="AX121" s="88"/>
      <c r="AY121" s="88"/>
      <c r="AZ121" s="88"/>
      <c r="BA121" s="88"/>
      <c r="BB121" s="89">
        <f t="shared" ref="BB121:BB134" si="135">AX121+AY121+AZ121+BA121</f>
        <v>0</v>
      </c>
      <c r="BC121" s="88"/>
      <c r="BD121" s="88"/>
      <c r="BE121" s="88"/>
      <c r="BF121" s="88"/>
      <c r="BG121" s="88"/>
      <c r="BH121" s="89">
        <f t="shared" ref="BH121:BH134" si="136">BC121+BD121+BE121+BF121+BG121</f>
        <v>0</v>
      </c>
      <c r="BI121" s="88"/>
      <c r="BJ121" s="88"/>
      <c r="BK121" s="88"/>
      <c r="BL121" s="88"/>
      <c r="BM121" s="89">
        <f t="shared" ref="BM121:BM134" si="137">BI121+BJ121+BK121+BL121</f>
        <v>0</v>
      </c>
    </row>
    <row r="122" spans="1:65" ht="15.75" customHeight="1" x14ac:dyDescent="0.25">
      <c r="A122" s="90" t="s">
        <v>549</v>
      </c>
      <c r="B122" s="88">
        <v>1000</v>
      </c>
      <c r="C122" s="88">
        <v>1000</v>
      </c>
      <c r="D122" s="88">
        <v>1200</v>
      </c>
      <c r="E122" s="88">
        <v>1200</v>
      </c>
      <c r="F122" s="89">
        <f t="shared" si="126"/>
        <v>4400</v>
      </c>
      <c r="G122" s="88">
        <v>1000</v>
      </c>
      <c r="H122" s="88">
        <v>200</v>
      </c>
      <c r="I122" s="88">
        <v>1000</v>
      </c>
      <c r="J122" s="88">
        <v>1400</v>
      </c>
      <c r="K122" s="89">
        <f t="shared" si="127"/>
        <v>3600</v>
      </c>
      <c r="L122" s="88">
        <v>1000</v>
      </c>
      <c r="M122" s="88">
        <v>2000</v>
      </c>
      <c r="N122" s="88">
        <v>1000</v>
      </c>
      <c r="O122" s="88">
        <v>200</v>
      </c>
      <c r="P122" s="88">
        <v>1000</v>
      </c>
      <c r="Q122" s="89">
        <f t="shared" si="128"/>
        <v>5200</v>
      </c>
      <c r="R122" s="88"/>
      <c r="S122" s="88"/>
      <c r="T122" s="88"/>
      <c r="U122" s="88"/>
      <c r="V122" s="89">
        <f t="shared" si="129"/>
        <v>0</v>
      </c>
      <c r="W122" s="88">
        <v>0</v>
      </c>
      <c r="X122" s="88">
        <v>4400</v>
      </c>
      <c r="Y122" s="88"/>
      <c r="Z122" s="88"/>
      <c r="AA122" s="89">
        <f t="shared" si="130"/>
        <v>4400</v>
      </c>
      <c r="AB122" s="88"/>
      <c r="AC122" s="88"/>
      <c r="AD122" s="88"/>
      <c r="AE122" s="88"/>
      <c r="AF122" s="88"/>
      <c r="AG122" s="89">
        <f t="shared" si="131"/>
        <v>0</v>
      </c>
      <c r="AH122" s="88"/>
      <c r="AI122" s="88"/>
      <c r="AJ122" s="88"/>
      <c r="AK122" s="88"/>
      <c r="AL122" s="89">
        <f t="shared" si="132"/>
        <v>0</v>
      </c>
      <c r="AM122" s="88"/>
      <c r="AN122" s="88"/>
      <c r="AO122" s="88"/>
      <c r="AP122" s="88"/>
      <c r="AQ122" s="88"/>
      <c r="AR122" s="89">
        <f t="shared" si="133"/>
        <v>0</v>
      </c>
      <c r="AS122" s="88"/>
      <c r="AT122" s="88"/>
      <c r="AU122" s="88"/>
      <c r="AV122" s="88"/>
      <c r="AW122" s="89">
        <f t="shared" si="134"/>
        <v>0</v>
      </c>
      <c r="AX122" s="88"/>
      <c r="AY122" s="88"/>
      <c r="AZ122" s="88"/>
      <c r="BA122" s="88"/>
      <c r="BB122" s="89">
        <f t="shared" si="135"/>
        <v>0</v>
      </c>
      <c r="BC122" s="88"/>
      <c r="BD122" s="88"/>
      <c r="BE122" s="88"/>
      <c r="BF122" s="88"/>
      <c r="BG122" s="88"/>
      <c r="BH122" s="89">
        <f t="shared" si="136"/>
        <v>0</v>
      </c>
      <c r="BI122" s="88"/>
      <c r="BJ122" s="88"/>
      <c r="BK122" s="88"/>
      <c r="BL122" s="88"/>
      <c r="BM122" s="89">
        <f t="shared" si="137"/>
        <v>0</v>
      </c>
    </row>
    <row r="123" spans="1:65" ht="15.75" customHeight="1" x14ac:dyDescent="0.25">
      <c r="A123" s="90" t="s">
        <v>137</v>
      </c>
      <c r="B123" s="88">
        <v>200</v>
      </c>
      <c r="C123" s="88">
        <v>200</v>
      </c>
      <c r="D123" s="88">
        <v>0</v>
      </c>
      <c r="E123" s="88">
        <v>200</v>
      </c>
      <c r="F123" s="89">
        <f t="shared" si="126"/>
        <v>600</v>
      </c>
      <c r="G123" s="88">
        <v>0</v>
      </c>
      <c r="H123" s="88">
        <v>0</v>
      </c>
      <c r="I123" s="88">
        <v>200</v>
      </c>
      <c r="J123" s="88">
        <v>200</v>
      </c>
      <c r="K123" s="89">
        <f t="shared" si="127"/>
        <v>400</v>
      </c>
      <c r="L123" s="88">
        <v>0</v>
      </c>
      <c r="M123" s="88">
        <v>800</v>
      </c>
      <c r="N123" s="88">
        <v>0</v>
      </c>
      <c r="O123" s="88">
        <v>200</v>
      </c>
      <c r="P123" s="88">
        <v>0</v>
      </c>
      <c r="Q123" s="89">
        <f t="shared" si="128"/>
        <v>1000</v>
      </c>
      <c r="R123" s="88"/>
      <c r="S123" s="88"/>
      <c r="T123" s="88"/>
      <c r="U123" s="88"/>
      <c r="V123" s="89">
        <f t="shared" si="129"/>
        <v>0</v>
      </c>
      <c r="W123" s="88">
        <v>0</v>
      </c>
      <c r="X123" s="88">
        <v>0</v>
      </c>
      <c r="Y123" s="88"/>
      <c r="Z123" s="88"/>
      <c r="AA123" s="89">
        <f t="shared" si="130"/>
        <v>0</v>
      </c>
      <c r="AB123" s="88"/>
      <c r="AC123" s="88"/>
      <c r="AD123" s="88"/>
      <c r="AE123" s="88"/>
      <c r="AF123" s="88"/>
      <c r="AG123" s="89">
        <f t="shared" si="131"/>
        <v>0</v>
      </c>
      <c r="AH123" s="88"/>
      <c r="AI123" s="88"/>
      <c r="AJ123" s="88"/>
      <c r="AK123" s="88"/>
      <c r="AL123" s="89">
        <f t="shared" si="132"/>
        <v>0</v>
      </c>
      <c r="AM123" s="88"/>
      <c r="AN123" s="88"/>
      <c r="AO123" s="88"/>
      <c r="AP123" s="88"/>
      <c r="AQ123" s="88"/>
      <c r="AR123" s="89">
        <f t="shared" si="133"/>
        <v>0</v>
      </c>
      <c r="AS123" s="88"/>
      <c r="AT123" s="88"/>
      <c r="AU123" s="88"/>
      <c r="AV123" s="88"/>
      <c r="AW123" s="89">
        <f t="shared" si="134"/>
        <v>0</v>
      </c>
      <c r="AX123" s="88"/>
      <c r="AY123" s="88"/>
      <c r="AZ123" s="88"/>
      <c r="BA123" s="88"/>
      <c r="BB123" s="89">
        <f t="shared" si="135"/>
        <v>0</v>
      </c>
      <c r="BC123" s="88"/>
      <c r="BD123" s="88"/>
      <c r="BE123" s="88"/>
      <c r="BF123" s="88"/>
      <c r="BG123" s="88"/>
      <c r="BH123" s="89">
        <f t="shared" si="136"/>
        <v>0</v>
      </c>
      <c r="BI123" s="88"/>
      <c r="BJ123" s="88"/>
      <c r="BK123" s="88"/>
      <c r="BL123" s="88"/>
      <c r="BM123" s="89">
        <f t="shared" si="137"/>
        <v>0</v>
      </c>
    </row>
    <row r="124" spans="1:65" ht="15.75" customHeight="1" x14ac:dyDescent="0.25">
      <c r="A124" s="91" t="s">
        <v>550</v>
      </c>
      <c r="B124" s="88">
        <v>100</v>
      </c>
      <c r="C124" s="88">
        <v>0</v>
      </c>
      <c r="D124" s="88">
        <v>0</v>
      </c>
      <c r="E124" s="88">
        <v>0</v>
      </c>
      <c r="F124" s="89">
        <f t="shared" si="126"/>
        <v>100</v>
      </c>
      <c r="G124" s="88">
        <v>0</v>
      </c>
      <c r="H124" s="88">
        <v>0</v>
      </c>
      <c r="I124" s="88">
        <v>100</v>
      </c>
      <c r="J124" s="88">
        <v>0</v>
      </c>
      <c r="K124" s="89">
        <f t="shared" si="127"/>
        <v>100</v>
      </c>
      <c r="L124" s="88">
        <v>200</v>
      </c>
      <c r="M124" s="88">
        <v>0</v>
      </c>
      <c r="N124" s="88">
        <v>100</v>
      </c>
      <c r="O124" s="88">
        <v>0</v>
      </c>
      <c r="P124" s="88">
        <v>200</v>
      </c>
      <c r="Q124" s="89">
        <f t="shared" si="128"/>
        <v>500</v>
      </c>
      <c r="R124" s="88"/>
      <c r="S124" s="88"/>
      <c r="T124" s="88"/>
      <c r="U124" s="88"/>
      <c r="V124" s="89">
        <f t="shared" si="129"/>
        <v>0</v>
      </c>
      <c r="W124" s="88">
        <v>0</v>
      </c>
      <c r="X124" s="88">
        <v>0</v>
      </c>
      <c r="Y124" s="88"/>
      <c r="Z124" s="88"/>
      <c r="AA124" s="89">
        <f t="shared" si="130"/>
        <v>0</v>
      </c>
      <c r="AB124" s="88"/>
      <c r="AC124" s="88"/>
      <c r="AD124" s="88"/>
      <c r="AE124" s="88"/>
      <c r="AF124" s="88"/>
      <c r="AG124" s="89">
        <f t="shared" si="131"/>
        <v>0</v>
      </c>
      <c r="AH124" s="88"/>
      <c r="AI124" s="88"/>
      <c r="AJ124" s="88"/>
      <c r="AK124" s="88"/>
      <c r="AL124" s="89">
        <f t="shared" si="132"/>
        <v>0</v>
      </c>
      <c r="AM124" s="88"/>
      <c r="AN124" s="88"/>
      <c r="AO124" s="88"/>
      <c r="AP124" s="88"/>
      <c r="AQ124" s="88"/>
      <c r="AR124" s="89">
        <f t="shared" si="133"/>
        <v>0</v>
      </c>
      <c r="AS124" s="88"/>
      <c r="AT124" s="88"/>
      <c r="AU124" s="88"/>
      <c r="AV124" s="88"/>
      <c r="AW124" s="89">
        <f t="shared" si="134"/>
        <v>0</v>
      </c>
      <c r="AX124" s="88"/>
      <c r="AY124" s="88"/>
      <c r="AZ124" s="88"/>
      <c r="BA124" s="88"/>
      <c r="BB124" s="89">
        <f t="shared" si="135"/>
        <v>0</v>
      </c>
      <c r="BC124" s="88"/>
      <c r="BD124" s="88"/>
      <c r="BE124" s="88"/>
      <c r="BF124" s="88"/>
      <c r="BG124" s="88"/>
      <c r="BH124" s="89">
        <f t="shared" si="136"/>
        <v>0</v>
      </c>
      <c r="BI124" s="88"/>
      <c r="BJ124" s="88"/>
      <c r="BK124" s="88"/>
      <c r="BL124" s="88"/>
      <c r="BM124" s="89">
        <f t="shared" si="137"/>
        <v>0</v>
      </c>
    </row>
    <row r="125" spans="1:65" ht="15.75" customHeight="1" x14ac:dyDescent="0.25">
      <c r="A125" s="92" t="s">
        <v>446</v>
      </c>
      <c r="B125" s="88">
        <v>0</v>
      </c>
      <c r="C125" s="88">
        <v>0</v>
      </c>
      <c r="D125" s="88">
        <v>0</v>
      </c>
      <c r="E125" s="88">
        <v>0</v>
      </c>
      <c r="F125" s="89">
        <f t="shared" si="126"/>
        <v>0</v>
      </c>
      <c r="G125" s="88">
        <v>200</v>
      </c>
      <c r="H125" s="88">
        <v>0</v>
      </c>
      <c r="I125" s="88">
        <v>0</v>
      </c>
      <c r="J125" s="88">
        <v>0</v>
      </c>
      <c r="K125" s="89">
        <f t="shared" si="127"/>
        <v>200</v>
      </c>
      <c r="L125" s="88">
        <v>0</v>
      </c>
      <c r="M125" s="88">
        <v>0</v>
      </c>
      <c r="N125" s="88">
        <v>0</v>
      </c>
      <c r="O125" s="88">
        <v>0</v>
      </c>
      <c r="P125" s="88">
        <v>0</v>
      </c>
      <c r="Q125" s="89">
        <f t="shared" si="128"/>
        <v>0</v>
      </c>
      <c r="R125" s="88"/>
      <c r="S125" s="88"/>
      <c r="T125" s="88"/>
      <c r="U125" s="88"/>
      <c r="V125" s="89">
        <f t="shared" si="129"/>
        <v>0</v>
      </c>
      <c r="W125" s="88">
        <v>0</v>
      </c>
      <c r="X125" s="88">
        <v>0</v>
      </c>
      <c r="Y125" s="88"/>
      <c r="Z125" s="88"/>
      <c r="AA125" s="89">
        <f t="shared" si="130"/>
        <v>0</v>
      </c>
      <c r="AB125" s="88"/>
      <c r="AC125" s="88"/>
      <c r="AD125" s="88"/>
      <c r="AE125" s="88"/>
      <c r="AF125" s="88"/>
      <c r="AG125" s="89">
        <f t="shared" si="131"/>
        <v>0</v>
      </c>
      <c r="AH125" s="88"/>
      <c r="AI125" s="88"/>
      <c r="AJ125" s="88"/>
      <c r="AK125" s="88"/>
      <c r="AL125" s="89">
        <f t="shared" si="132"/>
        <v>0</v>
      </c>
      <c r="AM125" s="88"/>
      <c r="AN125" s="88"/>
      <c r="AO125" s="88"/>
      <c r="AP125" s="88"/>
      <c r="AQ125" s="88"/>
      <c r="AR125" s="89">
        <f t="shared" si="133"/>
        <v>0</v>
      </c>
      <c r="AS125" s="88"/>
      <c r="AT125" s="88"/>
      <c r="AU125" s="88"/>
      <c r="AV125" s="88"/>
      <c r="AW125" s="89">
        <f t="shared" si="134"/>
        <v>0</v>
      </c>
      <c r="AX125" s="88"/>
      <c r="AY125" s="88"/>
      <c r="AZ125" s="88"/>
      <c r="BA125" s="88"/>
      <c r="BB125" s="89">
        <f t="shared" si="135"/>
        <v>0</v>
      </c>
      <c r="BC125" s="88"/>
      <c r="BD125" s="88"/>
      <c r="BE125" s="88"/>
      <c r="BF125" s="88"/>
      <c r="BG125" s="88"/>
      <c r="BH125" s="89">
        <f t="shared" si="136"/>
        <v>0</v>
      </c>
      <c r="BI125" s="88"/>
      <c r="BJ125" s="88"/>
      <c r="BK125" s="88"/>
      <c r="BL125" s="88"/>
      <c r="BM125" s="89">
        <f t="shared" si="137"/>
        <v>0</v>
      </c>
    </row>
    <row r="126" spans="1:65" ht="15.75" customHeight="1" x14ac:dyDescent="0.25">
      <c r="A126" s="92" t="s">
        <v>551</v>
      </c>
      <c r="B126" s="196">
        <v>0</v>
      </c>
      <c r="C126" s="88">
        <v>0</v>
      </c>
      <c r="D126" s="88">
        <v>0</v>
      </c>
      <c r="E126" s="88">
        <v>0</v>
      </c>
      <c r="F126" s="89">
        <f t="shared" si="126"/>
        <v>0</v>
      </c>
      <c r="G126" s="88">
        <v>0</v>
      </c>
      <c r="H126" s="88">
        <v>0</v>
      </c>
      <c r="I126" s="88">
        <v>0</v>
      </c>
      <c r="J126" s="88">
        <v>0</v>
      </c>
      <c r="K126" s="89">
        <f t="shared" si="127"/>
        <v>0</v>
      </c>
      <c r="L126" s="88">
        <v>0</v>
      </c>
      <c r="M126" s="88">
        <v>0</v>
      </c>
      <c r="N126" s="88">
        <v>0</v>
      </c>
      <c r="O126" s="88">
        <v>0</v>
      </c>
      <c r="P126" s="88">
        <v>0</v>
      </c>
      <c r="Q126" s="89">
        <f t="shared" si="128"/>
        <v>0</v>
      </c>
      <c r="R126" s="88"/>
      <c r="S126" s="88"/>
      <c r="T126" s="88"/>
      <c r="U126" s="88"/>
      <c r="V126" s="89">
        <f t="shared" si="129"/>
        <v>0</v>
      </c>
      <c r="W126" s="88">
        <v>0</v>
      </c>
      <c r="X126" s="88">
        <v>0</v>
      </c>
      <c r="Y126" s="88"/>
      <c r="Z126" s="88"/>
      <c r="AA126" s="89">
        <f t="shared" si="130"/>
        <v>0</v>
      </c>
      <c r="AB126" s="88"/>
      <c r="AC126" s="88"/>
      <c r="AD126" s="88"/>
      <c r="AE126" s="88"/>
      <c r="AF126" s="88"/>
      <c r="AG126" s="89">
        <f t="shared" si="131"/>
        <v>0</v>
      </c>
      <c r="AH126" s="88"/>
      <c r="AI126" s="88"/>
      <c r="AJ126" s="88"/>
      <c r="AK126" s="88"/>
      <c r="AL126" s="89">
        <f t="shared" si="132"/>
        <v>0</v>
      </c>
      <c r="AM126" s="88"/>
      <c r="AN126" s="88"/>
      <c r="AO126" s="88"/>
      <c r="AP126" s="88"/>
      <c r="AQ126" s="88"/>
      <c r="AR126" s="89">
        <f t="shared" si="133"/>
        <v>0</v>
      </c>
      <c r="AS126" s="88"/>
      <c r="AT126" s="88"/>
      <c r="AU126" s="88"/>
      <c r="AV126" s="88"/>
      <c r="AW126" s="89">
        <f t="shared" si="134"/>
        <v>0</v>
      </c>
      <c r="AX126" s="88"/>
      <c r="AY126" s="88"/>
      <c r="AZ126" s="88"/>
      <c r="BA126" s="88"/>
      <c r="BB126" s="89">
        <f t="shared" si="135"/>
        <v>0</v>
      </c>
      <c r="BC126" s="88"/>
      <c r="BD126" s="88"/>
      <c r="BE126" s="88"/>
      <c r="BF126" s="88"/>
      <c r="BG126" s="88"/>
      <c r="BH126" s="89">
        <f t="shared" si="136"/>
        <v>0</v>
      </c>
      <c r="BI126" s="88"/>
      <c r="BJ126" s="88"/>
      <c r="BK126" s="88"/>
      <c r="BL126" s="88"/>
      <c r="BM126" s="89">
        <f t="shared" si="137"/>
        <v>0</v>
      </c>
    </row>
    <row r="127" spans="1:65" ht="15.75" customHeight="1" x14ac:dyDescent="0.25">
      <c r="A127" s="92" t="s">
        <v>552</v>
      </c>
      <c r="B127" s="196">
        <v>0</v>
      </c>
      <c r="C127" s="88">
        <v>0</v>
      </c>
      <c r="D127" s="88">
        <v>0</v>
      </c>
      <c r="E127" s="88">
        <v>0</v>
      </c>
      <c r="F127" s="89">
        <f t="shared" si="126"/>
        <v>0</v>
      </c>
      <c r="G127" s="88">
        <v>0</v>
      </c>
      <c r="H127" s="88">
        <v>0</v>
      </c>
      <c r="I127" s="88">
        <v>0</v>
      </c>
      <c r="J127" s="88">
        <v>0</v>
      </c>
      <c r="K127" s="89">
        <f t="shared" si="127"/>
        <v>0</v>
      </c>
      <c r="L127" s="88">
        <v>0</v>
      </c>
      <c r="M127" s="88">
        <v>0</v>
      </c>
      <c r="N127" s="88">
        <v>0</v>
      </c>
      <c r="O127" s="88">
        <v>0</v>
      </c>
      <c r="P127" s="88">
        <v>0</v>
      </c>
      <c r="Q127" s="89">
        <f t="shared" si="128"/>
        <v>0</v>
      </c>
      <c r="R127" s="88"/>
      <c r="S127" s="88"/>
      <c r="T127" s="88"/>
      <c r="U127" s="88"/>
      <c r="V127" s="89">
        <f t="shared" si="129"/>
        <v>0</v>
      </c>
      <c r="W127" s="88">
        <v>0</v>
      </c>
      <c r="X127" s="88">
        <v>0</v>
      </c>
      <c r="Y127" s="88"/>
      <c r="Z127" s="88"/>
      <c r="AA127" s="89">
        <f t="shared" si="130"/>
        <v>0</v>
      </c>
      <c r="AB127" s="88"/>
      <c r="AC127" s="88"/>
      <c r="AD127" s="88"/>
      <c r="AE127" s="88"/>
      <c r="AF127" s="88"/>
      <c r="AG127" s="89">
        <f t="shared" si="131"/>
        <v>0</v>
      </c>
      <c r="AH127" s="88"/>
      <c r="AI127" s="88"/>
      <c r="AJ127" s="88"/>
      <c r="AK127" s="88"/>
      <c r="AL127" s="89">
        <f t="shared" si="132"/>
        <v>0</v>
      </c>
      <c r="AM127" s="88"/>
      <c r="AN127" s="88"/>
      <c r="AO127" s="88"/>
      <c r="AP127" s="88"/>
      <c r="AQ127" s="88"/>
      <c r="AR127" s="89">
        <f t="shared" si="133"/>
        <v>0</v>
      </c>
      <c r="AS127" s="88"/>
      <c r="AT127" s="88"/>
      <c r="AU127" s="88"/>
      <c r="AV127" s="88"/>
      <c r="AW127" s="89">
        <f t="shared" si="134"/>
        <v>0</v>
      </c>
      <c r="AX127" s="88"/>
      <c r="AY127" s="88"/>
      <c r="AZ127" s="88"/>
      <c r="BA127" s="88"/>
      <c r="BB127" s="89">
        <f t="shared" si="135"/>
        <v>0</v>
      </c>
      <c r="BC127" s="88"/>
      <c r="BD127" s="88"/>
      <c r="BE127" s="88"/>
      <c r="BF127" s="88"/>
      <c r="BG127" s="88"/>
      <c r="BH127" s="89">
        <f t="shared" si="136"/>
        <v>0</v>
      </c>
      <c r="BI127" s="88"/>
      <c r="BJ127" s="88"/>
      <c r="BK127" s="88"/>
      <c r="BL127" s="88"/>
      <c r="BM127" s="89">
        <f t="shared" si="137"/>
        <v>0</v>
      </c>
    </row>
    <row r="128" spans="1:65" ht="15.75" customHeight="1" x14ac:dyDescent="0.25">
      <c r="A128" s="92" t="s">
        <v>553</v>
      </c>
      <c r="B128" s="196">
        <v>0</v>
      </c>
      <c r="C128" s="88">
        <v>0</v>
      </c>
      <c r="D128" s="88">
        <v>0</v>
      </c>
      <c r="E128" s="88">
        <v>0</v>
      </c>
      <c r="F128" s="89">
        <f t="shared" si="126"/>
        <v>0</v>
      </c>
      <c r="G128" s="88">
        <v>0</v>
      </c>
      <c r="H128" s="88">
        <v>0</v>
      </c>
      <c r="I128" s="88">
        <v>0</v>
      </c>
      <c r="J128" s="88">
        <v>0</v>
      </c>
      <c r="K128" s="89">
        <f t="shared" si="127"/>
        <v>0</v>
      </c>
      <c r="L128" s="88">
        <v>0</v>
      </c>
      <c r="M128" s="88">
        <v>0</v>
      </c>
      <c r="N128" s="88">
        <v>0</v>
      </c>
      <c r="O128" s="88">
        <v>0</v>
      </c>
      <c r="P128" s="88">
        <v>0</v>
      </c>
      <c r="Q128" s="89">
        <f t="shared" si="128"/>
        <v>0</v>
      </c>
      <c r="R128" s="88"/>
      <c r="S128" s="88"/>
      <c r="T128" s="88"/>
      <c r="U128" s="88"/>
      <c r="V128" s="89">
        <f t="shared" si="129"/>
        <v>0</v>
      </c>
      <c r="W128" s="88">
        <v>0</v>
      </c>
      <c r="X128" s="88">
        <v>0</v>
      </c>
      <c r="Y128" s="88"/>
      <c r="Z128" s="88"/>
      <c r="AA128" s="89">
        <f t="shared" si="130"/>
        <v>0</v>
      </c>
      <c r="AB128" s="88"/>
      <c r="AC128" s="88"/>
      <c r="AD128" s="88"/>
      <c r="AE128" s="88"/>
      <c r="AF128" s="88"/>
      <c r="AG128" s="89">
        <f t="shared" si="131"/>
        <v>0</v>
      </c>
      <c r="AH128" s="88"/>
      <c r="AI128" s="88"/>
      <c r="AJ128" s="88"/>
      <c r="AK128" s="88"/>
      <c r="AL128" s="89">
        <f t="shared" si="132"/>
        <v>0</v>
      </c>
      <c r="AM128" s="88"/>
      <c r="AN128" s="88"/>
      <c r="AO128" s="88"/>
      <c r="AP128" s="88"/>
      <c r="AQ128" s="88"/>
      <c r="AR128" s="89">
        <f t="shared" si="133"/>
        <v>0</v>
      </c>
      <c r="AS128" s="88"/>
      <c r="AT128" s="88"/>
      <c r="AU128" s="88"/>
      <c r="AV128" s="88"/>
      <c r="AW128" s="89">
        <f t="shared" si="134"/>
        <v>0</v>
      </c>
      <c r="AX128" s="88"/>
      <c r="AY128" s="88"/>
      <c r="AZ128" s="88"/>
      <c r="BA128" s="88"/>
      <c r="BB128" s="89">
        <f t="shared" si="135"/>
        <v>0</v>
      </c>
      <c r="BC128" s="88"/>
      <c r="BD128" s="88"/>
      <c r="BE128" s="88"/>
      <c r="BF128" s="88"/>
      <c r="BG128" s="88"/>
      <c r="BH128" s="89">
        <f t="shared" si="136"/>
        <v>0</v>
      </c>
      <c r="BI128" s="88"/>
      <c r="BJ128" s="88"/>
      <c r="BK128" s="88"/>
      <c r="BL128" s="88"/>
      <c r="BM128" s="89">
        <f t="shared" si="137"/>
        <v>0</v>
      </c>
    </row>
    <row r="129" spans="1:65" ht="15" customHeight="1" x14ac:dyDescent="0.25">
      <c r="A129" s="92" t="s">
        <v>459</v>
      </c>
      <c r="B129" s="196">
        <v>1600</v>
      </c>
      <c r="C129" s="196">
        <v>0</v>
      </c>
      <c r="D129" s="196">
        <v>400</v>
      </c>
      <c r="E129" s="196">
        <v>1000</v>
      </c>
      <c r="F129" s="89">
        <f t="shared" si="126"/>
        <v>3000</v>
      </c>
      <c r="G129" s="196">
        <v>200</v>
      </c>
      <c r="H129" s="196">
        <v>600</v>
      </c>
      <c r="I129" s="196">
        <v>200</v>
      </c>
      <c r="J129" s="196">
        <v>400</v>
      </c>
      <c r="K129" s="89">
        <f t="shared" si="127"/>
        <v>1400</v>
      </c>
      <c r="L129" s="196">
        <v>600</v>
      </c>
      <c r="M129" s="196">
        <v>400</v>
      </c>
      <c r="N129" s="196">
        <v>800</v>
      </c>
      <c r="O129" s="196">
        <v>800</v>
      </c>
      <c r="P129" s="196">
        <v>400</v>
      </c>
      <c r="Q129" s="89">
        <f t="shared" si="128"/>
        <v>3000</v>
      </c>
      <c r="R129" s="196"/>
      <c r="S129" s="196"/>
      <c r="T129" s="196"/>
      <c r="U129" s="196"/>
      <c r="V129" s="89">
        <f t="shared" si="129"/>
        <v>0</v>
      </c>
      <c r="W129" s="196">
        <v>0</v>
      </c>
      <c r="X129" s="196">
        <v>0</v>
      </c>
      <c r="Y129" s="196"/>
      <c r="Z129" s="196"/>
      <c r="AA129" s="89">
        <f t="shared" si="130"/>
        <v>0</v>
      </c>
      <c r="AB129" s="196"/>
      <c r="AC129" s="196"/>
      <c r="AD129" s="196"/>
      <c r="AE129" s="196"/>
      <c r="AF129" s="196"/>
      <c r="AG129" s="89">
        <f t="shared" si="131"/>
        <v>0</v>
      </c>
      <c r="AH129" s="196"/>
      <c r="AI129" s="196"/>
      <c r="AJ129" s="196"/>
      <c r="AK129" s="196"/>
      <c r="AL129" s="89">
        <f t="shared" si="132"/>
        <v>0</v>
      </c>
      <c r="AM129" s="88"/>
      <c r="AN129" s="88"/>
      <c r="AO129" s="88"/>
      <c r="AP129" s="88"/>
      <c r="AQ129" s="88"/>
      <c r="AR129" s="89">
        <f t="shared" si="133"/>
        <v>0</v>
      </c>
      <c r="AS129" s="88"/>
      <c r="AT129" s="88"/>
      <c r="AU129" s="88"/>
      <c r="AV129" s="88"/>
      <c r="AW129" s="89">
        <f t="shared" si="134"/>
        <v>0</v>
      </c>
      <c r="AX129" s="88"/>
      <c r="AY129" s="88"/>
      <c r="AZ129" s="88"/>
      <c r="BA129" s="88"/>
      <c r="BB129" s="89">
        <f t="shared" si="135"/>
        <v>0</v>
      </c>
      <c r="BC129" s="88"/>
      <c r="BD129" s="88"/>
      <c r="BE129" s="88"/>
      <c r="BF129" s="88"/>
      <c r="BG129" s="88"/>
      <c r="BH129" s="89">
        <f t="shared" si="136"/>
        <v>0</v>
      </c>
      <c r="BI129" s="88"/>
      <c r="BJ129" s="88"/>
      <c r="BK129" s="88"/>
      <c r="BL129" s="88"/>
      <c r="BM129" s="89">
        <f t="shared" si="137"/>
        <v>0</v>
      </c>
    </row>
    <row r="130" spans="1:65" ht="15.75" customHeight="1" x14ac:dyDescent="0.25">
      <c r="A130" s="92" t="s">
        <v>461</v>
      </c>
      <c r="B130" s="196">
        <v>200</v>
      </c>
      <c r="C130" s="196">
        <v>0</v>
      </c>
      <c r="D130" s="196">
        <v>0</v>
      </c>
      <c r="E130" s="196">
        <v>0</v>
      </c>
      <c r="F130" s="89">
        <f t="shared" si="126"/>
        <v>200</v>
      </c>
      <c r="G130" s="196">
        <v>200</v>
      </c>
      <c r="H130" s="196">
        <v>0</v>
      </c>
      <c r="I130" s="196">
        <v>200</v>
      </c>
      <c r="J130" s="196">
        <v>0</v>
      </c>
      <c r="K130" s="89">
        <f t="shared" si="127"/>
        <v>400</v>
      </c>
      <c r="L130" s="196">
        <v>0</v>
      </c>
      <c r="M130" s="196">
        <v>0</v>
      </c>
      <c r="N130" s="196">
        <v>0</v>
      </c>
      <c r="O130" s="196">
        <v>0</v>
      </c>
      <c r="P130" s="196">
        <v>0</v>
      </c>
      <c r="Q130" s="89">
        <f t="shared" si="128"/>
        <v>0</v>
      </c>
      <c r="R130" s="196"/>
      <c r="S130" s="196"/>
      <c r="T130" s="196"/>
      <c r="U130" s="196"/>
      <c r="V130" s="89">
        <f t="shared" si="129"/>
        <v>0</v>
      </c>
      <c r="W130" s="196">
        <v>200</v>
      </c>
      <c r="X130" s="196">
        <v>0</v>
      </c>
      <c r="Y130" s="196"/>
      <c r="Z130" s="196"/>
      <c r="AA130" s="89">
        <f t="shared" si="130"/>
        <v>200</v>
      </c>
      <c r="AB130" s="196"/>
      <c r="AC130" s="196"/>
      <c r="AD130" s="196"/>
      <c r="AE130" s="196"/>
      <c r="AF130" s="196"/>
      <c r="AG130" s="89">
        <f t="shared" si="131"/>
        <v>0</v>
      </c>
      <c r="AH130" s="196"/>
      <c r="AI130" s="196"/>
      <c r="AJ130" s="196"/>
      <c r="AK130" s="196"/>
      <c r="AL130" s="89">
        <f t="shared" si="132"/>
        <v>0</v>
      </c>
      <c r="AM130" s="88"/>
      <c r="AN130" s="88"/>
      <c r="AO130" s="88"/>
      <c r="AP130" s="88"/>
      <c r="AQ130" s="88"/>
      <c r="AR130" s="89">
        <f t="shared" si="133"/>
        <v>0</v>
      </c>
      <c r="AS130" s="88"/>
      <c r="AT130" s="88"/>
      <c r="AU130" s="88"/>
      <c r="AV130" s="88"/>
      <c r="AW130" s="89">
        <f t="shared" si="134"/>
        <v>0</v>
      </c>
      <c r="AX130" s="88"/>
      <c r="AY130" s="88"/>
      <c r="AZ130" s="88"/>
      <c r="BA130" s="88"/>
      <c r="BB130" s="89">
        <f t="shared" si="135"/>
        <v>0</v>
      </c>
      <c r="BC130" s="88"/>
      <c r="BD130" s="88"/>
      <c r="BE130" s="88"/>
      <c r="BF130" s="88"/>
      <c r="BG130" s="88"/>
      <c r="BH130" s="89">
        <f t="shared" si="136"/>
        <v>0</v>
      </c>
      <c r="BI130" s="88"/>
      <c r="BJ130" s="88"/>
      <c r="BK130" s="88"/>
      <c r="BL130" s="88"/>
      <c r="BM130" s="89">
        <f t="shared" si="137"/>
        <v>0</v>
      </c>
    </row>
    <row r="131" spans="1:65" ht="15.75" customHeight="1" x14ac:dyDescent="0.25">
      <c r="A131" s="92" t="s">
        <v>462</v>
      </c>
      <c r="B131" s="196">
        <v>0</v>
      </c>
      <c r="C131" s="196">
        <v>0</v>
      </c>
      <c r="D131" s="196">
        <v>0</v>
      </c>
      <c r="E131" s="196">
        <v>0</v>
      </c>
      <c r="F131" s="89">
        <f t="shared" si="126"/>
        <v>0</v>
      </c>
      <c r="G131" s="196">
        <v>0</v>
      </c>
      <c r="H131" s="196">
        <v>0</v>
      </c>
      <c r="I131" s="196">
        <v>0</v>
      </c>
      <c r="J131" s="196">
        <v>100</v>
      </c>
      <c r="K131" s="89">
        <f t="shared" si="127"/>
        <v>100</v>
      </c>
      <c r="L131" s="196">
        <v>0</v>
      </c>
      <c r="M131" s="196">
        <v>0</v>
      </c>
      <c r="N131" s="196">
        <v>0</v>
      </c>
      <c r="O131" s="196">
        <v>0</v>
      </c>
      <c r="P131" s="196">
        <v>0</v>
      </c>
      <c r="Q131" s="89">
        <f t="shared" si="128"/>
        <v>0</v>
      </c>
      <c r="R131" s="196"/>
      <c r="S131" s="196"/>
      <c r="T131" s="196"/>
      <c r="U131" s="196"/>
      <c r="V131" s="89">
        <f t="shared" si="129"/>
        <v>0</v>
      </c>
      <c r="W131" s="196">
        <v>0</v>
      </c>
      <c r="X131" s="196">
        <v>0</v>
      </c>
      <c r="Y131" s="196"/>
      <c r="Z131" s="196"/>
      <c r="AA131" s="89">
        <f t="shared" si="130"/>
        <v>0</v>
      </c>
      <c r="AB131" s="196"/>
      <c r="AC131" s="196"/>
      <c r="AD131" s="196"/>
      <c r="AE131" s="196"/>
      <c r="AF131" s="196"/>
      <c r="AG131" s="89">
        <f t="shared" si="131"/>
        <v>0</v>
      </c>
      <c r="AH131" s="196"/>
      <c r="AI131" s="196"/>
      <c r="AJ131" s="196"/>
      <c r="AK131" s="196"/>
      <c r="AL131" s="89">
        <f t="shared" si="132"/>
        <v>0</v>
      </c>
      <c r="AM131" s="88"/>
      <c r="AN131" s="88"/>
      <c r="AO131" s="88"/>
      <c r="AP131" s="88"/>
      <c r="AQ131" s="88"/>
      <c r="AR131" s="89">
        <f t="shared" si="133"/>
        <v>0</v>
      </c>
      <c r="AS131" s="88"/>
      <c r="AT131" s="88"/>
      <c r="AU131" s="88"/>
      <c r="AV131" s="88"/>
      <c r="AW131" s="89">
        <f t="shared" si="134"/>
        <v>0</v>
      </c>
      <c r="AX131" s="88"/>
      <c r="AY131" s="88"/>
      <c r="AZ131" s="88"/>
      <c r="BA131" s="88"/>
      <c r="BB131" s="89">
        <f t="shared" si="135"/>
        <v>0</v>
      </c>
      <c r="BC131" s="88"/>
      <c r="BD131" s="88"/>
      <c r="BE131" s="88"/>
      <c r="BF131" s="88"/>
      <c r="BG131" s="88"/>
      <c r="BH131" s="89">
        <f t="shared" si="136"/>
        <v>0</v>
      </c>
      <c r="BI131" s="88"/>
      <c r="BJ131" s="88"/>
      <c r="BK131" s="88"/>
      <c r="BL131" s="88"/>
      <c r="BM131" s="89">
        <f t="shared" si="137"/>
        <v>0</v>
      </c>
    </row>
    <row r="132" spans="1:65" ht="15.75" customHeight="1" x14ac:dyDescent="0.25">
      <c r="A132" s="92" t="s">
        <v>554</v>
      </c>
      <c r="B132" s="88">
        <v>75</v>
      </c>
      <c r="C132" s="88">
        <v>75</v>
      </c>
      <c r="D132" s="88">
        <v>350</v>
      </c>
      <c r="E132" s="88">
        <v>425</v>
      </c>
      <c r="F132" s="89">
        <f t="shared" si="126"/>
        <v>925</v>
      </c>
      <c r="G132" s="88">
        <v>25</v>
      </c>
      <c r="H132" s="88">
        <v>75</v>
      </c>
      <c r="I132" s="88">
        <v>200</v>
      </c>
      <c r="J132" s="88">
        <v>75</v>
      </c>
      <c r="K132" s="89">
        <f t="shared" si="127"/>
        <v>375</v>
      </c>
      <c r="L132" s="88">
        <v>150</v>
      </c>
      <c r="M132" s="88">
        <v>175</v>
      </c>
      <c r="N132" s="88">
        <v>150</v>
      </c>
      <c r="O132" s="88">
        <v>150</v>
      </c>
      <c r="P132" s="88">
        <v>175</v>
      </c>
      <c r="Q132" s="89">
        <f t="shared" si="128"/>
        <v>800</v>
      </c>
      <c r="R132" s="88"/>
      <c r="S132" s="88"/>
      <c r="T132" s="88"/>
      <c r="U132" s="88"/>
      <c r="V132" s="89">
        <f t="shared" si="129"/>
        <v>0</v>
      </c>
      <c r="W132" s="88">
        <v>225</v>
      </c>
      <c r="X132" s="88">
        <v>200</v>
      </c>
      <c r="Y132" s="88"/>
      <c r="Z132" s="88"/>
      <c r="AA132" s="89">
        <f t="shared" si="130"/>
        <v>425</v>
      </c>
      <c r="AB132" s="88"/>
      <c r="AC132" s="88"/>
      <c r="AD132" s="88"/>
      <c r="AE132" s="88"/>
      <c r="AF132" s="88"/>
      <c r="AG132" s="89">
        <f t="shared" si="131"/>
        <v>0</v>
      </c>
      <c r="AH132" s="88"/>
      <c r="AI132" s="88"/>
      <c r="AJ132" s="88"/>
      <c r="AK132" s="88"/>
      <c r="AL132" s="89">
        <f t="shared" si="132"/>
        <v>0</v>
      </c>
      <c r="AM132" s="88"/>
      <c r="AN132" s="88"/>
      <c r="AO132" s="88"/>
      <c r="AP132" s="88"/>
      <c r="AQ132" s="88"/>
      <c r="AR132" s="89">
        <f t="shared" si="133"/>
        <v>0</v>
      </c>
      <c r="AS132" s="88"/>
      <c r="AT132" s="88"/>
      <c r="AU132" s="88"/>
      <c r="AV132" s="88"/>
      <c r="AW132" s="89">
        <f t="shared" si="134"/>
        <v>0</v>
      </c>
      <c r="AX132" s="88"/>
      <c r="AY132" s="88"/>
      <c r="AZ132" s="88"/>
      <c r="BA132" s="88"/>
      <c r="BB132" s="89">
        <f t="shared" si="135"/>
        <v>0</v>
      </c>
      <c r="BC132" s="88"/>
      <c r="BD132" s="88"/>
      <c r="BE132" s="88"/>
      <c r="BF132" s="88"/>
      <c r="BG132" s="88"/>
      <c r="BH132" s="89">
        <f t="shared" si="136"/>
        <v>0</v>
      </c>
      <c r="BI132" s="88"/>
      <c r="BJ132" s="88"/>
      <c r="BK132" s="88"/>
      <c r="BL132" s="88"/>
      <c r="BM132" s="89">
        <f t="shared" si="137"/>
        <v>0</v>
      </c>
    </row>
    <row r="133" spans="1:65" ht="15.75" customHeight="1" x14ac:dyDescent="0.25">
      <c r="A133" s="92" t="s">
        <v>555</v>
      </c>
      <c r="B133" s="88">
        <v>50</v>
      </c>
      <c r="C133" s="88">
        <v>175</v>
      </c>
      <c r="D133" s="88">
        <v>275</v>
      </c>
      <c r="E133" s="88">
        <v>250</v>
      </c>
      <c r="F133" s="89">
        <f t="shared" si="126"/>
        <v>750</v>
      </c>
      <c r="G133" s="88">
        <v>275</v>
      </c>
      <c r="H133" s="88">
        <v>250</v>
      </c>
      <c r="I133" s="88">
        <v>350</v>
      </c>
      <c r="J133" s="88">
        <v>200</v>
      </c>
      <c r="K133" s="89">
        <f t="shared" si="127"/>
        <v>1075</v>
      </c>
      <c r="L133" s="88">
        <v>275</v>
      </c>
      <c r="M133" s="88">
        <v>250</v>
      </c>
      <c r="N133" s="88">
        <v>275</v>
      </c>
      <c r="O133" s="88">
        <v>275</v>
      </c>
      <c r="P133" s="88">
        <v>225</v>
      </c>
      <c r="Q133" s="89">
        <f t="shared" si="128"/>
        <v>1300</v>
      </c>
      <c r="R133" s="88"/>
      <c r="S133" s="88"/>
      <c r="T133" s="88"/>
      <c r="U133" s="88"/>
      <c r="V133" s="89">
        <f t="shared" si="129"/>
        <v>0</v>
      </c>
      <c r="W133" s="88">
        <v>275</v>
      </c>
      <c r="X133" s="88">
        <v>0</v>
      </c>
      <c r="Y133" s="88"/>
      <c r="Z133" s="88"/>
      <c r="AA133" s="89">
        <f t="shared" si="130"/>
        <v>275</v>
      </c>
      <c r="AB133" s="88"/>
      <c r="AC133" s="88"/>
      <c r="AD133" s="88"/>
      <c r="AE133" s="88"/>
      <c r="AF133" s="88"/>
      <c r="AG133" s="89">
        <f t="shared" si="131"/>
        <v>0</v>
      </c>
      <c r="AH133" s="88"/>
      <c r="AI133" s="88"/>
      <c r="AJ133" s="88"/>
      <c r="AK133" s="88"/>
      <c r="AL133" s="89">
        <f t="shared" si="132"/>
        <v>0</v>
      </c>
      <c r="AM133" s="88"/>
      <c r="AN133" s="88"/>
      <c r="AO133" s="88"/>
      <c r="AP133" s="88"/>
      <c r="AQ133" s="88"/>
      <c r="AR133" s="89">
        <f t="shared" si="133"/>
        <v>0</v>
      </c>
      <c r="AS133" s="88"/>
      <c r="AT133" s="88"/>
      <c r="AU133" s="88"/>
      <c r="AV133" s="88"/>
      <c r="AW133" s="89">
        <f t="shared" si="134"/>
        <v>0</v>
      </c>
      <c r="AX133" s="88"/>
      <c r="AY133" s="88"/>
      <c r="AZ133" s="88"/>
      <c r="BA133" s="88"/>
      <c r="BB133" s="89">
        <f t="shared" si="135"/>
        <v>0</v>
      </c>
      <c r="BC133" s="88"/>
      <c r="BD133" s="88"/>
      <c r="BE133" s="88"/>
      <c r="BF133" s="88"/>
      <c r="BG133" s="88"/>
      <c r="BH133" s="89">
        <f t="shared" si="136"/>
        <v>0</v>
      </c>
      <c r="BI133" s="88"/>
      <c r="BJ133" s="88"/>
      <c r="BK133" s="88"/>
      <c r="BL133" s="88"/>
      <c r="BM133" s="89">
        <f t="shared" si="137"/>
        <v>0</v>
      </c>
    </row>
    <row r="134" spans="1:65" ht="15.75" customHeight="1" x14ac:dyDescent="0.25">
      <c r="A134" s="92" t="s">
        <v>556</v>
      </c>
      <c r="B134" s="88">
        <v>50</v>
      </c>
      <c r="C134" s="88">
        <v>75</v>
      </c>
      <c r="D134" s="88">
        <v>50</v>
      </c>
      <c r="E134" s="88">
        <v>75</v>
      </c>
      <c r="F134" s="89">
        <f t="shared" si="126"/>
        <v>250</v>
      </c>
      <c r="G134" s="88">
        <v>50</v>
      </c>
      <c r="H134" s="88">
        <v>100</v>
      </c>
      <c r="I134" s="88">
        <v>50</v>
      </c>
      <c r="J134" s="88">
        <v>75</v>
      </c>
      <c r="K134" s="89">
        <f t="shared" si="127"/>
        <v>275</v>
      </c>
      <c r="L134" s="88">
        <v>50</v>
      </c>
      <c r="M134" s="88">
        <v>75</v>
      </c>
      <c r="N134" s="88">
        <v>0</v>
      </c>
      <c r="O134" s="88">
        <v>0</v>
      </c>
      <c r="P134" s="88">
        <v>25</v>
      </c>
      <c r="Q134" s="89">
        <f t="shared" si="128"/>
        <v>150</v>
      </c>
      <c r="R134" s="88"/>
      <c r="S134" s="88"/>
      <c r="T134" s="88"/>
      <c r="U134" s="88"/>
      <c r="V134" s="89">
        <f t="shared" si="129"/>
        <v>0</v>
      </c>
      <c r="W134" s="88">
        <v>150</v>
      </c>
      <c r="X134" s="88">
        <v>325</v>
      </c>
      <c r="Y134" s="88"/>
      <c r="Z134" s="88"/>
      <c r="AA134" s="89">
        <f t="shared" si="130"/>
        <v>475</v>
      </c>
      <c r="AB134" s="88"/>
      <c r="AC134" s="88"/>
      <c r="AD134" s="88"/>
      <c r="AE134" s="88"/>
      <c r="AF134" s="88"/>
      <c r="AG134" s="89">
        <f t="shared" si="131"/>
        <v>0</v>
      </c>
      <c r="AH134" s="88"/>
      <c r="AI134" s="88"/>
      <c r="AJ134" s="88"/>
      <c r="AK134" s="88"/>
      <c r="AL134" s="89">
        <f t="shared" si="132"/>
        <v>0</v>
      </c>
      <c r="AM134" s="88"/>
      <c r="AN134" s="88"/>
      <c r="AO134" s="88"/>
      <c r="AP134" s="88"/>
      <c r="AQ134" s="88"/>
      <c r="AR134" s="89">
        <f t="shared" si="133"/>
        <v>0</v>
      </c>
      <c r="AS134" s="88"/>
      <c r="AT134" s="88"/>
      <c r="AU134" s="88"/>
      <c r="AV134" s="88"/>
      <c r="AW134" s="89">
        <f t="shared" si="134"/>
        <v>0</v>
      </c>
      <c r="AX134" s="88"/>
      <c r="AY134" s="88"/>
      <c r="AZ134" s="88"/>
      <c r="BA134" s="88"/>
      <c r="BB134" s="89">
        <f t="shared" si="135"/>
        <v>0</v>
      </c>
      <c r="BC134" s="88"/>
      <c r="BD134" s="88"/>
      <c r="BE134" s="88"/>
      <c r="BF134" s="88"/>
      <c r="BG134" s="88"/>
      <c r="BH134" s="89">
        <f t="shared" si="136"/>
        <v>0</v>
      </c>
      <c r="BI134" s="88"/>
      <c r="BJ134" s="88"/>
      <c r="BK134" s="88"/>
      <c r="BL134" s="88"/>
      <c r="BM134" s="89">
        <f t="shared" si="137"/>
        <v>0</v>
      </c>
    </row>
    <row r="135" spans="1:65" ht="15.75" customHeight="1" x14ac:dyDescent="0.25">
      <c r="A135" s="93" t="s">
        <v>401</v>
      </c>
      <c r="B135" s="94">
        <f>SUM(B121:B124)</f>
        <v>1900</v>
      </c>
      <c r="C135" s="94">
        <f>SUM(C121:C124)</f>
        <v>1200</v>
      </c>
      <c r="D135" s="94">
        <f>SUM(D121:D124)</f>
        <v>1500</v>
      </c>
      <c r="E135" s="94">
        <f>SUM(E121:E124)</f>
        <v>1700</v>
      </c>
      <c r="F135" s="94">
        <f>F121+F122+F123+F124+F126+F127+F128+F129+F130+F131</f>
        <v>9500</v>
      </c>
      <c r="G135" s="94">
        <f>SUM(G121:G124)</f>
        <v>1300</v>
      </c>
      <c r="H135" s="94">
        <f>SUM(H121:H124)</f>
        <v>200</v>
      </c>
      <c r="I135" s="94">
        <f>SUM(I121:I124)</f>
        <v>1600</v>
      </c>
      <c r="J135" s="94">
        <f>SUM(J121:J124)</f>
        <v>1600</v>
      </c>
      <c r="K135" s="94">
        <f>K121+K122+K123+K124+K126+K127+K128+K129+K130+K131</f>
        <v>6600</v>
      </c>
      <c r="L135" s="94">
        <f>SUM(L121:L124)</f>
        <v>1500</v>
      </c>
      <c r="M135" s="94">
        <f>SUM(M121:M124)</f>
        <v>3100</v>
      </c>
      <c r="N135" s="94">
        <f>SUM(N121:N124)</f>
        <v>1400</v>
      </c>
      <c r="O135" s="94">
        <f>SUM(O121:O124)</f>
        <v>400</v>
      </c>
      <c r="P135" s="94">
        <f>SUM(P121:P124)</f>
        <v>1500</v>
      </c>
      <c r="Q135" s="94">
        <f>Q121+Q122+Q123+Q124+Q126+Q127+Q128+Q129+Q130+Q131</f>
        <v>10900</v>
      </c>
      <c r="R135" s="94">
        <f>SUM(R121:R124)</f>
        <v>0</v>
      </c>
      <c r="S135" s="94">
        <f>SUM(S121:S124)</f>
        <v>0</v>
      </c>
      <c r="T135" s="94">
        <f>SUM(T121:T124)</f>
        <v>0</v>
      </c>
      <c r="U135" s="94">
        <f>SUM(U121:U124)</f>
        <v>0</v>
      </c>
      <c r="V135" s="94">
        <f>V121+V122+V123+V124+V126+V127+V128</f>
        <v>0</v>
      </c>
      <c r="W135" s="94">
        <f>SUM(W121:W124)</f>
        <v>300</v>
      </c>
      <c r="X135" s="94">
        <f>SUM(X121:X124)</f>
        <v>4400</v>
      </c>
      <c r="Y135" s="94">
        <f>SUM(Y121:Y124)</f>
        <v>0</v>
      </c>
      <c r="Z135" s="94">
        <f>SUM(Z121:Z124)</f>
        <v>0</v>
      </c>
      <c r="AA135" s="94">
        <f>AA121+AA122+AA123+AA124+AA126+AA127+AA128+AA129+AA130+AA131</f>
        <v>4900</v>
      </c>
      <c r="AB135" s="94">
        <f>SUM(AB121:AB124)</f>
        <v>0</v>
      </c>
      <c r="AC135" s="94">
        <f>SUM(AC121:AC124)</f>
        <v>0</v>
      </c>
      <c r="AD135" s="94">
        <f>SUM(AD121:AD124)</f>
        <v>0</v>
      </c>
      <c r="AE135" s="94">
        <f>SUM(AE121:AE124)</f>
        <v>0</v>
      </c>
      <c r="AF135" s="94">
        <f>SUM(AF121:AF124)</f>
        <v>0</v>
      </c>
      <c r="AG135" s="94">
        <f>AG121+AG122+AG123+AG124+AG126+AG127+AG128+AG129+AG130+AG131</f>
        <v>0</v>
      </c>
      <c r="AH135" s="94">
        <f>SUM(AH121:AH124)</f>
        <v>0</v>
      </c>
      <c r="AI135" s="94">
        <f>SUM(AI121:AI124)</f>
        <v>0</v>
      </c>
      <c r="AJ135" s="94">
        <f>SUM(AJ121:AJ124)</f>
        <v>0</v>
      </c>
      <c r="AK135" s="94">
        <f>SUM(AK121:AK124)</f>
        <v>0</v>
      </c>
      <c r="AL135" s="94">
        <f>AL121+AL122+AL123+AL124+AL126+AL127+AL128+AL129+AL130+AL131</f>
        <v>0</v>
      </c>
      <c r="AM135" s="94">
        <f>SUM(AM121:AM124)</f>
        <v>0</v>
      </c>
      <c r="AN135" s="94">
        <f>SUM(AN121:AN124)</f>
        <v>0</v>
      </c>
      <c r="AO135" s="94">
        <f>SUM(AO121:AO124)</f>
        <v>0</v>
      </c>
      <c r="AP135" s="94">
        <f>SUM(AP121:AP124)</f>
        <v>0</v>
      </c>
      <c r="AQ135" s="94">
        <f>SUM(AQ121:AQ124)</f>
        <v>0</v>
      </c>
      <c r="AR135" s="94">
        <f>AR121+AR122+AR123+AR124+AR126+AR127+AR128+AR129+AR130+AR131</f>
        <v>0</v>
      </c>
      <c r="AS135" s="94">
        <f>SUM(AS121:AS124)</f>
        <v>0</v>
      </c>
      <c r="AT135" s="94">
        <f>SUM(AT121:AT124)</f>
        <v>0</v>
      </c>
      <c r="AU135" s="94">
        <f>SUM(AU121:AU124)</f>
        <v>0</v>
      </c>
      <c r="AV135" s="94">
        <f>SUM(AV121:AV124)</f>
        <v>0</v>
      </c>
      <c r="AW135" s="94">
        <f>AW121+AW122+AW123+AW124+AW126+AW127+AW128+AW129+AW130+AW131</f>
        <v>0</v>
      </c>
      <c r="AX135" s="94">
        <f>SUM(AX121:AX124)</f>
        <v>0</v>
      </c>
      <c r="AY135" s="94">
        <f>SUM(AY121:AY124)</f>
        <v>0</v>
      </c>
      <c r="AZ135" s="94">
        <f>SUM(AZ121:AZ124)</f>
        <v>0</v>
      </c>
      <c r="BA135" s="94">
        <f>SUM(BA121:BA124)</f>
        <v>0</v>
      </c>
      <c r="BB135" s="94">
        <f>BB121+BB122+BB123+BB124+BB126+BB127+BB128+BB129+BB130+BB131</f>
        <v>0</v>
      </c>
      <c r="BC135" s="94">
        <f>SUM(BC121:BC124)</f>
        <v>0</v>
      </c>
      <c r="BD135" s="94">
        <f>SUM(BD121:BD124)</f>
        <v>0</v>
      </c>
      <c r="BE135" s="94">
        <f>SUM(BE121:BE124)</f>
        <v>0</v>
      </c>
      <c r="BF135" s="94">
        <f>SUM(BF121:BF124)</f>
        <v>0</v>
      </c>
      <c r="BG135" s="94">
        <f>SUM(BG121:BG124)</f>
        <v>0</v>
      </c>
      <c r="BH135" s="94">
        <f>BH121+BH122+BH123+BH124+BH126+BH127+BH128+BH129+BH130+BH131</f>
        <v>0</v>
      </c>
      <c r="BI135" s="94">
        <f>SUM(BI121:BI124)</f>
        <v>0</v>
      </c>
      <c r="BJ135" s="94">
        <f>SUM(BJ121:BJ124)</f>
        <v>0</v>
      </c>
      <c r="BK135" s="94">
        <f>SUM(BK121:BK124)</f>
        <v>0</v>
      </c>
      <c r="BL135" s="94">
        <f>SUM(BL121:BL124)</f>
        <v>0</v>
      </c>
      <c r="BM135" s="94">
        <f>BM121+BM122+BM123+BM124+BM126+BM127+BM128+BM129+BM130+BM131</f>
        <v>0</v>
      </c>
    </row>
    <row r="137" spans="1:65" ht="15.75" customHeight="1" x14ac:dyDescent="0.25">
      <c r="A137" s="505" t="s">
        <v>542</v>
      </c>
      <c r="B137" s="506"/>
      <c r="C137" s="506"/>
      <c r="D137" s="506"/>
      <c r="E137" s="506"/>
      <c r="F137" s="506"/>
      <c r="G137" s="506"/>
      <c r="H137" s="506"/>
      <c r="I137" s="506"/>
      <c r="J137" s="506"/>
      <c r="K137" s="506"/>
      <c r="L137" s="506"/>
      <c r="M137" s="506"/>
      <c r="N137" s="506"/>
      <c r="O137" s="506"/>
      <c r="P137" s="506"/>
      <c r="Q137" s="506"/>
      <c r="R137" s="506"/>
      <c r="S137" s="506"/>
      <c r="T137" s="506"/>
      <c r="U137" s="506"/>
      <c r="V137" s="506"/>
      <c r="W137" s="506"/>
      <c r="X137" s="506"/>
      <c r="Y137" s="506"/>
      <c r="Z137" s="506"/>
      <c r="AA137" s="506"/>
      <c r="AB137" s="506"/>
      <c r="AC137" s="506"/>
      <c r="AD137" s="506"/>
      <c r="AE137" s="506"/>
      <c r="AF137" s="506"/>
      <c r="AG137" s="506"/>
      <c r="AH137" s="506"/>
      <c r="AI137" s="506"/>
      <c r="AJ137" s="506"/>
      <c r="AK137" s="506"/>
      <c r="AL137" s="506"/>
      <c r="AM137" s="506"/>
      <c r="AN137" s="506"/>
      <c r="AO137" s="506"/>
      <c r="AP137" s="506"/>
      <c r="AQ137" s="506"/>
      <c r="AR137" s="506"/>
      <c r="AS137" s="506"/>
      <c r="AT137" s="506"/>
      <c r="AU137" s="506"/>
      <c r="AV137" s="506"/>
      <c r="AW137" s="506"/>
      <c r="AX137" s="506"/>
      <c r="AY137" s="506"/>
      <c r="AZ137" s="506"/>
      <c r="BA137" s="506"/>
      <c r="BB137" s="506"/>
      <c r="BC137" s="506"/>
      <c r="BD137" s="506"/>
      <c r="BE137" s="506"/>
      <c r="BF137" s="506"/>
      <c r="BG137" s="506"/>
      <c r="BH137" s="506"/>
      <c r="BI137" s="506"/>
      <c r="BJ137" s="506"/>
      <c r="BK137" s="506"/>
      <c r="BL137" s="506"/>
      <c r="BM137" s="506"/>
    </row>
    <row r="138" spans="1:65" ht="15.75" customHeight="1" x14ac:dyDescent="0.25">
      <c r="A138" s="507" t="s">
        <v>424</v>
      </c>
      <c r="B138" s="509" t="s">
        <v>389</v>
      </c>
      <c r="C138" s="485"/>
      <c r="D138" s="485"/>
      <c r="E138" s="485"/>
      <c r="F138" s="504" t="s">
        <v>390</v>
      </c>
      <c r="G138" s="485"/>
      <c r="H138" s="485"/>
      <c r="I138" s="485"/>
      <c r="J138" s="485"/>
      <c r="K138" s="147"/>
      <c r="L138" s="503" t="s">
        <v>391</v>
      </c>
      <c r="M138" s="485"/>
      <c r="N138" s="485"/>
      <c r="O138" s="485"/>
      <c r="P138" s="485"/>
      <c r="Q138" s="486"/>
      <c r="R138" s="503" t="s">
        <v>413</v>
      </c>
      <c r="S138" s="485"/>
      <c r="T138" s="485"/>
      <c r="U138" s="485"/>
      <c r="V138" s="486"/>
      <c r="W138" s="503" t="s">
        <v>414</v>
      </c>
      <c r="X138" s="485"/>
      <c r="Y138" s="485"/>
      <c r="Z138" s="485"/>
      <c r="AA138" s="486"/>
      <c r="AB138" s="503" t="s">
        <v>543</v>
      </c>
      <c r="AC138" s="485"/>
      <c r="AD138" s="485"/>
      <c r="AE138" s="485"/>
      <c r="AF138" s="485"/>
      <c r="AG138" s="486"/>
      <c r="AH138" s="503" t="s">
        <v>544</v>
      </c>
      <c r="AI138" s="485"/>
      <c r="AJ138" s="485"/>
      <c r="AK138" s="485"/>
      <c r="AL138" s="486"/>
      <c r="AM138" s="503" t="s">
        <v>545</v>
      </c>
      <c r="AN138" s="485"/>
      <c r="AO138" s="485"/>
      <c r="AP138" s="485"/>
      <c r="AQ138" s="485"/>
      <c r="AR138" s="486"/>
      <c r="AS138" s="503" t="s">
        <v>546</v>
      </c>
      <c r="AT138" s="485"/>
      <c r="AU138" s="485"/>
      <c r="AV138" s="485"/>
      <c r="AW138" s="486"/>
      <c r="AX138" s="503" t="s">
        <v>547</v>
      </c>
      <c r="AY138" s="485"/>
      <c r="AZ138" s="485"/>
      <c r="BA138" s="485"/>
      <c r="BB138" s="486"/>
      <c r="BC138" s="503" t="s">
        <v>548</v>
      </c>
      <c r="BD138" s="485"/>
      <c r="BE138" s="485"/>
      <c r="BF138" s="485"/>
      <c r="BG138" s="485"/>
      <c r="BH138" s="486"/>
      <c r="BI138" s="503" t="s">
        <v>388</v>
      </c>
      <c r="BJ138" s="485"/>
      <c r="BK138" s="485"/>
      <c r="BL138" s="485"/>
      <c r="BM138" s="486"/>
    </row>
    <row r="139" spans="1:65" ht="15.75" customHeight="1" x14ac:dyDescent="0.25">
      <c r="A139" s="508"/>
      <c r="B139" s="85">
        <v>46027</v>
      </c>
      <c r="C139" s="85">
        <v>46034</v>
      </c>
      <c r="D139" s="85">
        <v>46041</v>
      </c>
      <c r="E139" s="85">
        <v>46048</v>
      </c>
      <c r="F139" s="86" t="s">
        <v>129</v>
      </c>
      <c r="G139" s="85">
        <v>46055</v>
      </c>
      <c r="H139" s="85">
        <v>46062</v>
      </c>
      <c r="I139" s="85">
        <v>46069</v>
      </c>
      <c r="J139" s="85">
        <v>46076</v>
      </c>
      <c r="K139" s="86" t="s">
        <v>129</v>
      </c>
      <c r="L139" s="85">
        <v>46083</v>
      </c>
      <c r="M139" s="85">
        <v>46090</v>
      </c>
      <c r="N139" s="85">
        <v>46097</v>
      </c>
      <c r="O139" s="85">
        <v>46104</v>
      </c>
      <c r="P139" s="85">
        <v>46111</v>
      </c>
      <c r="Q139" s="86" t="s">
        <v>129</v>
      </c>
      <c r="R139" s="85">
        <v>46118</v>
      </c>
      <c r="S139" s="85">
        <v>46125</v>
      </c>
      <c r="T139" s="85">
        <v>46132</v>
      </c>
      <c r="U139" s="85">
        <v>46139</v>
      </c>
      <c r="V139" s="86" t="s">
        <v>129</v>
      </c>
      <c r="W139" s="85">
        <v>46146</v>
      </c>
      <c r="X139" s="85">
        <v>46153</v>
      </c>
      <c r="Y139" s="85">
        <v>46160</v>
      </c>
      <c r="Z139" s="85">
        <v>46167</v>
      </c>
      <c r="AA139" s="86" t="s">
        <v>129</v>
      </c>
      <c r="AB139" s="85">
        <v>46174</v>
      </c>
      <c r="AC139" s="85">
        <v>46181</v>
      </c>
      <c r="AD139" s="85">
        <v>46188</v>
      </c>
      <c r="AE139" s="85">
        <v>46195</v>
      </c>
      <c r="AF139" s="85">
        <v>46202</v>
      </c>
      <c r="AG139" s="86" t="s">
        <v>129</v>
      </c>
      <c r="AH139" s="85">
        <v>46209</v>
      </c>
      <c r="AI139" s="85">
        <v>46216</v>
      </c>
      <c r="AJ139" s="85">
        <v>46223</v>
      </c>
      <c r="AK139" s="85">
        <v>46230</v>
      </c>
      <c r="AL139" s="86" t="s">
        <v>129</v>
      </c>
      <c r="AM139" s="85">
        <v>46237</v>
      </c>
      <c r="AN139" s="85">
        <v>46244</v>
      </c>
      <c r="AO139" s="85">
        <v>46251</v>
      </c>
      <c r="AP139" s="85">
        <v>46258</v>
      </c>
      <c r="AQ139" s="85">
        <v>46265</v>
      </c>
      <c r="AR139" s="86" t="s">
        <v>129</v>
      </c>
      <c r="AS139" s="85">
        <v>46272</v>
      </c>
      <c r="AT139" s="85">
        <v>46279</v>
      </c>
      <c r="AU139" s="85">
        <v>46286</v>
      </c>
      <c r="AV139" s="85">
        <v>46293</v>
      </c>
      <c r="AW139" s="86" t="s">
        <v>129</v>
      </c>
      <c r="AX139" s="85">
        <v>46300</v>
      </c>
      <c r="AY139" s="85">
        <v>46307</v>
      </c>
      <c r="AZ139" s="85">
        <v>46314</v>
      </c>
      <c r="BA139" s="85">
        <v>46321</v>
      </c>
      <c r="BB139" s="86" t="s">
        <v>129</v>
      </c>
      <c r="BC139" s="85">
        <v>46328</v>
      </c>
      <c r="BD139" s="85">
        <v>46335</v>
      </c>
      <c r="BE139" s="85">
        <v>46342</v>
      </c>
      <c r="BF139" s="85">
        <v>46349</v>
      </c>
      <c r="BG139" s="85">
        <v>46356</v>
      </c>
      <c r="BH139" s="86" t="s">
        <v>129</v>
      </c>
      <c r="BI139" s="85">
        <v>46363</v>
      </c>
      <c r="BJ139" s="85">
        <v>46370</v>
      </c>
      <c r="BK139" s="85">
        <v>46377</v>
      </c>
      <c r="BL139" s="85">
        <v>46384</v>
      </c>
      <c r="BM139" s="86" t="s">
        <v>129</v>
      </c>
    </row>
    <row r="140" spans="1:65" ht="15.75" customHeight="1" x14ac:dyDescent="0.25">
      <c r="A140" s="148" t="s">
        <v>132</v>
      </c>
      <c r="B140" s="88">
        <v>300</v>
      </c>
      <c r="C140" s="88">
        <v>300</v>
      </c>
      <c r="D140" s="88">
        <v>300</v>
      </c>
      <c r="E140" s="88">
        <v>600</v>
      </c>
      <c r="F140" s="89">
        <f t="shared" ref="F140:F166" si="138">B140+C140+D140+E140</f>
        <v>1500</v>
      </c>
      <c r="G140" s="88">
        <v>600</v>
      </c>
      <c r="H140" s="88">
        <v>600</v>
      </c>
      <c r="I140" s="88">
        <v>300</v>
      </c>
      <c r="J140" s="88">
        <v>0</v>
      </c>
      <c r="K140" s="89">
        <f t="shared" ref="K140:K166" si="139">G140+H140+I140+J140</f>
        <v>1500</v>
      </c>
      <c r="L140" s="88">
        <v>600</v>
      </c>
      <c r="M140" s="88">
        <v>600</v>
      </c>
      <c r="N140" s="88">
        <v>300</v>
      </c>
      <c r="O140" s="88">
        <v>300</v>
      </c>
      <c r="P140" s="88">
        <v>300</v>
      </c>
      <c r="Q140" s="89">
        <f t="shared" ref="Q140:Q166" si="140">L140+M140+N140+O140+P140</f>
        <v>2100</v>
      </c>
      <c r="R140" s="88"/>
      <c r="S140" s="88"/>
      <c r="T140" s="88"/>
      <c r="U140" s="88"/>
      <c r="V140" s="89">
        <f t="shared" ref="V140:V166" si="141">R140+S140+T140+U140</f>
        <v>0</v>
      </c>
      <c r="W140" s="88">
        <v>0</v>
      </c>
      <c r="X140" s="88">
        <v>600</v>
      </c>
      <c r="Y140" s="88"/>
      <c r="Z140" s="88"/>
      <c r="AA140" s="89">
        <f t="shared" ref="AA140:AA166" si="142">W140+X140+Y140+Z140</f>
        <v>600</v>
      </c>
      <c r="AB140" s="88"/>
      <c r="AC140" s="88"/>
      <c r="AD140" s="88"/>
      <c r="AE140" s="88"/>
      <c r="AF140" s="88"/>
      <c r="AG140" s="89">
        <f t="shared" ref="AG140:AG166" si="143">AB140+AC140+AD140+AE140+AF140</f>
        <v>0</v>
      </c>
      <c r="AH140" s="88"/>
      <c r="AI140" s="88"/>
      <c r="AJ140" s="88"/>
      <c r="AK140" s="88"/>
      <c r="AL140" s="89">
        <f t="shared" ref="AL140:AL166" si="144">AH140+AI140+AJ140+AK140</f>
        <v>0</v>
      </c>
      <c r="AM140" s="88"/>
      <c r="AN140" s="88"/>
      <c r="AO140" s="88"/>
      <c r="AP140" s="88"/>
      <c r="AQ140" s="88"/>
      <c r="AR140" s="89">
        <f t="shared" ref="AR140:AR166" si="145">AM140+AN140+AO140+AP140+AQ140</f>
        <v>0</v>
      </c>
      <c r="AS140" s="88"/>
      <c r="AT140" s="88"/>
      <c r="AU140" s="88"/>
      <c r="AV140" s="88"/>
      <c r="AW140" s="89">
        <f t="shared" ref="AW140:AW166" si="146">AS140+AT140+AU140+AV140</f>
        <v>0</v>
      </c>
      <c r="AX140" s="88"/>
      <c r="AY140" s="88"/>
      <c r="AZ140" s="88"/>
      <c r="BA140" s="88"/>
      <c r="BB140" s="89">
        <f t="shared" ref="BB140:BB166" si="147">AX140+AY140+AZ140+BA140</f>
        <v>0</v>
      </c>
      <c r="BC140" s="88"/>
      <c r="BD140" s="88"/>
      <c r="BE140" s="88"/>
      <c r="BF140" s="88"/>
      <c r="BG140" s="88"/>
      <c r="BH140" s="89">
        <f t="shared" ref="BH140:BH166" si="148">BC140+BD140+BE140+BF140+BG140</f>
        <v>0</v>
      </c>
      <c r="BI140" s="88"/>
      <c r="BJ140" s="88"/>
      <c r="BK140" s="88"/>
      <c r="BL140" s="88"/>
      <c r="BM140" s="89">
        <f t="shared" ref="BM140:BM166" si="149">BI140+BJ140+BK140+BL140</f>
        <v>0</v>
      </c>
    </row>
    <row r="141" spans="1:65" ht="15.75" customHeight="1" x14ac:dyDescent="0.25">
      <c r="A141" s="90" t="s">
        <v>549</v>
      </c>
      <c r="B141" s="88">
        <v>200</v>
      </c>
      <c r="C141" s="88">
        <v>1400</v>
      </c>
      <c r="D141" s="88">
        <v>1000</v>
      </c>
      <c r="E141" s="88">
        <v>1000</v>
      </c>
      <c r="F141" s="89">
        <f t="shared" si="138"/>
        <v>3600</v>
      </c>
      <c r="G141" s="88">
        <v>1000</v>
      </c>
      <c r="H141" s="88">
        <v>1200</v>
      </c>
      <c r="I141" s="88">
        <v>1000</v>
      </c>
      <c r="J141" s="88">
        <v>400</v>
      </c>
      <c r="K141" s="89">
        <f t="shared" si="139"/>
        <v>3600</v>
      </c>
      <c r="L141" s="88">
        <v>1200</v>
      </c>
      <c r="M141" s="88">
        <v>1000</v>
      </c>
      <c r="N141" s="88">
        <v>1000</v>
      </c>
      <c r="O141" s="88">
        <v>800</v>
      </c>
      <c r="P141" s="88">
        <v>1000</v>
      </c>
      <c r="Q141" s="89">
        <f t="shared" si="140"/>
        <v>5000</v>
      </c>
      <c r="R141" s="88"/>
      <c r="S141" s="88"/>
      <c r="T141" s="88"/>
      <c r="U141" s="88"/>
      <c r="V141" s="89">
        <f t="shared" si="141"/>
        <v>0</v>
      </c>
      <c r="W141" s="88">
        <v>400</v>
      </c>
      <c r="X141" s="88">
        <v>1400</v>
      </c>
      <c r="Y141" s="88"/>
      <c r="Z141" s="88"/>
      <c r="AA141" s="89">
        <f t="shared" si="142"/>
        <v>1800</v>
      </c>
      <c r="AB141" s="88"/>
      <c r="AC141" s="88"/>
      <c r="AD141" s="88"/>
      <c r="AE141" s="88"/>
      <c r="AF141" s="88"/>
      <c r="AG141" s="89">
        <f t="shared" si="143"/>
        <v>0</v>
      </c>
      <c r="AH141" s="88"/>
      <c r="AI141" s="88"/>
      <c r="AJ141" s="88"/>
      <c r="AK141" s="88"/>
      <c r="AL141" s="89">
        <f t="shared" si="144"/>
        <v>0</v>
      </c>
      <c r="AM141" s="88"/>
      <c r="AN141" s="88"/>
      <c r="AO141" s="88"/>
      <c r="AP141" s="88"/>
      <c r="AQ141" s="88"/>
      <c r="AR141" s="89">
        <f t="shared" si="145"/>
        <v>0</v>
      </c>
      <c r="AS141" s="88"/>
      <c r="AT141" s="88"/>
      <c r="AU141" s="88"/>
      <c r="AV141" s="88"/>
      <c r="AW141" s="89">
        <f t="shared" si="146"/>
        <v>0</v>
      </c>
      <c r="AX141" s="88"/>
      <c r="AY141" s="88"/>
      <c r="AZ141" s="88"/>
      <c r="BA141" s="88"/>
      <c r="BB141" s="89">
        <f t="shared" si="147"/>
        <v>0</v>
      </c>
      <c r="BC141" s="88"/>
      <c r="BD141" s="88"/>
      <c r="BE141" s="88"/>
      <c r="BF141" s="88"/>
      <c r="BG141" s="88"/>
      <c r="BH141" s="89">
        <f t="shared" si="148"/>
        <v>0</v>
      </c>
      <c r="BI141" s="88"/>
      <c r="BJ141" s="88"/>
      <c r="BK141" s="88"/>
      <c r="BL141" s="88"/>
      <c r="BM141" s="89">
        <f t="shared" si="149"/>
        <v>0</v>
      </c>
    </row>
    <row r="142" spans="1:65" ht="15.75" customHeight="1" x14ac:dyDescent="0.25">
      <c r="A142" s="90" t="s">
        <v>137</v>
      </c>
      <c r="B142" s="88">
        <v>200</v>
      </c>
      <c r="C142" s="88">
        <v>400</v>
      </c>
      <c r="D142" s="88">
        <v>0</v>
      </c>
      <c r="E142" s="88">
        <v>0</v>
      </c>
      <c r="F142" s="89">
        <f t="shared" si="138"/>
        <v>600</v>
      </c>
      <c r="G142" s="88">
        <v>400</v>
      </c>
      <c r="H142" s="88">
        <v>400</v>
      </c>
      <c r="I142" s="88">
        <v>200</v>
      </c>
      <c r="J142" s="88">
        <v>200</v>
      </c>
      <c r="K142" s="89">
        <f t="shared" si="139"/>
        <v>1200</v>
      </c>
      <c r="L142" s="88">
        <v>200</v>
      </c>
      <c r="M142" s="88">
        <v>400</v>
      </c>
      <c r="N142" s="88">
        <v>200</v>
      </c>
      <c r="O142" s="88">
        <v>400</v>
      </c>
      <c r="P142" s="88">
        <v>200</v>
      </c>
      <c r="Q142" s="89">
        <f t="shared" si="140"/>
        <v>1400</v>
      </c>
      <c r="R142" s="88"/>
      <c r="S142" s="88"/>
      <c r="T142" s="88"/>
      <c r="U142" s="88"/>
      <c r="V142" s="89">
        <f t="shared" si="141"/>
        <v>0</v>
      </c>
      <c r="W142" s="88">
        <v>0</v>
      </c>
      <c r="X142" s="88">
        <v>400</v>
      </c>
      <c r="Y142" s="88"/>
      <c r="Z142" s="88"/>
      <c r="AA142" s="89">
        <f t="shared" si="142"/>
        <v>400</v>
      </c>
      <c r="AB142" s="88"/>
      <c r="AC142" s="88"/>
      <c r="AD142" s="88"/>
      <c r="AE142" s="88"/>
      <c r="AF142" s="88"/>
      <c r="AG142" s="89">
        <f t="shared" si="143"/>
        <v>0</v>
      </c>
      <c r="AH142" s="88"/>
      <c r="AI142" s="88"/>
      <c r="AJ142" s="88"/>
      <c r="AK142" s="88"/>
      <c r="AL142" s="89">
        <f t="shared" si="144"/>
        <v>0</v>
      </c>
      <c r="AM142" s="88"/>
      <c r="AN142" s="88"/>
      <c r="AO142" s="88"/>
      <c r="AP142" s="88"/>
      <c r="AQ142" s="88"/>
      <c r="AR142" s="89">
        <f t="shared" si="145"/>
        <v>0</v>
      </c>
      <c r="AS142" s="88"/>
      <c r="AT142" s="88"/>
      <c r="AU142" s="88"/>
      <c r="AV142" s="88"/>
      <c r="AW142" s="89">
        <f t="shared" si="146"/>
        <v>0</v>
      </c>
      <c r="AX142" s="88"/>
      <c r="AY142" s="88"/>
      <c r="AZ142" s="88"/>
      <c r="BA142" s="88"/>
      <c r="BB142" s="89">
        <f t="shared" si="147"/>
        <v>0</v>
      </c>
      <c r="BC142" s="88"/>
      <c r="BD142" s="88"/>
      <c r="BE142" s="88"/>
      <c r="BF142" s="88"/>
      <c r="BG142" s="88"/>
      <c r="BH142" s="89">
        <f t="shared" si="148"/>
        <v>0</v>
      </c>
      <c r="BI142" s="88"/>
      <c r="BJ142" s="88"/>
      <c r="BK142" s="88"/>
      <c r="BL142" s="88"/>
      <c r="BM142" s="89">
        <f t="shared" si="149"/>
        <v>0</v>
      </c>
    </row>
    <row r="143" spans="1:65" ht="15.75" customHeight="1" x14ac:dyDescent="0.25">
      <c r="A143" s="91" t="s">
        <v>550</v>
      </c>
      <c r="B143" s="88">
        <v>200</v>
      </c>
      <c r="C143" s="88">
        <v>0</v>
      </c>
      <c r="D143" s="88">
        <v>100</v>
      </c>
      <c r="E143" s="88">
        <v>100</v>
      </c>
      <c r="F143" s="89">
        <f t="shared" si="138"/>
        <v>400</v>
      </c>
      <c r="G143" s="88">
        <v>100</v>
      </c>
      <c r="H143" s="88">
        <v>0</v>
      </c>
      <c r="I143" s="88">
        <v>100</v>
      </c>
      <c r="J143" s="88">
        <v>200</v>
      </c>
      <c r="K143" s="89">
        <f t="shared" si="139"/>
        <v>400</v>
      </c>
      <c r="L143" s="88">
        <v>100</v>
      </c>
      <c r="M143" s="88">
        <v>100</v>
      </c>
      <c r="N143" s="88">
        <v>300</v>
      </c>
      <c r="O143" s="88">
        <v>100</v>
      </c>
      <c r="P143" s="88">
        <v>100</v>
      </c>
      <c r="Q143" s="89">
        <f t="shared" si="140"/>
        <v>700</v>
      </c>
      <c r="R143" s="88"/>
      <c r="S143" s="88"/>
      <c r="T143" s="88"/>
      <c r="U143" s="88"/>
      <c r="V143" s="89">
        <f t="shared" si="141"/>
        <v>0</v>
      </c>
      <c r="W143" s="88">
        <v>0</v>
      </c>
      <c r="X143" s="88">
        <v>100</v>
      </c>
      <c r="Y143" s="88"/>
      <c r="Z143" s="88"/>
      <c r="AA143" s="89">
        <f t="shared" si="142"/>
        <v>100</v>
      </c>
      <c r="AB143" s="88"/>
      <c r="AC143" s="88"/>
      <c r="AD143" s="88"/>
      <c r="AE143" s="88"/>
      <c r="AF143" s="88"/>
      <c r="AG143" s="89">
        <f t="shared" si="143"/>
        <v>0</v>
      </c>
      <c r="AH143" s="88"/>
      <c r="AI143" s="88"/>
      <c r="AJ143" s="88"/>
      <c r="AK143" s="88"/>
      <c r="AL143" s="89">
        <f t="shared" si="144"/>
        <v>0</v>
      </c>
      <c r="AM143" s="88"/>
      <c r="AN143" s="88"/>
      <c r="AO143" s="88"/>
      <c r="AP143" s="88"/>
      <c r="AQ143" s="88"/>
      <c r="AR143" s="89">
        <f t="shared" si="145"/>
        <v>0</v>
      </c>
      <c r="AS143" s="88"/>
      <c r="AT143" s="88"/>
      <c r="AU143" s="88"/>
      <c r="AV143" s="88"/>
      <c r="AW143" s="89">
        <f t="shared" si="146"/>
        <v>0</v>
      </c>
      <c r="AX143" s="88"/>
      <c r="AY143" s="88"/>
      <c r="AZ143" s="88"/>
      <c r="BA143" s="88"/>
      <c r="BB143" s="89">
        <f t="shared" si="147"/>
        <v>0</v>
      </c>
      <c r="BC143" s="88"/>
      <c r="BD143" s="88"/>
      <c r="BE143" s="88"/>
      <c r="BF143" s="88"/>
      <c r="BG143" s="88"/>
      <c r="BH143" s="89">
        <f t="shared" si="148"/>
        <v>0</v>
      </c>
      <c r="BI143" s="88"/>
      <c r="BJ143" s="88"/>
      <c r="BK143" s="88"/>
      <c r="BL143" s="88"/>
      <c r="BM143" s="89">
        <f t="shared" si="149"/>
        <v>0</v>
      </c>
    </row>
    <row r="144" spans="1:65" ht="15.75" customHeight="1" x14ac:dyDescent="0.25">
      <c r="A144" s="195" t="s">
        <v>499</v>
      </c>
      <c r="B144" s="196">
        <v>0</v>
      </c>
      <c r="C144" s="88">
        <v>0</v>
      </c>
      <c r="D144" s="88">
        <v>0</v>
      </c>
      <c r="E144" s="88">
        <v>200</v>
      </c>
      <c r="F144" s="89">
        <f t="shared" si="138"/>
        <v>200</v>
      </c>
      <c r="G144" s="88">
        <v>200</v>
      </c>
      <c r="H144" s="88">
        <v>0</v>
      </c>
      <c r="I144" s="88">
        <v>200</v>
      </c>
      <c r="J144" s="88">
        <v>0</v>
      </c>
      <c r="K144" s="89">
        <f t="shared" si="139"/>
        <v>400</v>
      </c>
      <c r="L144" s="88">
        <v>0</v>
      </c>
      <c r="M144" s="88">
        <v>200</v>
      </c>
      <c r="N144" s="88">
        <v>200</v>
      </c>
      <c r="O144" s="88">
        <v>0</v>
      </c>
      <c r="P144" s="88">
        <v>0</v>
      </c>
      <c r="Q144" s="89">
        <f t="shared" si="140"/>
        <v>400</v>
      </c>
      <c r="R144" s="88"/>
      <c r="S144" s="88"/>
      <c r="T144" s="88"/>
      <c r="U144" s="88"/>
      <c r="V144" s="89">
        <f t="shared" si="141"/>
        <v>0</v>
      </c>
      <c r="W144" s="88">
        <v>200</v>
      </c>
      <c r="X144" s="88">
        <v>0</v>
      </c>
      <c r="Y144" s="88"/>
      <c r="Z144" s="88"/>
      <c r="AA144" s="89">
        <f t="shared" si="142"/>
        <v>200</v>
      </c>
      <c r="AB144" s="88"/>
      <c r="AC144" s="88"/>
      <c r="AD144" s="88"/>
      <c r="AE144" s="88"/>
      <c r="AF144" s="88"/>
      <c r="AG144" s="89">
        <f t="shared" si="143"/>
        <v>0</v>
      </c>
      <c r="AH144" s="88"/>
      <c r="AI144" s="88"/>
      <c r="AJ144" s="88"/>
      <c r="AK144" s="88"/>
      <c r="AL144" s="89">
        <f t="shared" si="144"/>
        <v>0</v>
      </c>
      <c r="AM144" s="88"/>
      <c r="AN144" s="88"/>
      <c r="AO144" s="88"/>
      <c r="AP144" s="88"/>
      <c r="AQ144" s="88"/>
      <c r="AR144" s="89">
        <f t="shared" si="145"/>
        <v>0</v>
      </c>
      <c r="AS144" s="88"/>
      <c r="AT144" s="88"/>
      <c r="AU144" s="88"/>
      <c r="AV144" s="88"/>
      <c r="AW144" s="89">
        <f t="shared" si="146"/>
        <v>0</v>
      </c>
      <c r="AX144" s="88"/>
      <c r="AY144" s="88"/>
      <c r="AZ144" s="88"/>
      <c r="BA144" s="88"/>
      <c r="BB144" s="89">
        <f t="shared" si="147"/>
        <v>0</v>
      </c>
      <c r="BC144" s="88"/>
      <c r="BD144" s="88"/>
      <c r="BE144" s="88"/>
      <c r="BF144" s="88"/>
      <c r="BG144" s="88"/>
      <c r="BH144" s="89">
        <f t="shared" si="148"/>
        <v>0</v>
      </c>
      <c r="BI144" s="88"/>
      <c r="BJ144" s="88"/>
      <c r="BK144" s="88"/>
      <c r="BL144" s="88"/>
      <c r="BM144" s="89">
        <f t="shared" si="149"/>
        <v>0</v>
      </c>
    </row>
    <row r="145" spans="1:65" ht="15.75" customHeight="1" x14ac:dyDescent="0.25">
      <c r="A145" s="195" t="s">
        <v>500</v>
      </c>
      <c r="B145" s="196">
        <v>0</v>
      </c>
      <c r="C145" s="88">
        <v>0</v>
      </c>
      <c r="D145" s="88">
        <v>0</v>
      </c>
      <c r="E145" s="88">
        <v>0</v>
      </c>
      <c r="F145" s="89">
        <f t="shared" si="138"/>
        <v>0</v>
      </c>
      <c r="G145" s="88">
        <v>100</v>
      </c>
      <c r="H145" s="88">
        <v>0</v>
      </c>
      <c r="I145" s="88">
        <v>0</v>
      </c>
      <c r="J145" s="88">
        <v>100</v>
      </c>
      <c r="K145" s="89">
        <f t="shared" si="139"/>
        <v>200</v>
      </c>
      <c r="L145" s="88">
        <v>0</v>
      </c>
      <c r="M145" s="88">
        <v>0</v>
      </c>
      <c r="N145" s="88">
        <v>100</v>
      </c>
      <c r="O145" s="88">
        <v>0</v>
      </c>
      <c r="P145" s="88">
        <v>0</v>
      </c>
      <c r="Q145" s="89">
        <f t="shared" si="140"/>
        <v>100</v>
      </c>
      <c r="R145" s="88"/>
      <c r="S145" s="88"/>
      <c r="T145" s="88"/>
      <c r="U145" s="88"/>
      <c r="V145" s="89">
        <f t="shared" si="141"/>
        <v>0</v>
      </c>
      <c r="W145" s="88">
        <v>100</v>
      </c>
      <c r="X145" s="88">
        <v>0</v>
      </c>
      <c r="Y145" s="88"/>
      <c r="Z145" s="88"/>
      <c r="AA145" s="89">
        <f t="shared" si="142"/>
        <v>100</v>
      </c>
      <c r="AB145" s="88"/>
      <c r="AC145" s="88"/>
      <c r="AD145" s="88"/>
      <c r="AE145" s="88"/>
      <c r="AF145" s="88"/>
      <c r="AG145" s="89">
        <f t="shared" si="143"/>
        <v>0</v>
      </c>
      <c r="AH145" s="88"/>
      <c r="AI145" s="88"/>
      <c r="AJ145" s="88"/>
      <c r="AK145" s="88"/>
      <c r="AL145" s="89">
        <f t="shared" si="144"/>
        <v>0</v>
      </c>
      <c r="AM145" s="88"/>
      <c r="AN145" s="88"/>
      <c r="AO145" s="88"/>
      <c r="AP145" s="88"/>
      <c r="AQ145" s="88"/>
      <c r="AR145" s="89">
        <f t="shared" si="145"/>
        <v>0</v>
      </c>
      <c r="AS145" s="88"/>
      <c r="AT145" s="88"/>
      <c r="AU145" s="88"/>
      <c r="AV145" s="88"/>
      <c r="AW145" s="89">
        <f t="shared" si="146"/>
        <v>0</v>
      </c>
      <c r="AX145" s="88"/>
      <c r="AY145" s="88"/>
      <c r="AZ145" s="88"/>
      <c r="BA145" s="88"/>
      <c r="BB145" s="89">
        <f t="shared" si="147"/>
        <v>0</v>
      </c>
      <c r="BC145" s="88"/>
      <c r="BD145" s="88"/>
      <c r="BE145" s="88"/>
      <c r="BF145" s="88"/>
      <c r="BG145" s="88"/>
      <c r="BH145" s="89">
        <f t="shared" si="148"/>
        <v>0</v>
      </c>
      <c r="BI145" s="88"/>
      <c r="BJ145" s="88"/>
      <c r="BK145" s="88"/>
      <c r="BL145" s="88"/>
      <c r="BM145" s="89">
        <f t="shared" si="149"/>
        <v>0</v>
      </c>
    </row>
    <row r="146" spans="1:65" ht="15.75" customHeight="1" x14ac:dyDescent="0.25">
      <c r="A146" s="92" t="s">
        <v>143</v>
      </c>
      <c r="B146" s="196">
        <v>0</v>
      </c>
      <c r="C146" s="88">
        <v>0</v>
      </c>
      <c r="D146" s="88">
        <v>0</v>
      </c>
      <c r="E146" s="88">
        <v>0</v>
      </c>
      <c r="F146" s="89">
        <f t="shared" si="138"/>
        <v>0</v>
      </c>
      <c r="G146" s="88">
        <v>0</v>
      </c>
      <c r="H146" s="88">
        <v>0</v>
      </c>
      <c r="I146" s="88">
        <v>0</v>
      </c>
      <c r="J146" s="88">
        <v>0</v>
      </c>
      <c r="K146" s="89">
        <f t="shared" si="139"/>
        <v>0</v>
      </c>
      <c r="L146" s="88">
        <v>0</v>
      </c>
      <c r="M146" s="88">
        <v>0</v>
      </c>
      <c r="N146" s="88">
        <v>0</v>
      </c>
      <c r="O146" s="88">
        <v>0</v>
      </c>
      <c r="P146" s="88">
        <v>1</v>
      </c>
      <c r="Q146" s="89">
        <f t="shared" si="140"/>
        <v>1</v>
      </c>
      <c r="R146" s="88"/>
      <c r="S146" s="88"/>
      <c r="T146" s="88"/>
      <c r="U146" s="88"/>
      <c r="V146" s="89">
        <f t="shared" si="141"/>
        <v>0</v>
      </c>
      <c r="W146" s="88">
        <v>3</v>
      </c>
      <c r="X146" s="88">
        <v>2</v>
      </c>
      <c r="Y146" s="88"/>
      <c r="Z146" s="88"/>
      <c r="AA146" s="89">
        <f t="shared" si="142"/>
        <v>5</v>
      </c>
      <c r="AB146" s="88"/>
      <c r="AC146" s="88"/>
      <c r="AD146" s="88"/>
      <c r="AE146" s="88"/>
      <c r="AF146" s="88"/>
      <c r="AG146" s="89">
        <f t="shared" si="143"/>
        <v>0</v>
      </c>
      <c r="AH146" s="88"/>
      <c r="AI146" s="88"/>
      <c r="AJ146" s="88"/>
      <c r="AK146" s="88"/>
      <c r="AL146" s="89">
        <f t="shared" si="144"/>
        <v>0</v>
      </c>
      <c r="AM146" s="88"/>
      <c r="AN146" s="88"/>
      <c r="AO146" s="88"/>
      <c r="AP146" s="88"/>
      <c r="AQ146" s="88"/>
      <c r="AR146" s="89">
        <f t="shared" si="145"/>
        <v>0</v>
      </c>
      <c r="AS146" s="88"/>
      <c r="AT146" s="88"/>
      <c r="AU146" s="88"/>
      <c r="AV146" s="88"/>
      <c r="AW146" s="89">
        <f t="shared" si="146"/>
        <v>0</v>
      </c>
      <c r="AX146" s="88"/>
      <c r="AY146" s="88"/>
      <c r="AZ146" s="88"/>
      <c r="BA146" s="88"/>
      <c r="BB146" s="89">
        <f t="shared" si="147"/>
        <v>0</v>
      </c>
      <c r="BC146" s="88"/>
      <c r="BD146" s="88"/>
      <c r="BE146" s="88"/>
      <c r="BF146" s="88"/>
      <c r="BG146" s="88"/>
      <c r="BH146" s="89">
        <f t="shared" si="148"/>
        <v>0</v>
      </c>
      <c r="BI146" s="88"/>
      <c r="BJ146" s="88"/>
      <c r="BK146" s="88"/>
      <c r="BL146" s="88"/>
      <c r="BM146" s="89">
        <f t="shared" si="149"/>
        <v>0</v>
      </c>
    </row>
    <row r="147" spans="1:65" ht="15.75" customHeight="1" x14ac:dyDescent="0.25">
      <c r="A147" s="92" t="s">
        <v>557</v>
      </c>
      <c r="B147" s="196">
        <v>0</v>
      </c>
      <c r="C147" s="88">
        <v>0</v>
      </c>
      <c r="D147" s="88">
        <v>0</v>
      </c>
      <c r="E147" s="88">
        <v>0</v>
      </c>
      <c r="F147" s="89">
        <f t="shared" si="138"/>
        <v>0</v>
      </c>
      <c r="G147" s="88">
        <v>0</v>
      </c>
      <c r="H147" s="88">
        <v>0</v>
      </c>
      <c r="I147" s="88">
        <v>1</v>
      </c>
      <c r="J147" s="88">
        <v>0</v>
      </c>
      <c r="K147" s="89">
        <f t="shared" si="139"/>
        <v>1</v>
      </c>
      <c r="L147" s="88">
        <v>1</v>
      </c>
      <c r="M147" s="88">
        <v>1</v>
      </c>
      <c r="N147" s="88">
        <v>0</v>
      </c>
      <c r="O147" s="88">
        <v>0</v>
      </c>
      <c r="P147" s="88">
        <v>0</v>
      </c>
      <c r="Q147" s="89">
        <f t="shared" si="140"/>
        <v>2</v>
      </c>
      <c r="R147" s="88"/>
      <c r="S147" s="88"/>
      <c r="T147" s="88"/>
      <c r="U147" s="88"/>
      <c r="V147" s="89">
        <f t="shared" si="141"/>
        <v>0</v>
      </c>
      <c r="W147" s="88">
        <v>0</v>
      </c>
      <c r="X147" s="88">
        <v>5</v>
      </c>
      <c r="Y147" s="88"/>
      <c r="Z147" s="88"/>
      <c r="AA147" s="89">
        <f t="shared" si="142"/>
        <v>5</v>
      </c>
      <c r="AB147" s="88"/>
      <c r="AC147" s="88"/>
      <c r="AD147" s="88"/>
      <c r="AE147" s="88"/>
      <c r="AF147" s="88"/>
      <c r="AG147" s="89">
        <f t="shared" si="143"/>
        <v>0</v>
      </c>
      <c r="AH147" s="88"/>
      <c r="AI147" s="88"/>
      <c r="AJ147" s="88"/>
      <c r="AK147" s="88"/>
      <c r="AL147" s="89">
        <f t="shared" si="144"/>
        <v>0</v>
      </c>
      <c r="AM147" s="88"/>
      <c r="AN147" s="88"/>
      <c r="AO147" s="88"/>
      <c r="AP147" s="88"/>
      <c r="AQ147" s="88"/>
      <c r="AR147" s="89">
        <f t="shared" si="145"/>
        <v>0</v>
      </c>
      <c r="AS147" s="88"/>
      <c r="AT147" s="88"/>
      <c r="AU147" s="88"/>
      <c r="AV147" s="88"/>
      <c r="AW147" s="89">
        <f t="shared" si="146"/>
        <v>0</v>
      </c>
      <c r="AX147" s="88"/>
      <c r="AY147" s="88"/>
      <c r="AZ147" s="88"/>
      <c r="BA147" s="88"/>
      <c r="BB147" s="89">
        <f t="shared" si="147"/>
        <v>0</v>
      </c>
      <c r="BC147" s="88"/>
      <c r="BD147" s="88"/>
      <c r="BE147" s="88"/>
      <c r="BF147" s="88"/>
      <c r="BG147" s="88"/>
      <c r="BH147" s="89">
        <f t="shared" si="148"/>
        <v>0</v>
      </c>
      <c r="BI147" s="88"/>
      <c r="BJ147" s="88"/>
      <c r="BK147" s="88"/>
      <c r="BL147" s="88"/>
      <c r="BM147" s="89">
        <f t="shared" si="149"/>
        <v>0</v>
      </c>
    </row>
    <row r="148" spans="1:65" ht="15.75" customHeight="1" x14ac:dyDescent="0.25">
      <c r="A148" s="92" t="s">
        <v>558</v>
      </c>
      <c r="B148" s="196">
        <v>0</v>
      </c>
      <c r="C148" s="88">
        <v>0</v>
      </c>
      <c r="D148" s="88">
        <v>0</v>
      </c>
      <c r="E148" s="88">
        <v>0</v>
      </c>
      <c r="F148" s="89">
        <f t="shared" si="138"/>
        <v>0</v>
      </c>
      <c r="G148" s="88">
        <v>0</v>
      </c>
      <c r="H148" s="88">
        <v>0</v>
      </c>
      <c r="I148" s="88">
        <v>0</v>
      </c>
      <c r="J148" s="88">
        <v>0</v>
      </c>
      <c r="K148" s="89">
        <f t="shared" si="139"/>
        <v>0</v>
      </c>
      <c r="L148" s="88">
        <v>0</v>
      </c>
      <c r="M148" s="88">
        <v>0</v>
      </c>
      <c r="N148" s="88">
        <v>1</v>
      </c>
      <c r="O148" s="88">
        <v>0</v>
      </c>
      <c r="P148" s="88">
        <v>0</v>
      </c>
      <c r="Q148" s="89">
        <f t="shared" si="140"/>
        <v>1</v>
      </c>
      <c r="R148" s="88"/>
      <c r="S148" s="88"/>
      <c r="T148" s="88"/>
      <c r="U148" s="88"/>
      <c r="V148" s="89">
        <f t="shared" si="141"/>
        <v>0</v>
      </c>
      <c r="W148" s="88">
        <v>0</v>
      </c>
      <c r="X148" s="88">
        <v>1</v>
      </c>
      <c r="Y148" s="88"/>
      <c r="Z148" s="88"/>
      <c r="AA148" s="89">
        <f t="shared" si="142"/>
        <v>1</v>
      </c>
      <c r="AB148" s="88"/>
      <c r="AC148" s="88"/>
      <c r="AD148" s="88"/>
      <c r="AE148" s="88"/>
      <c r="AF148" s="88"/>
      <c r="AG148" s="89">
        <f t="shared" si="143"/>
        <v>0</v>
      </c>
      <c r="AH148" s="88"/>
      <c r="AI148" s="88"/>
      <c r="AJ148" s="88"/>
      <c r="AK148" s="88"/>
      <c r="AL148" s="89">
        <f t="shared" si="144"/>
        <v>0</v>
      </c>
      <c r="AM148" s="88"/>
      <c r="AN148" s="88"/>
      <c r="AO148" s="88"/>
      <c r="AP148" s="88"/>
      <c r="AQ148" s="88"/>
      <c r="AR148" s="89">
        <f t="shared" si="145"/>
        <v>0</v>
      </c>
      <c r="AS148" s="88"/>
      <c r="AT148" s="88"/>
      <c r="AU148" s="88"/>
      <c r="AV148" s="88"/>
      <c r="AW148" s="89">
        <f t="shared" si="146"/>
        <v>0</v>
      </c>
      <c r="AX148" s="88"/>
      <c r="AY148" s="88"/>
      <c r="AZ148" s="88"/>
      <c r="BA148" s="88"/>
      <c r="BB148" s="89">
        <f t="shared" si="147"/>
        <v>0</v>
      </c>
      <c r="BC148" s="88"/>
      <c r="BD148" s="88"/>
      <c r="BE148" s="88"/>
      <c r="BF148" s="88"/>
      <c r="BG148" s="88"/>
      <c r="BH148" s="89">
        <f t="shared" si="148"/>
        <v>0</v>
      </c>
      <c r="BI148" s="88"/>
      <c r="BJ148" s="88"/>
      <c r="BK148" s="88"/>
      <c r="BL148" s="88"/>
      <c r="BM148" s="89">
        <f t="shared" si="149"/>
        <v>0</v>
      </c>
    </row>
    <row r="149" spans="1:65" ht="15.75" customHeight="1" x14ac:dyDescent="0.25">
      <c r="A149" s="92" t="s">
        <v>559</v>
      </c>
      <c r="B149" s="196">
        <v>0</v>
      </c>
      <c r="C149" s="88">
        <v>0</v>
      </c>
      <c r="D149" s="88">
        <v>1</v>
      </c>
      <c r="E149" s="88">
        <v>0</v>
      </c>
      <c r="F149" s="89">
        <f t="shared" si="138"/>
        <v>1</v>
      </c>
      <c r="G149" s="88">
        <v>0</v>
      </c>
      <c r="H149" s="88">
        <v>0</v>
      </c>
      <c r="I149" s="88">
        <v>0</v>
      </c>
      <c r="J149" s="88">
        <v>0</v>
      </c>
      <c r="K149" s="89">
        <f t="shared" si="139"/>
        <v>0</v>
      </c>
      <c r="L149" s="88">
        <v>0</v>
      </c>
      <c r="M149" s="88">
        <v>0</v>
      </c>
      <c r="N149" s="88">
        <v>0</v>
      </c>
      <c r="O149" s="88">
        <v>0</v>
      </c>
      <c r="P149" s="88">
        <v>0</v>
      </c>
      <c r="Q149" s="89">
        <f t="shared" si="140"/>
        <v>0</v>
      </c>
      <c r="R149" s="88"/>
      <c r="S149" s="88"/>
      <c r="T149" s="88"/>
      <c r="U149" s="88"/>
      <c r="V149" s="89">
        <f t="shared" si="141"/>
        <v>0</v>
      </c>
      <c r="W149" s="88">
        <v>0</v>
      </c>
      <c r="X149" s="88">
        <v>0</v>
      </c>
      <c r="Y149" s="88"/>
      <c r="Z149" s="88"/>
      <c r="AA149" s="89">
        <f t="shared" si="142"/>
        <v>0</v>
      </c>
      <c r="AB149" s="88"/>
      <c r="AC149" s="88"/>
      <c r="AD149" s="88"/>
      <c r="AE149" s="88"/>
      <c r="AF149" s="88"/>
      <c r="AG149" s="89">
        <f t="shared" si="143"/>
        <v>0</v>
      </c>
      <c r="AH149" s="88"/>
      <c r="AI149" s="88"/>
      <c r="AJ149" s="88"/>
      <c r="AK149" s="88"/>
      <c r="AL149" s="89">
        <f t="shared" si="144"/>
        <v>0</v>
      </c>
      <c r="AM149" s="88"/>
      <c r="AN149" s="88"/>
      <c r="AO149" s="88"/>
      <c r="AP149" s="88"/>
      <c r="AQ149" s="88"/>
      <c r="AR149" s="89">
        <f t="shared" si="145"/>
        <v>0</v>
      </c>
      <c r="AS149" s="88"/>
      <c r="AT149" s="88"/>
      <c r="AU149" s="88"/>
      <c r="AV149" s="88"/>
      <c r="AW149" s="89">
        <f t="shared" si="146"/>
        <v>0</v>
      </c>
      <c r="AX149" s="88"/>
      <c r="AY149" s="88"/>
      <c r="AZ149" s="88"/>
      <c r="BA149" s="88"/>
      <c r="BB149" s="89">
        <f t="shared" si="147"/>
        <v>0</v>
      </c>
      <c r="BC149" s="88"/>
      <c r="BD149" s="88"/>
      <c r="BE149" s="88"/>
      <c r="BF149" s="88"/>
      <c r="BG149" s="88"/>
      <c r="BH149" s="89">
        <f t="shared" si="148"/>
        <v>0</v>
      </c>
      <c r="BI149" s="88"/>
      <c r="BJ149" s="88"/>
      <c r="BK149" s="88"/>
      <c r="BL149" s="88"/>
      <c r="BM149" s="89">
        <f t="shared" si="149"/>
        <v>0</v>
      </c>
    </row>
    <row r="150" spans="1:65" ht="15.75" customHeight="1" x14ac:dyDescent="0.25">
      <c r="A150" s="92" t="s">
        <v>560</v>
      </c>
      <c r="B150" s="196">
        <v>0</v>
      </c>
      <c r="C150" s="88">
        <v>0</v>
      </c>
      <c r="D150" s="88">
        <v>0</v>
      </c>
      <c r="E150" s="88">
        <v>0</v>
      </c>
      <c r="F150" s="89">
        <f t="shared" si="138"/>
        <v>0</v>
      </c>
      <c r="G150" s="88">
        <v>0</v>
      </c>
      <c r="H150" s="88">
        <v>0</v>
      </c>
      <c r="I150" s="88">
        <v>0</v>
      </c>
      <c r="J150" s="88">
        <v>0</v>
      </c>
      <c r="K150" s="89">
        <f t="shared" si="139"/>
        <v>0</v>
      </c>
      <c r="L150" s="88">
        <v>0</v>
      </c>
      <c r="M150" s="88">
        <v>0</v>
      </c>
      <c r="N150" s="88">
        <v>0</v>
      </c>
      <c r="O150" s="88">
        <v>0</v>
      </c>
      <c r="P150" s="88">
        <v>0</v>
      </c>
      <c r="Q150" s="89">
        <f t="shared" si="140"/>
        <v>0</v>
      </c>
      <c r="R150" s="88"/>
      <c r="S150" s="88"/>
      <c r="T150" s="88"/>
      <c r="U150" s="88"/>
      <c r="V150" s="89">
        <f t="shared" si="141"/>
        <v>0</v>
      </c>
      <c r="W150" s="88">
        <v>0</v>
      </c>
      <c r="X150" s="88">
        <v>0</v>
      </c>
      <c r="Y150" s="88"/>
      <c r="Z150" s="88"/>
      <c r="AA150" s="89">
        <f t="shared" si="142"/>
        <v>0</v>
      </c>
      <c r="AB150" s="88"/>
      <c r="AC150" s="88"/>
      <c r="AD150" s="88"/>
      <c r="AE150" s="88"/>
      <c r="AF150" s="88"/>
      <c r="AG150" s="89">
        <f t="shared" si="143"/>
        <v>0</v>
      </c>
      <c r="AH150" s="88"/>
      <c r="AI150" s="88"/>
      <c r="AJ150" s="88"/>
      <c r="AK150" s="88"/>
      <c r="AL150" s="89">
        <f t="shared" si="144"/>
        <v>0</v>
      </c>
      <c r="AM150" s="88"/>
      <c r="AN150" s="88"/>
      <c r="AO150" s="88"/>
      <c r="AP150" s="88"/>
      <c r="AQ150" s="88"/>
      <c r="AR150" s="89">
        <f t="shared" si="145"/>
        <v>0</v>
      </c>
      <c r="AS150" s="88"/>
      <c r="AT150" s="88"/>
      <c r="AU150" s="88"/>
      <c r="AV150" s="88"/>
      <c r="AW150" s="89">
        <f t="shared" si="146"/>
        <v>0</v>
      </c>
      <c r="AX150" s="88"/>
      <c r="AY150" s="88"/>
      <c r="AZ150" s="88"/>
      <c r="BA150" s="88"/>
      <c r="BB150" s="89">
        <f t="shared" si="147"/>
        <v>0</v>
      </c>
      <c r="BC150" s="88"/>
      <c r="BD150" s="88"/>
      <c r="BE150" s="88"/>
      <c r="BF150" s="88"/>
      <c r="BG150" s="88"/>
      <c r="BH150" s="89">
        <f t="shared" si="148"/>
        <v>0</v>
      </c>
      <c r="BI150" s="88"/>
      <c r="BJ150" s="88"/>
      <c r="BK150" s="88"/>
      <c r="BL150" s="88"/>
      <c r="BM150" s="89">
        <f t="shared" si="149"/>
        <v>0</v>
      </c>
    </row>
    <row r="151" spans="1:65" ht="15.75" customHeight="1" x14ac:dyDescent="0.25">
      <c r="A151" s="92" t="s">
        <v>561</v>
      </c>
      <c r="B151" s="196">
        <v>0</v>
      </c>
      <c r="C151" s="88">
        <v>0</v>
      </c>
      <c r="D151" s="88">
        <v>0</v>
      </c>
      <c r="E151" s="88">
        <v>0</v>
      </c>
      <c r="F151" s="89">
        <f t="shared" si="138"/>
        <v>0</v>
      </c>
      <c r="G151" s="88">
        <v>0</v>
      </c>
      <c r="H151" s="88">
        <v>0</v>
      </c>
      <c r="I151" s="88">
        <v>0</v>
      </c>
      <c r="J151" s="88">
        <v>0</v>
      </c>
      <c r="K151" s="89">
        <f t="shared" si="139"/>
        <v>0</v>
      </c>
      <c r="L151" s="88">
        <v>0</v>
      </c>
      <c r="M151" s="88">
        <v>0</v>
      </c>
      <c r="N151" s="88">
        <v>0</v>
      </c>
      <c r="O151" s="88">
        <v>0</v>
      </c>
      <c r="P151" s="88">
        <v>0</v>
      </c>
      <c r="Q151" s="89">
        <f t="shared" si="140"/>
        <v>0</v>
      </c>
      <c r="R151" s="88"/>
      <c r="S151" s="88"/>
      <c r="T151" s="88"/>
      <c r="U151" s="88"/>
      <c r="V151" s="89">
        <f t="shared" si="141"/>
        <v>0</v>
      </c>
      <c r="W151" s="88">
        <v>0</v>
      </c>
      <c r="X151" s="88">
        <v>0</v>
      </c>
      <c r="Y151" s="88"/>
      <c r="Z151" s="88"/>
      <c r="AA151" s="89">
        <f t="shared" si="142"/>
        <v>0</v>
      </c>
      <c r="AB151" s="88"/>
      <c r="AC151" s="88"/>
      <c r="AD151" s="88"/>
      <c r="AE151" s="88"/>
      <c r="AF151" s="88"/>
      <c r="AG151" s="89">
        <f t="shared" si="143"/>
        <v>0</v>
      </c>
      <c r="AH151" s="88"/>
      <c r="AI151" s="88"/>
      <c r="AJ151" s="88"/>
      <c r="AK151" s="88"/>
      <c r="AL151" s="89">
        <f t="shared" si="144"/>
        <v>0</v>
      </c>
      <c r="AM151" s="88"/>
      <c r="AN151" s="88"/>
      <c r="AO151" s="88"/>
      <c r="AP151" s="88"/>
      <c r="AQ151" s="88"/>
      <c r="AR151" s="89">
        <f t="shared" si="145"/>
        <v>0</v>
      </c>
      <c r="AS151" s="88"/>
      <c r="AT151" s="88"/>
      <c r="AU151" s="88"/>
      <c r="AV151" s="88"/>
      <c r="AW151" s="89">
        <f t="shared" si="146"/>
        <v>0</v>
      </c>
      <c r="AX151" s="88"/>
      <c r="AY151" s="88"/>
      <c r="AZ151" s="88"/>
      <c r="BA151" s="88"/>
      <c r="BB151" s="89">
        <f t="shared" si="147"/>
        <v>0</v>
      </c>
      <c r="BC151" s="88"/>
      <c r="BD151" s="88"/>
      <c r="BE151" s="88"/>
      <c r="BF151" s="88"/>
      <c r="BG151" s="88"/>
      <c r="BH151" s="89">
        <f t="shared" si="148"/>
        <v>0</v>
      </c>
      <c r="BI151" s="88"/>
      <c r="BJ151" s="88"/>
      <c r="BK151" s="88"/>
      <c r="BL151" s="88"/>
      <c r="BM151" s="89">
        <f t="shared" si="149"/>
        <v>0</v>
      </c>
    </row>
    <row r="152" spans="1:65" ht="15.75" customHeight="1" x14ac:dyDescent="0.25">
      <c r="A152" s="92" t="s">
        <v>562</v>
      </c>
      <c r="B152" s="196">
        <v>0</v>
      </c>
      <c r="C152" s="88">
        <v>0</v>
      </c>
      <c r="D152" s="88">
        <v>0</v>
      </c>
      <c r="E152" s="88">
        <v>0</v>
      </c>
      <c r="F152" s="89">
        <f t="shared" si="138"/>
        <v>0</v>
      </c>
      <c r="G152" s="88">
        <v>0</v>
      </c>
      <c r="H152" s="88">
        <v>0</v>
      </c>
      <c r="I152" s="88">
        <v>0</v>
      </c>
      <c r="J152" s="88">
        <v>0</v>
      </c>
      <c r="K152" s="89">
        <f t="shared" si="139"/>
        <v>0</v>
      </c>
      <c r="L152" s="88">
        <v>0</v>
      </c>
      <c r="M152" s="88">
        <v>0</v>
      </c>
      <c r="N152" s="88">
        <v>0</v>
      </c>
      <c r="O152" s="88">
        <v>0</v>
      </c>
      <c r="P152" s="88">
        <v>0</v>
      </c>
      <c r="Q152" s="89">
        <f t="shared" si="140"/>
        <v>0</v>
      </c>
      <c r="R152" s="88"/>
      <c r="S152" s="88"/>
      <c r="T152" s="88"/>
      <c r="U152" s="88"/>
      <c r="V152" s="89">
        <f t="shared" si="141"/>
        <v>0</v>
      </c>
      <c r="W152" s="88">
        <v>0</v>
      </c>
      <c r="X152" s="88">
        <v>0</v>
      </c>
      <c r="Y152" s="88"/>
      <c r="Z152" s="88"/>
      <c r="AA152" s="89">
        <f t="shared" si="142"/>
        <v>0</v>
      </c>
      <c r="AB152" s="88"/>
      <c r="AC152" s="88"/>
      <c r="AD152" s="88"/>
      <c r="AE152" s="88"/>
      <c r="AF152" s="88"/>
      <c r="AG152" s="89">
        <f t="shared" si="143"/>
        <v>0</v>
      </c>
      <c r="AH152" s="88"/>
      <c r="AI152" s="88"/>
      <c r="AJ152" s="88"/>
      <c r="AK152" s="88"/>
      <c r="AL152" s="89">
        <f t="shared" si="144"/>
        <v>0</v>
      </c>
      <c r="AM152" s="88"/>
      <c r="AN152" s="88"/>
      <c r="AO152" s="88"/>
      <c r="AP152" s="88"/>
      <c r="AQ152" s="88"/>
      <c r="AR152" s="89">
        <f t="shared" si="145"/>
        <v>0</v>
      </c>
      <c r="AS152" s="88"/>
      <c r="AT152" s="88"/>
      <c r="AU152" s="88"/>
      <c r="AV152" s="88"/>
      <c r="AW152" s="89">
        <f t="shared" si="146"/>
        <v>0</v>
      </c>
      <c r="AX152" s="88"/>
      <c r="AY152" s="88"/>
      <c r="AZ152" s="88"/>
      <c r="BA152" s="88"/>
      <c r="BB152" s="89">
        <f t="shared" si="147"/>
        <v>0</v>
      </c>
      <c r="BC152" s="88"/>
      <c r="BD152" s="88"/>
      <c r="BE152" s="88"/>
      <c r="BF152" s="88"/>
      <c r="BG152" s="88"/>
      <c r="BH152" s="89">
        <f t="shared" si="148"/>
        <v>0</v>
      </c>
      <c r="BI152" s="88"/>
      <c r="BJ152" s="88"/>
      <c r="BK152" s="88"/>
      <c r="BL152" s="88"/>
      <c r="BM152" s="89">
        <f t="shared" si="149"/>
        <v>0</v>
      </c>
    </row>
    <row r="153" spans="1:65" ht="15.75" customHeight="1" x14ac:dyDescent="0.25">
      <c r="A153" s="92" t="s">
        <v>446</v>
      </c>
      <c r="B153" s="88">
        <v>0</v>
      </c>
      <c r="C153" s="88">
        <v>0</v>
      </c>
      <c r="D153" s="88">
        <v>0</v>
      </c>
      <c r="E153" s="88">
        <v>0</v>
      </c>
      <c r="F153" s="89">
        <f t="shared" si="138"/>
        <v>0</v>
      </c>
      <c r="G153" s="88">
        <v>0</v>
      </c>
      <c r="H153" s="88">
        <v>0</v>
      </c>
      <c r="I153" s="88">
        <v>0</v>
      </c>
      <c r="J153" s="88">
        <v>0</v>
      </c>
      <c r="K153" s="89">
        <f t="shared" si="139"/>
        <v>0</v>
      </c>
      <c r="L153" s="88">
        <v>0</v>
      </c>
      <c r="M153" s="88">
        <v>200</v>
      </c>
      <c r="N153" s="88">
        <v>0</v>
      </c>
      <c r="O153" s="88">
        <v>0</v>
      </c>
      <c r="P153" s="88">
        <v>0</v>
      </c>
      <c r="Q153" s="89">
        <f t="shared" si="140"/>
        <v>200</v>
      </c>
      <c r="R153" s="88"/>
      <c r="S153" s="88"/>
      <c r="T153" s="88"/>
      <c r="U153" s="88"/>
      <c r="V153" s="89">
        <f t="shared" si="141"/>
        <v>0</v>
      </c>
      <c r="W153" s="88">
        <v>0</v>
      </c>
      <c r="X153" s="88">
        <v>0</v>
      </c>
      <c r="Y153" s="88"/>
      <c r="Z153" s="88"/>
      <c r="AA153" s="89">
        <f t="shared" si="142"/>
        <v>0</v>
      </c>
      <c r="AB153" s="88"/>
      <c r="AC153" s="88"/>
      <c r="AD153" s="88"/>
      <c r="AE153" s="88"/>
      <c r="AF153" s="88"/>
      <c r="AG153" s="89">
        <f t="shared" si="143"/>
        <v>0</v>
      </c>
      <c r="AH153" s="88"/>
      <c r="AI153" s="88"/>
      <c r="AJ153" s="88"/>
      <c r="AK153" s="88"/>
      <c r="AL153" s="89">
        <f t="shared" si="144"/>
        <v>0</v>
      </c>
      <c r="AM153" s="88"/>
      <c r="AN153" s="88"/>
      <c r="AO153" s="88"/>
      <c r="AP153" s="88"/>
      <c r="AQ153" s="88"/>
      <c r="AR153" s="89">
        <f t="shared" si="145"/>
        <v>0</v>
      </c>
      <c r="AS153" s="88"/>
      <c r="AT153" s="88"/>
      <c r="AU153" s="88"/>
      <c r="AV153" s="88"/>
      <c r="AW153" s="89">
        <f t="shared" si="146"/>
        <v>0</v>
      </c>
      <c r="AX153" s="88"/>
      <c r="AY153" s="88"/>
      <c r="AZ153" s="88"/>
      <c r="BA153" s="88"/>
      <c r="BB153" s="89">
        <f t="shared" si="147"/>
        <v>0</v>
      </c>
      <c r="BC153" s="88"/>
      <c r="BD153" s="88"/>
      <c r="BE153" s="88"/>
      <c r="BF153" s="88"/>
      <c r="BG153" s="88"/>
      <c r="BH153" s="89">
        <f t="shared" si="148"/>
        <v>0</v>
      </c>
      <c r="BI153" s="88"/>
      <c r="BJ153" s="88"/>
      <c r="BK153" s="88"/>
      <c r="BL153" s="88"/>
      <c r="BM153" s="89">
        <f t="shared" si="149"/>
        <v>0</v>
      </c>
    </row>
    <row r="154" spans="1:65" ht="15.75" customHeight="1" x14ac:dyDescent="0.25">
      <c r="A154" s="92" t="s">
        <v>551</v>
      </c>
      <c r="B154" s="196">
        <v>0</v>
      </c>
      <c r="C154" s="88">
        <v>0</v>
      </c>
      <c r="D154" s="88">
        <v>0</v>
      </c>
      <c r="E154" s="88">
        <v>0</v>
      </c>
      <c r="F154" s="89">
        <f t="shared" si="138"/>
        <v>0</v>
      </c>
      <c r="G154" s="88">
        <v>0</v>
      </c>
      <c r="H154" s="88">
        <v>0</v>
      </c>
      <c r="I154" s="88">
        <v>0</v>
      </c>
      <c r="J154" s="88">
        <v>0</v>
      </c>
      <c r="K154" s="89">
        <f t="shared" si="139"/>
        <v>0</v>
      </c>
      <c r="L154" s="88">
        <v>0</v>
      </c>
      <c r="M154" s="88">
        <v>0</v>
      </c>
      <c r="N154" s="88">
        <v>0</v>
      </c>
      <c r="O154" s="88">
        <v>0</v>
      </c>
      <c r="P154" s="88">
        <v>0</v>
      </c>
      <c r="Q154" s="89">
        <f t="shared" si="140"/>
        <v>0</v>
      </c>
      <c r="R154" s="88"/>
      <c r="S154" s="88"/>
      <c r="T154" s="88"/>
      <c r="U154" s="88"/>
      <c r="V154" s="89">
        <f t="shared" si="141"/>
        <v>0</v>
      </c>
      <c r="W154" s="88">
        <v>0</v>
      </c>
      <c r="X154" s="88">
        <v>0</v>
      </c>
      <c r="Y154" s="88"/>
      <c r="Z154" s="88"/>
      <c r="AA154" s="89">
        <f t="shared" si="142"/>
        <v>0</v>
      </c>
      <c r="AB154" s="88"/>
      <c r="AC154" s="88"/>
      <c r="AD154" s="88"/>
      <c r="AE154" s="88"/>
      <c r="AF154" s="88"/>
      <c r="AG154" s="89">
        <f t="shared" si="143"/>
        <v>0</v>
      </c>
      <c r="AH154" s="88"/>
      <c r="AI154" s="88"/>
      <c r="AJ154" s="88"/>
      <c r="AK154" s="88"/>
      <c r="AL154" s="89">
        <f t="shared" si="144"/>
        <v>0</v>
      </c>
      <c r="AM154" s="88"/>
      <c r="AN154" s="88"/>
      <c r="AO154" s="88"/>
      <c r="AP154" s="88"/>
      <c r="AQ154" s="88"/>
      <c r="AR154" s="89">
        <f t="shared" si="145"/>
        <v>0</v>
      </c>
      <c r="AS154" s="88"/>
      <c r="AT154" s="88"/>
      <c r="AU154" s="88"/>
      <c r="AV154" s="88"/>
      <c r="AW154" s="89">
        <f t="shared" si="146"/>
        <v>0</v>
      </c>
      <c r="AX154" s="88"/>
      <c r="AY154" s="88"/>
      <c r="AZ154" s="88"/>
      <c r="BA154" s="88"/>
      <c r="BB154" s="89">
        <f t="shared" si="147"/>
        <v>0</v>
      </c>
      <c r="BC154" s="88"/>
      <c r="BD154" s="88"/>
      <c r="BE154" s="88"/>
      <c r="BF154" s="88"/>
      <c r="BG154" s="88"/>
      <c r="BH154" s="89">
        <f t="shared" si="148"/>
        <v>0</v>
      </c>
      <c r="BI154" s="88"/>
      <c r="BJ154" s="88"/>
      <c r="BK154" s="88"/>
      <c r="BL154" s="88"/>
      <c r="BM154" s="89">
        <f t="shared" si="149"/>
        <v>0</v>
      </c>
    </row>
    <row r="155" spans="1:65" ht="15.75" customHeight="1" x14ac:dyDescent="0.25">
      <c r="A155" s="92" t="s">
        <v>552</v>
      </c>
      <c r="B155" s="196">
        <v>0</v>
      </c>
      <c r="C155" s="88">
        <v>0</v>
      </c>
      <c r="D155" s="88">
        <v>0</v>
      </c>
      <c r="E155" s="88">
        <v>0</v>
      </c>
      <c r="F155" s="89">
        <f t="shared" si="138"/>
        <v>0</v>
      </c>
      <c r="G155" s="88">
        <v>0</v>
      </c>
      <c r="H155" s="88">
        <v>0</v>
      </c>
      <c r="I155" s="88">
        <v>0</v>
      </c>
      <c r="J155" s="88">
        <v>0</v>
      </c>
      <c r="K155" s="89">
        <f t="shared" si="139"/>
        <v>0</v>
      </c>
      <c r="L155" s="88">
        <v>0</v>
      </c>
      <c r="M155" s="88">
        <v>0</v>
      </c>
      <c r="N155" s="88">
        <v>0</v>
      </c>
      <c r="O155" s="88">
        <v>0</v>
      </c>
      <c r="P155" s="88">
        <v>0</v>
      </c>
      <c r="Q155" s="89">
        <f t="shared" si="140"/>
        <v>0</v>
      </c>
      <c r="R155" s="88"/>
      <c r="S155" s="88"/>
      <c r="T155" s="88"/>
      <c r="U155" s="88"/>
      <c r="V155" s="89">
        <f t="shared" si="141"/>
        <v>0</v>
      </c>
      <c r="W155" s="88">
        <v>0</v>
      </c>
      <c r="X155" s="88">
        <v>0</v>
      </c>
      <c r="Y155" s="88"/>
      <c r="Z155" s="88"/>
      <c r="AA155" s="89">
        <f t="shared" si="142"/>
        <v>0</v>
      </c>
      <c r="AB155" s="88"/>
      <c r="AC155" s="88"/>
      <c r="AD155" s="88"/>
      <c r="AE155" s="88"/>
      <c r="AF155" s="88"/>
      <c r="AG155" s="89">
        <f t="shared" si="143"/>
        <v>0</v>
      </c>
      <c r="AH155" s="88"/>
      <c r="AI155" s="88"/>
      <c r="AJ155" s="88"/>
      <c r="AK155" s="88"/>
      <c r="AL155" s="89">
        <f t="shared" si="144"/>
        <v>0</v>
      </c>
      <c r="AM155" s="88"/>
      <c r="AN155" s="88"/>
      <c r="AO155" s="88"/>
      <c r="AP155" s="88"/>
      <c r="AQ155" s="88"/>
      <c r="AR155" s="89">
        <f t="shared" si="145"/>
        <v>0</v>
      </c>
      <c r="AS155" s="88"/>
      <c r="AT155" s="88"/>
      <c r="AU155" s="88"/>
      <c r="AV155" s="88"/>
      <c r="AW155" s="89">
        <f t="shared" si="146"/>
        <v>0</v>
      </c>
      <c r="AX155" s="88"/>
      <c r="AY155" s="88"/>
      <c r="AZ155" s="88"/>
      <c r="BA155" s="88"/>
      <c r="BB155" s="89">
        <f t="shared" si="147"/>
        <v>0</v>
      </c>
      <c r="BC155" s="88"/>
      <c r="BD155" s="88"/>
      <c r="BE155" s="88"/>
      <c r="BF155" s="88"/>
      <c r="BG155" s="88"/>
      <c r="BH155" s="89">
        <f t="shared" si="148"/>
        <v>0</v>
      </c>
      <c r="BI155" s="88"/>
      <c r="BJ155" s="88"/>
      <c r="BK155" s="88"/>
      <c r="BL155" s="88"/>
      <c r="BM155" s="89">
        <f t="shared" si="149"/>
        <v>0</v>
      </c>
    </row>
    <row r="156" spans="1:65" ht="15.75" customHeight="1" x14ac:dyDescent="0.25">
      <c r="A156" s="92" t="s">
        <v>553</v>
      </c>
      <c r="B156" s="196">
        <v>0</v>
      </c>
      <c r="C156" s="88">
        <v>0</v>
      </c>
      <c r="D156" s="88">
        <v>0</v>
      </c>
      <c r="E156" s="88">
        <v>0</v>
      </c>
      <c r="F156" s="89">
        <f t="shared" si="138"/>
        <v>0</v>
      </c>
      <c r="G156" s="88">
        <v>0</v>
      </c>
      <c r="H156" s="88">
        <v>0</v>
      </c>
      <c r="I156" s="88">
        <v>0</v>
      </c>
      <c r="J156" s="88">
        <v>0</v>
      </c>
      <c r="K156" s="89">
        <f t="shared" si="139"/>
        <v>0</v>
      </c>
      <c r="L156" s="88">
        <v>0</v>
      </c>
      <c r="M156" s="88">
        <v>0</v>
      </c>
      <c r="N156" s="88">
        <v>0</v>
      </c>
      <c r="O156" s="88">
        <v>0</v>
      </c>
      <c r="P156" s="88">
        <v>0</v>
      </c>
      <c r="Q156" s="89">
        <f t="shared" si="140"/>
        <v>0</v>
      </c>
      <c r="R156" s="88"/>
      <c r="S156" s="88"/>
      <c r="T156" s="88"/>
      <c r="U156" s="88"/>
      <c r="V156" s="89">
        <f t="shared" si="141"/>
        <v>0</v>
      </c>
      <c r="W156" s="88">
        <v>0</v>
      </c>
      <c r="X156" s="88">
        <v>0</v>
      </c>
      <c r="Y156" s="88"/>
      <c r="Z156" s="88"/>
      <c r="AA156" s="89">
        <f t="shared" si="142"/>
        <v>0</v>
      </c>
      <c r="AB156" s="88"/>
      <c r="AC156" s="88"/>
      <c r="AD156" s="88"/>
      <c r="AE156" s="88"/>
      <c r="AF156" s="88"/>
      <c r="AG156" s="89">
        <f t="shared" si="143"/>
        <v>0</v>
      </c>
      <c r="AH156" s="88"/>
      <c r="AI156" s="88"/>
      <c r="AJ156" s="88"/>
      <c r="AK156" s="88"/>
      <c r="AL156" s="89">
        <f t="shared" si="144"/>
        <v>0</v>
      </c>
      <c r="AM156" s="88"/>
      <c r="AN156" s="88"/>
      <c r="AO156" s="88"/>
      <c r="AP156" s="88"/>
      <c r="AQ156" s="88"/>
      <c r="AR156" s="89">
        <f t="shared" si="145"/>
        <v>0</v>
      </c>
      <c r="AS156" s="88"/>
      <c r="AT156" s="88"/>
      <c r="AU156" s="88"/>
      <c r="AV156" s="88"/>
      <c r="AW156" s="89">
        <f t="shared" si="146"/>
        <v>0</v>
      </c>
      <c r="AX156" s="88"/>
      <c r="AY156" s="88"/>
      <c r="AZ156" s="88"/>
      <c r="BA156" s="88"/>
      <c r="BB156" s="89">
        <f t="shared" si="147"/>
        <v>0</v>
      </c>
      <c r="BC156" s="88"/>
      <c r="BD156" s="88"/>
      <c r="BE156" s="88"/>
      <c r="BF156" s="88"/>
      <c r="BG156" s="88"/>
      <c r="BH156" s="89">
        <f t="shared" si="148"/>
        <v>0</v>
      </c>
      <c r="BI156" s="88"/>
      <c r="BJ156" s="88"/>
      <c r="BK156" s="88"/>
      <c r="BL156" s="88"/>
      <c r="BM156" s="89">
        <f t="shared" si="149"/>
        <v>0</v>
      </c>
    </row>
    <row r="157" spans="1:65" ht="15.75" customHeight="1" x14ac:dyDescent="0.25">
      <c r="A157" s="92" t="s">
        <v>516</v>
      </c>
      <c r="B157" s="196">
        <v>0</v>
      </c>
      <c r="C157" s="196">
        <v>0</v>
      </c>
      <c r="D157" s="196">
        <v>0</v>
      </c>
      <c r="E157" s="196">
        <v>0</v>
      </c>
      <c r="F157" s="89">
        <f t="shared" si="138"/>
        <v>0</v>
      </c>
      <c r="G157" s="196">
        <v>0</v>
      </c>
      <c r="H157" s="196">
        <v>0</v>
      </c>
      <c r="I157" s="196">
        <v>0</v>
      </c>
      <c r="J157" s="196">
        <v>0</v>
      </c>
      <c r="K157" s="89">
        <f t="shared" si="139"/>
        <v>0</v>
      </c>
      <c r="L157" s="196">
        <v>0</v>
      </c>
      <c r="M157" s="196">
        <v>0</v>
      </c>
      <c r="N157" s="196">
        <v>0</v>
      </c>
      <c r="O157" s="196">
        <v>0</v>
      </c>
      <c r="P157" s="196">
        <v>0</v>
      </c>
      <c r="Q157" s="89">
        <f t="shared" si="140"/>
        <v>0</v>
      </c>
      <c r="R157" s="196"/>
      <c r="S157" s="196"/>
      <c r="T157" s="196"/>
      <c r="U157" s="196"/>
      <c r="V157" s="89">
        <f t="shared" si="141"/>
        <v>0</v>
      </c>
      <c r="W157" s="196">
        <v>0</v>
      </c>
      <c r="X157" s="196">
        <v>0</v>
      </c>
      <c r="Y157" s="196"/>
      <c r="Z157" s="196"/>
      <c r="AA157" s="89">
        <f t="shared" si="142"/>
        <v>0</v>
      </c>
      <c r="AB157" s="196"/>
      <c r="AC157" s="196"/>
      <c r="AD157" s="196"/>
      <c r="AE157" s="196"/>
      <c r="AF157" s="196"/>
      <c r="AG157" s="89">
        <f t="shared" si="143"/>
        <v>0</v>
      </c>
      <c r="AH157" s="196"/>
      <c r="AI157" s="196"/>
      <c r="AJ157" s="196"/>
      <c r="AK157" s="196"/>
      <c r="AL157" s="89">
        <f t="shared" si="144"/>
        <v>0</v>
      </c>
      <c r="AM157" s="88"/>
      <c r="AN157" s="88"/>
      <c r="AO157" s="88"/>
      <c r="AP157" s="88"/>
      <c r="AQ157" s="88"/>
      <c r="AR157" s="89">
        <f t="shared" si="145"/>
        <v>0</v>
      </c>
      <c r="AS157" s="88"/>
      <c r="AT157" s="88"/>
      <c r="AU157" s="88"/>
      <c r="AV157" s="88"/>
      <c r="AW157" s="89">
        <f t="shared" si="146"/>
        <v>0</v>
      </c>
      <c r="AX157" s="88"/>
      <c r="AY157" s="88"/>
      <c r="AZ157" s="88"/>
      <c r="BA157" s="88"/>
      <c r="BB157" s="89">
        <f t="shared" si="147"/>
        <v>0</v>
      </c>
      <c r="BC157" s="88"/>
      <c r="BD157" s="88"/>
      <c r="BE157" s="88"/>
      <c r="BF157" s="88"/>
      <c r="BG157" s="88"/>
      <c r="BH157" s="89">
        <f t="shared" si="148"/>
        <v>0</v>
      </c>
      <c r="BI157" s="88"/>
      <c r="BJ157" s="88"/>
      <c r="BK157" s="88"/>
      <c r="BL157" s="88"/>
      <c r="BM157" s="89">
        <f t="shared" si="149"/>
        <v>0</v>
      </c>
    </row>
    <row r="158" spans="1:65" ht="15.75" customHeight="1" x14ac:dyDescent="0.25">
      <c r="A158" s="92" t="s">
        <v>517</v>
      </c>
      <c r="B158" s="196">
        <v>0</v>
      </c>
      <c r="C158" s="196">
        <v>0</v>
      </c>
      <c r="D158" s="196">
        <v>0</v>
      </c>
      <c r="E158" s="196">
        <v>0</v>
      </c>
      <c r="F158" s="89">
        <f t="shared" si="138"/>
        <v>0</v>
      </c>
      <c r="G158" s="196">
        <v>0</v>
      </c>
      <c r="H158" s="196">
        <v>0</v>
      </c>
      <c r="I158" s="196">
        <v>0</v>
      </c>
      <c r="J158" s="196">
        <v>0</v>
      </c>
      <c r="K158" s="89">
        <f t="shared" si="139"/>
        <v>0</v>
      </c>
      <c r="L158" s="196">
        <v>0</v>
      </c>
      <c r="M158" s="196">
        <v>0</v>
      </c>
      <c r="N158" s="196">
        <v>0</v>
      </c>
      <c r="O158" s="196">
        <v>0</v>
      </c>
      <c r="P158" s="196">
        <v>0</v>
      </c>
      <c r="Q158" s="89">
        <f t="shared" si="140"/>
        <v>0</v>
      </c>
      <c r="R158" s="196"/>
      <c r="S158" s="196"/>
      <c r="T158" s="196"/>
      <c r="U158" s="196"/>
      <c r="V158" s="89">
        <f t="shared" si="141"/>
        <v>0</v>
      </c>
      <c r="W158" s="196">
        <v>0</v>
      </c>
      <c r="X158" s="196">
        <v>0</v>
      </c>
      <c r="Y158" s="196"/>
      <c r="Z158" s="196"/>
      <c r="AA158" s="89">
        <f t="shared" si="142"/>
        <v>0</v>
      </c>
      <c r="AB158" s="196"/>
      <c r="AC158" s="196"/>
      <c r="AD158" s="196"/>
      <c r="AE158" s="196"/>
      <c r="AF158" s="196"/>
      <c r="AG158" s="89">
        <f t="shared" si="143"/>
        <v>0</v>
      </c>
      <c r="AH158" s="196"/>
      <c r="AI158" s="196"/>
      <c r="AJ158" s="196"/>
      <c r="AK158" s="196"/>
      <c r="AL158" s="89">
        <f t="shared" si="144"/>
        <v>0</v>
      </c>
      <c r="AM158" s="88"/>
      <c r="AN158" s="88"/>
      <c r="AO158" s="88"/>
      <c r="AP158" s="88"/>
      <c r="AQ158" s="88"/>
      <c r="AR158" s="89">
        <f t="shared" si="145"/>
        <v>0</v>
      </c>
      <c r="AS158" s="88"/>
      <c r="AT158" s="88"/>
      <c r="AU158" s="88"/>
      <c r="AV158" s="88"/>
      <c r="AW158" s="89">
        <f t="shared" si="146"/>
        <v>0</v>
      </c>
      <c r="AX158" s="88"/>
      <c r="AY158" s="88"/>
      <c r="AZ158" s="88"/>
      <c r="BA158" s="88"/>
      <c r="BB158" s="89">
        <f t="shared" si="147"/>
        <v>0</v>
      </c>
      <c r="BC158" s="88"/>
      <c r="BD158" s="88"/>
      <c r="BE158" s="88"/>
      <c r="BF158" s="88"/>
      <c r="BG158" s="88"/>
      <c r="BH158" s="89">
        <f t="shared" si="148"/>
        <v>0</v>
      </c>
      <c r="BI158" s="88"/>
      <c r="BJ158" s="88"/>
      <c r="BK158" s="88"/>
      <c r="BL158" s="88"/>
      <c r="BM158" s="89">
        <f t="shared" si="149"/>
        <v>0</v>
      </c>
    </row>
    <row r="159" spans="1:65" ht="15.75" customHeight="1" x14ac:dyDescent="0.25">
      <c r="A159" s="92" t="s">
        <v>518</v>
      </c>
      <c r="B159" s="196">
        <v>0</v>
      </c>
      <c r="C159" s="196">
        <v>0</v>
      </c>
      <c r="D159" s="196">
        <v>0</v>
      </c>
      <c r="E159" s="196">
        <v>0</v>
      </c>
      <c r="F159" s="89">
        <f t="shared" si="138"/>
        <v>0</v>
      </c>
      <c r="G159" s="196">
        <v>0</v>
      </c>
      <c r="H159" s="196">
        <v>0</v>
      </c>
      <c r="I159" s="196">
        <v>0</v>
      </c>
      <c r="J159" s="196">
        <v>0</v>
      </c>
      <c r="K159" s="89">
        <f t="shared" si="139"/>
        <v>0</v>
      </c>
      <c r="L159" s="196">
        <v>0</v>
      </c>
      <c r="M159" s="196">
        <v>0</v>
      </c>
      <c r="N159" s="196">
        <v>0</v>
      </c>
      <c r="O159" s="196">
        <v>0</v>
      </c>
      <c r="P159" s="196">
        <v>0</v>
      </c>
      <c r="Q159" s="89">
        <f t="shared" si="140"/>
        <v>0</v>
      </c>
      <c r="R159" s="196"/>
      <c r="S159" s="196"/>
      <c r="T159" s="196"/>
      <c r="U159" s="196"/>
      <c r="V159" s="89">
        <f t="shared" si="141"/>
        <v>0</v>
      </c>
      <c r="W159" s="196">
        <v>0</v>
      </c>
      <c r="X159" s="196">
        <v>0</v>
      </c>
      <c r="Y159" s="196"/>
      <c r="Z159" s="196"/>
      <c r="AA159" s="89">
        <f t="shared" si="142"/>
        <v>0</v>
      </c>
      <c r="AB159" s="196"/>
      <c r="AC159" s="196"/>
      <c r="AD159" s="196"/>
      <c r="AE159" s="196"/>
      <c r="AF159" s="196"/>
      <c r="AG159" s="89">
        <f t="shared" si="143"/>
        <v>0</v>
      </c>
      <c r="AH159" s="196"/>
      <c r="AI159" s="196"/>
      <c r="AJ159" s="196"/>
      <c r="AK159" s="196"/>
      <c r="AL159" s="89">
        <f t="shared" si="144"/>
        <v>0</v>
      </c>
      <c r="AM159" s="88"/>
      <c r="AN159" s="88"/>
      <c r="AO159" s="88"/>
      <c r="AP159" s="88"/>
      <c r="AQ159" s="88"/>
      <c r="AR159" s="89">
        <f t="shared" si="145"/>
        <v>0</v>
      </c>
      <c r="AS159" s="88"/>
      <c r="AT159" s="88"/>
      <c r="AU159" s="88"/>
      <c r="AV159" s="88"/>
      <c r="AW159" s="89">
        <f t="shared" si="146"/>
        <v>0</v>
      </c>
      <c r="AX159" s="88"/>
      <c r="AY159" s="88"/>
      <c r="AZ159" s="88"/>
      <c r="BA159" s="88"/>
      <c r="BB159" s="89">
        <f t="shared" si="147"/>
        <v>0</v>
      </c>
      <c r="BC159" s="88"/>
      <c r="BD159" s="88"/>
      <c r="BE159" s="88"/>
      <c r="BF159" s="88"/>
      <c r="BG159" s="88"/>
      <c r="BH159" s="89">
        <f t="shared" si="148"/>
        <v>0</v>
      </c>
      <c r="BI159" s="88"/>
      <c r="BJ159" s="88"/>
      <c r="BK159" s="88"/>
      <c r="BL159" s="88"/>
      <c r="BM159" s="89">
        <f t="shared" si="149"/>
        <v>0</v>
      </c>
    </row>
    <row r="160" spans="1:65" ht="15.75" customHeight="1" x14ac:dyDescent="0.25">
      <c r="A160" s="92" t="s">
        <v>519</v>
      </c>
      <c r="B160" s="196">
        <v>0</v>
      </c>
      <c r="C160" s="196">
        <v>0</v>
      </c>
      <c r="D160" s="196">
        <v>0</v>
      </c>
      <c r="E160" s="196">
        <v>0</v>
      </c>
      <c r="F160" s="89">
        <f t="shared" si="138"/>
        <v>0</v>
      </c>
      <c r="G160" s="196">
        <v>0</v>
      </c>
      <c r="H160" s="196">
        <v>0</v>
      </c>
      <c r="I160" s="196">
        <v>0</v>
      </c>
      <c r="J160" s="196">
        <v>0</v>
      </c>
      <c r="K160" s="89">
        <f t="shared" si="139"/>
        <v>0</v>
      </c>
      <c r="L160" s="196">
        <v>0</v>
      </c>
      <c r="M160" s="196">
        <v>0</v>
      </c>
      <c r="N160" s="196">
        <v>0</v>
      </c>
      <c r="O160" s="196">
        <v>0</v>
      </c>
      <c r="P160" s="196">
        <v>0</v>
      </c>
      <c r="Q160" s="89">
        <f t="shared" si="140"/>
        <v>0</v>
      </c>
      <c r="R160" s="196"/>
      <c r="S160" s="196"/>
      <c r="T160" s="196"/>
      <c r="U160" s="196"/>
      <c r="V160" s="89">
        <f t="shared" si="141"/>
        <v>0</v>
      </c>
      <c r="W160" s="196">
        <v>0</v>
      </c>
      <c r="X160" s="196">
        <v>0</v>
      </c>
      <c r="Y160" s="196"/>
      <c r="Z160" s="196"/>
      <c r="AA160" s="89">
        <f t="shared" si="142"/>
        <v>0</v>
      </c>
      <c r="AB160" s="196"/>
      <c r="AC160" s="196"/>
      <c r="AD160" s="196"/>
      <c r="AE160" s="196"/>
      <c r="AF160" s="196"/>
      <c r="AG160" s="89">
        <f t="shared" si="143"/>
        <v>0</v>
      </c>
      <c r="AH160" s="196"/>
      <c r="AI160" s="196"/>
      <c r="AJ160" s="196"/>
      <c r="AK160" s="196"/>
      <c r="AL160" s="89">
        <f t="shared" si="144"/>
        <v>0</v>
      </c>
      <c r="AM160" s="88"/>
      <c r="AN160" s="88"/>
      <c r="AO160" s="88"/>
      <c r="AP160" s="88"/>
      <c r="AQ160" s="88"/>
      <c r="AR160" s="89">
        <f t="shared" si="145"/>
        <v>0</v>
      </c>
      <c r="AS160" s="88"/>
      <c r="AT160" s="88"/>
      <c r="AU160" s="88"/>
      <c r="AV160" s="88"/>
      <c r="AW160" s="89">
        <f t="shared" si="146"/>
        <v>0</v>
      </c>
      <c r="AX160" s="88"/>
      <c r="AY160" s="88"/>
      <c r="AZ160" s="88"/>
      <c r="BA160" s="88"/>
      <c r="BB160" s="89">
        <f t="shared" si="147"/>
        <v>0</v>
      </c>
      <c r="BC160" s="88"/>
      <c r="BD160" s="88"/>
      <c r="BE160" s="88"/>
      <c r="BF160" s="88"/>
      <c r="BG160" s="88"/>
      <c r="BH160" s="89">
        <f t="shared" si="148"/>
        <v>0</v>
      </c>
      <c r="BI160" s="88"/>
      <c r="BJ160" s="88"/>
      <c r="BK160" s="88"/>
      <c r="BL160" s="88"/>
      <c r="BM160" s="89">
        <f t="shared" si="149"/>
        <v>0</v>
      </c>
    </row>
    <row r="161" spans="1:65" ht="15.75" customHeight="1" x14ac:dyDescent="0.25">
      <c r="A161" s="92" t="s">
        <v>459</v>
      </c>
      <c r="B161" s="196">
        <v>200</v>
      </c>
      <c r="C161" s="196">
        <v>400</v>
      </c>
      <c r="D161" s="196">
        <v>400</v>
      </c>
      <c r="E161" s="196">
        <v>0</v>
      </c>
      <c r="F161" s="89">
        <f t="shared" si="138"/>
        <v>1000</v>
      </c>
      <c r="G161" s="196">
        <v>800</v>
      </c>
      <c r="H161" s="196">
        <v>400</v>
      </c>
      <c r="I161" s="196">
        <v>400</v>
      </c>
      <c r="J161" s="196">
        <v>200</v>
      </c>
      <c r="K161" s="89">
        <f t="shared" si="139"/>
        <v>1800</v>
      </c>
      <c r="L161" s="196">
        <v>200</v>
      </c>
      <c r="M161" s="196">
        <v>200</v>
      </c>
      <c r="N161" s="196">
        <v>600</v>
      </c>
      <c r="O161" s="196">
        <v>0</v>
      </c>
      <c r="P161" s="196">
        <v>200</v>
      </c>
      <c r="Q161" s="89">
        <f t="shared" si="140"/>
        <v>1200</v>
      </c>
      <c r="R161" s="196"/>
      <c r="S161" s="196"/>
      <c r="T161" s="196"/>
      <c r="U161" s="196"/>
      <c r="V161" s="89">
        <f t="shared" si="141"/>
        <v>0</v>
      </c>
      <c r="W161" s="196">
        <v>200</v>
      </c>
      <c r="X161" s="196">
        <v>0</v>
      </c>
      <c r="Y161" s="196"/>
      <c r="Z161" s="196"/>
      <c r="AA161" s="89">
        <f t="shared" si="142"/>
        <v>200</v>
      </c>
      <c r="AB161" s="196"/>
      <c r="AC161" s="196"/>
      <c r="AD161" s="196"/>
      <c r="AE161" s="196"/>
      <c r="AF161" s="196"/>
      <c r="AG161" s="89">
        <f t="shared" si="143"/>
        <v>0</v>
      </c>
      <c r="AH161" s="196"/>
      <c r="AI161" s="196"/>
      <c r="AJ161" s="196"/>
      <c r="AK161" s="196"/>
      <c r="AL161" s="89">
        <f t="shared" si="144"/>
        <v>0</v>
      </c>
      <c r="AM161" s="88"/>
      <c r="AN161" s="88"/>
      <c r="AO161" s="88"/>
      <c r="AP161" s="88"/>
      <c r="AQ161" s="88"/>
      <c r="AR161" s="89">
        <f t="shared" si="145"/>
        <v>0</v>
      </c>
      <c r="AS161" s="88"/>
      <c r="AT161" s="88"/>
      <c r="AU161" s="88"/>
      <c r="AV161" s="88"/>
      <c r="AW161" s="89">
        <f t="shared" si="146"/>
        <v>0</v>
      </c>
      <c r="AX161" s="88"/>
      <c r="AY161" s="88"/>
      <c r="AZ161" s="88"/>
      <c r="BA161" s="88"/>
      <c r="BB161" s="89">
        <f t="shared" si="147"/>
        <v>0</v>
      </c>
      <c r="BC161" s="88"/>
      <c r="BD161" s="88"/>
      <c r="BE161" s="88"/>
      <c r="BF161" s="88"/>
      <c r="BG161" s="88"/>
      <c r="BH161" s="89">
        <f t="shared" si="148"/>
        <v>0</v>
      </c>
      <c r="BI161" s="88"/>
      <c r="BJ161" s="88"/>
      <c r="BK161" s="88"/>
      <c r="BL161" s="88"/>
      <c r="BM161" s="89">
        <f t="shared" si="149"/>
        <v>0</v>
      </c>
    </row>
    <row r="162" spans="1:65" ht="15.75" customHeight="1" x14ac:dyDescent="0.25">
      <c r="A162" s="92" t="s">
        <v>461</v>
      </c>
      <c r="B162" s="196">
        <v>0</v>
      </c>
      <c r="C162" s="196">
        <v>200</v>
      </c>
      <c r="D162" s="196">
        <v>0</v>
      </c>
      <c r="E162" s="196">
        <v>200</v>
      </c>
      <c r="F162" s="89">
        <f t="shared" si="138"/>
        <v>400</v>
      </c>
      <c r="G162" s="196">
        <v>0</v>
      </c>
      <c r="H162" s="196">
        <v>200</v>
      </c>
      <c r="I162" s="196">
        <v>0</v>
      </c>
      <c r="J162" s="196">
        <v>200</v>
      </c>
      <c r="K162" s="89">
        <f t="shared" si="139"/>
        <v>400</v>
      </c>
      <c r="L162" s="196">
        <v>200</v>
      </c>
      <c r="M162" s="196">
        <v>200</v>
      </c>
      <c r="N162" s="196">
        <v>0</v>
      </c>
      <c r="O162" s="196">
        <v>0</v>
      </c>
      <c r="P162" s="196">
        <v>0</v>
      </c>
      <c r="Q162" s="89">
        <f t="shared" si="140"/>
        <v>400</v>
      </c>
      <c r="R162" s="196"/>
      <c r="S162" s="196"/>
      <c r="T162" s="196"/>
      <c r="U162" s="196"/>
      <c r="V162" s="89">
        <f t="shared" si="141"/>
        <v>0</v>
      </c>
      <c r="W162" s="196">
        <v>200</v>
      </c>
      <c r="X162" s="196">
        <v>200</v>
      </c>
      <c r="Y162" s="196"/>
      <c r="Z162" s="196"/>
      <c r="AA162" s="89">
        <f t="shared" si="142"/>
        <v>400</v>
      </c>
      <c r="AB162" s="196"/>
      <c r="AC162" s="196"/>
      <c r="AD162" s="196"/>
      <c r="AE162" s="196"/>
      <c r="AF162" s="196"/>
      <c r="AG162" s="89">
        <f t="shared" si="143"/>
        <v>0</v>
      </c>
      <c r="AH162" s="196"/>
      <c r="AI162" s="196"/>
      <c r="AJ162" s="196"/>
      <c r="AK162" s="196"/>
      <c r="AL162" s="89">
        <f t="shared" si="144"/>
        <v>0</v>
      </c>
      <c r="AM162" s="88"/>
      <c r="AN162" s="88"/>
      <c r="AO162" s="88"/>
      <c r="AP162" s="88"/>
      <c r="AQ162" s="88"/>
      <c r="AR162" s="89">
        <f t="shared" si="145"/>
        <v>0</v>
      </c>
      <c r="AS162" s="88"/>
      <c r="AT162" s="88"/>
      <c r="AU162" s="88"/>
      <c r="AV162" s="88"/>
      <c r="AW162" s="89">
        <f t="shared" si="146"/>
        <v>0</v>
      </c>
      <c r="AX162" s="88"/>
      <c r="AY162" s="88"/>
      <c r="AZ162" s="88"/>
      <c r="BA162" s="88"/>
      <c r="BB162" s="89">
        <f t="shared" si="147"/>
        <v>0</v>
      </c>
      <c r="BC162" s="88"/>
      <c r="BD162" s="88"/>
      <c r="BE162" s="88"/>
      <c r="BF162" s="88"/>
      <c r="BG162" s="88"/>
      <c r="BH162" s="89">
        <f t="shared" si="148"/>
        <v>0</v>
      </c>
      <c r="BI162" s="88"/>
      <c r="BJ162" s="88"/>
      <c r="BK162" s="88"/>
      <c r="BL162" s="88"/>
      <c r="BM162" s="89">
        <f t="shared" si="149"/>
        <v>0</v>
      </c>
    </row>
    <row r="163" spans="1:65" ht="15.75" customHeight="1" x14ac:dyDescent="0.25">
      <c r="A163" s="92" t="s">
        <v>462</v>
      </c>
      <c r="B163" s="196">
        <v>100</v>
      </c>
      <c r="C163" s="196">
        <v>100</v>
      </c>
      <c r="D163" s="196">
        <v>0</v>
      </c>
      <c r="E163" s="196">
        <v>0</v>
      </c>
      <c r="F163" s="89">
        <f t="shared" si="138"/>
        <v>200</v>
      </c>
      <c r="G163" s="196">
        <v>100</v>
      </c>
      <c r="H163" s="196">
        <v>0</v>
      </c>
      <c r="I163" s="196">
        <v>0</v>
      </c>
      <c r="J163" s="196">
        <v>0</v>
      </c>
      <c r="K163" s="89">
        <f t="shared" si="139"/>
        <v>100</v>
      </c>
      <c r="L163" s="196">
        <v>100</v>
      </c>
      <c r="M163" s="196">
        <v>100</v>
      </c>
      <c r="N163" s="196">
        <v>0</v>
      </c>
      <c r="O163" s="196">
        <v>0</v>
      </c>
      <c r="P163" s="196">
        <v>100</v>
      </c>
      <c r="Q163" s="89">
        <f t="shared" si="140"/>
        <v>300</v>
      </c>
      <c r="R163" s="196"/>
      <c r="S163" s="196"/>
      <c r="T163" s="196"/>
      <c r="U163" s="196"/>
      <c r="V163" s="89">
        <f t="shared" si="141"/>
        <v>0</v>
      </c>
      <c r="W163" s="196">
        <v>0</v>
      </c>
      <c r="X163" s="196">
        <v>100</v>
      </c>
      <c r="Y163" s="196"/>
      <c r="Z163" s="196"/>
      <c r="AA163" s="89">
        <f t="shared" si="142"/>
        <v>100</v>
      </c>
      <c r="AB163" s="196"/>
      <c r="AC163" s="196"/>
      <c r="AD163" s="196"/>
      <c r="AE163" s="196"/>
      <c r="AF163" s="196"/>
      <c r="AG163" s="89">
        <f t="shared" si="143"/>
        <v>0</v>
      </c>
      <c r="AH163" s="196"/>
      <c r="AI163" s="196"/>
      <c r="AJ163" s="196"/>
      <c r="AK163" s="196"/>
      <c r="AL163" s="89">
        <f t="shared" si="144"/>
        <v>0</v>
      </c>
      <c r="AM163" s="88"/>
      <c r="AN163" s="88"/>
      <c r="AO163" s="88"/>
      <c r="AP163" s="88"/>
      <c r="AQ163" s="88"/>
      <c r="AR163" s="89">
        <f t="shared" si="145"/>
        <v>0</v>
      </c>
      <c r="AS163" s="88"/>
      <c r="AT163" s="88"/>
      <c r="AU163" s="88"/>
      <c r="AV163" s="88"/>
      <c r="AW163" s="89">
        <f t="shared" si="146"/>
        <v>0</v>
      </c>
      <c r="AX163" s="88"/>
      <c r="AY163" s="88"/>
      <c r="AZ163" s="88"/>
      <c r="BA163" s="88"/>
      <c r="BB163" s="89">
        <f t="shared" si="147"/>
        <v>0</v>
      </c>
      <c r="BC163" s="88"/>
      <c r="BD163" s="88"/>
      <c r="BE163" s="88"/>
      <c r="BF163" s="88"/>
      <c r="BG163" s="88"/>
      <c r="BH163" s="89">
        <f t="shared" si="148"/>
        <v>0</v>
      </c>
      <c r="BI163" s="88"/>
      <c r="BJ163" s="88"/>
      <c r="BK163" s="88"/>
      <c r="BL163" s="88"/>
      <c r="BM163" s="89">
        <f t="shared" si="149"/>
        <v>0</v>
      </c>
    </row>
    <row r="164" spans="1:65" ht="15.75" customHeight="1" x14ac:dyDescent="0.25">
      <c r="A164" s="197" t="s">
        <v>522</v>
      </c>
      <c r="B164" s="196">
        <v>0</v>
      </c>
      <c r="C164" s="196">
        <v>0</v>
      </c>
      <c r="D164" s="196">
        <v>0</v>
      </c>
      <c r="E164" s="196">
        <v>0</v>
      </c>
      <c r="F164" s="89">
        <f t="shared" si="138"/>
        <v>0</v>
      </c>
      <c r="G164" s="196">
        <v>0</v>
      </c>
      <c r="H164" s="196">
        <v>0</v>
      </c>
      <c r="I164" s="196">
        <v>0</v>
      </c>
      <c r="J164" s="196">
        <v>0</v>
      </c>
      <c r="K164" s="89">
        <f t="shared" si="139"/>
        <v>0</v>
      </c>
      <c r="L164" s="196">
        <v>0</v>
      </c>
      <c r="M164" s="196">
        <v>0</v>
      </c>
      <c r="N164" s="196">
        <v>0</v>
      </c>
      <c r="O164" s="196">
        <v>0</v>
      </c>
      <c r="P164" s="196">
        <v>0</v>
      </c>
      <c r="Q164" s="89">
        <f t="shared" si="140"/>
        <v>0</v>
      </c>
      <c r="R164" s="196"/>
      <c r="S164" s="196"/>
      <c r="T164" s="196"/>
      <c r="U164" s="196"/>
      <c r="V164" s="89">
        <f t="shared" si="141"/>
        <v>0</v>
      </c>
      <c r="W164" s="196">
        <v>0</v>
      </c>
      <c r="X164" s="196">
        <v>0</v>
      </c>
      <c r="Y164" s="196"/>
      <c r="Z164" s="196"/>
      <c r="AA164" s="89">
        <f t="shared" si="142"/>
        <v>0</v>
      </c>
      <c r="AB164" s="196"/>
      <c r="AC164" s="196"/>
      <c r="AD164" s="196"/>
      <c r="AE164" s="196"/>
      <c r="AF164" s="196"/>
      <c r="AG164" s="89">
        <f t="shared" si="143"/>
        <v>0</v>
      </c>
      <c r="AH164" s="196"/>
      <c r="AI164" s="196"/>
      <c r="AJ164" s="196"/>
      <c r="AK164" s="196"/>
      <c r="AL164" s="89">
        <f t="shared" si="144"/>
        <v>0</v>
      </c>
      <c r="AM164" s="88"/>
      <c r="AN164" s="88"/>
      <c r="AO164" s="88"/>
      <c r="AP164" s="88"/>
      <c r="AQ164" s="88"/>
      <c r="AR164" s="89">
        <f t="shared" si="145"/>
        <v>0</v>
      </c>
      <c r="AS164" s="88"/>
      <c r="AT164" s="88"/>
      <c r="AU164" s="88"/>
      <c r="AV164" s="88"/>
      <c r="AW164" s="89">
        <f t="shared" si="146"/>
        <v>0</v>
      </c>
      <c r="AX164" s="88"/>
      <c r="AY164" s="88"/>
      <c r="AZ164" s="88"/>
      <c r="BA164" s="88"/>
      <c r="BB164" s="89">
        <f t="shared" si="147"/>
        <v>0</v>
      </c>
      <c r="BC164" s="88"/>
      <c r="BD164" s="88"/>
      <c r="BE164" s="88"/>
      <c r="BF164" s="88"/>
      <c r="BG164" s="88"/>
      <c r="BH164" s="89">
        <f t="shared" si="148"/>
        <v>0</v>
      </c>
      <c r="BI164" s="88"/>
      <c r="BJ164" s="88"/>
      <c r="BK164" s="88"/>
      <c r="BL164" s="88"/>
      <c r="BM164" s="89">
        <f t="shared" si="149"/>
        <v>0</v>
      </c>
    </row>
    <row r="165" spans="1:65" ht="15.75" customHeight="1" x14ac:dyDescent="0.25">
      <c r="A165" s="197" t="s">
        <v>523</v>
      </c>
      <c r="B165" s="196">
        <v>0</v>
      </c>
      <c r="C165" s="196">
        <v>0</v>
      </c>
      <c r="D165" s="196">
        <v>0</v>
      </c>
      <c r="E165" s="196">
        <v>0</v>
      </c>
      <c r="F165" s="89">
        <f t="shared" si="138"/>
        <v>0</v>
      </c>
      <c r="G165" s="196">
        <v>0</v>
      </c>
      <c r="H165" s="196">
        <v>0</v>
      </c>
      <c r="I165" s="196">
        <v>0</v>
      </c>
      <c r="J165" s="196">
        <v>0</v>
      </c>
      <c r="K165" s="89">
        <f t="shared" si="139"/>
        <v>0</v>
      </c>
      <c r="L165" s="196">
        <v>0</v>
      </c>
      <c r="M165" s="196">
        <v>0</v>
      </c>
      <c r="N165" s="196">
        <v>0</v>
      </c>
      <c r="O165" s="196">
        <v>0</v>
      </c>
      <c r="P165" s="196">
        <v>0</v>
      </c>
      <c r="Q165" s="89">
        <f t="shared" si="140"/>
        <v>0</v>
      </c>
      <c r="R165" s="196"/>
      <c r="S165" s="196"/>
      <c r="T165" s="196"/>
      <c r="U165" s="196"/>
      <c r="V165" s="89">
        <f t="shared" si="141"/>
        <v>0</v>
      </c>
      <c r="W165" s="196">
        <v>0</v>
      </c>
      <c r="X165" s="196">
        <v>0</v>
      </c>
      <c r="Y165" s="196"/>
      <c r="Z165" s="196"/>
      <c r="AA165" s="89">
        <f t="shared" si="142"/>
        <v>0</v>
      </c>
      <c r="AB165" s="196"/>
      <c r="AC165" s="196"/>
      <c r="AD165" s="196"/>
      <c r="AE165" s="196"/>
      <c r="AF165" s="196"/>
      <c r="AG165" s="89">
        <f t="shared" si="143"/>
        <v>0</v>
      </c>
      <c r="AH165" s="196"/>
      <c r="AI165" s="196"/>
      <c r="AJ165" s="196"/>
      <c r="AK165" s="196"/>
      <c r="AL165" s="89">
        <f t="shared" si="144"/>
        <v>0</v>
      </c>
      <c r="AM165" s="88"/>
      <c r="AN165" s="88"/>
      <c r="AO165" s="88"/>
      <c r="AP165" s="88"/>
      <c r="AQ165" s="88"/>
      <c r="AR165" s="89">
        <f t="shared" si="145"/>
        <v>0</v>
      </c>
      <c r="AS165" s="88"/>
      <c r="AT165" s="88"/>
      <c r="AU165" s="88"/>
      <c r="AV165" s="88"/>
      <c r="AW165" s="89">
        <f t="shared" si="146"/>
        <v>0</v>
      </c>
      <c r="AX165" s="88"/>
      <c r="AY165" s="88"/>
      <c r="AZ165" s="88"/>
      <c r="BA165" s="88"/>
      <c r="BB165" s="89">
        <f t="shared" si="147"/>
        <v>0</v>
      </c>
      <c r="BC165" s="88"/>
      <c r="BD165" s="88"/>
      <c r="BE165" s="88"/>
      <c r="BF165" s="88"/>
      <c r="BG165" s="88"/>
      <c r="BH165" s="89">
        <f t="shared" si="148"/>
        <v>0</v>
      </c>
      <c r="BI165" s="88"/>
      <c r="BJ165" s="88"/>
      <c r="BK165" s="88"/>
      <c r="BL165" s="88"/>
      <c r="BM165" s="89">
        <f t="shared" si="149"/>
        <v>0</v>
      </c>
    </row>
    <row r="166" spans="1:65" ht="15.75" customHeight="1" x14ac:dyDescent="0.25">
      <c r="A166" s="92" t="s">
        <v>524</v>
      </c>
      <c r="B166" s="196">
        <v>0</v>
      </c>
      <c r="C166" s="196">
        <v>0</v>
      </c>
      <c r="D166" s="196">
        <v>0</v>
      </c>
      <c r="E166" s="196">
        <v>0</v>
      </c>
      <c r="F166" s="89">
        <f t="shared" si="138"/>
        <v>0</v>
      </c>
      <c r="G166" s="196">
        <v>0</v>
      </c>
      <c r="H166" s="196">
        <v>0</v>
      </c>
      <c r="I166" s="196">
        <v>0</v>
      </c>
      <c r="J166" s="196">
        <v>0</v>
      </c>
      <c r="K166" s="89">
        <f t="shared" si="139"/>
        <v>0</v>
      </c>
      <c r="L166" s="196">
        <v>0</v>
      </c>
      <c r="M166" s="196">
        <v>0</v>
      </c>
      <c r="N166" s="196">
        <v>0</v>
      </c>
      <c r="O166" s="196">
        <v>0</v>
      </c>
      <c r="P166" s="196">
        <v>0</v>
      </c>
      <c r="Q166" s="89">
        <f t="shared" si="140"/>
        <v>0</v>
      </c>
      <c r="R166" s="196"/>
      <c r="S166" s="196"/>
      <c r="T166" s="196"/>
      <c r="U166" s="196"/>
      <c r="V166" s="89">
        <f t="shared" si="141"/>
        <v>0</v>
      </c>
      <c r="W166" s="196">
        <v>0</v>
      </c>
      <c r="X166" s="196">
        <v>0</v>
      </c>
      <c r="Y166" s="196"/>
      <c r="Z166" s="196"/>
      <c r="AA166" s="89">
        <f t="shared" si="142"/>
        <v>0</v>
      </c>
      <c r="AB166" s="196"/>
      <c r="AC166" s="196"/>
      <c r="AD166" s="196"/>
      <c r="AE166" s="196"/>
      <c r="AF166" s="196"/>
      <c r="AG166" s="89">
        <f t="shared" si="143"/>
        <v>0</v>
      </c>
      <c r="AH166" s="196"/>
      <c r="AI166" s="196"/>
      <c r="AJ166" s="196"/>
      <c r="AK166" s="196"/>
      <c r="AL166" s="89">
        <f t="shared" si="144"/>
        <v>0</v>
      </c>
      <c r="AM166" s="88"/>
      <c r="AN166" s="88"/>
      <c r="AO166" s="88"/>
      <c r="AP166" s="88"/>
      <c r="AQ166" s="88"/>
      <c r="AR166" s="89">
        <f t="shared" si="145"/>
        <v>0</v>
      </c>
      <c r="AS166" s="88"/>
      <c r="AT166" s="88"/>
      <c r="AU166" s="88"/>
      <c r="AV166" s="88"/>
      <c r="AW166" s="89">
        <f t="shared" si="146"/>
        <v>0</v>
      </c>
      <c r="AX166" s="88"/>
      <c r="AY166" s="88"/>
      <c r="AZ166" s="88"/>
      <c r="BA166" s="88"/>
      <c r="BB166" s="89">
        <f t="shared" si="147"/>
        <v>0</v>
      </c>
      <c r="BC166" s="88"/>
      <c r="BD166" s="88"/>
      <c r="BE166" s="88"/>
      <c r="BF166" s="88"/>
      <c r="BG166" s="88"/>
      <c r="BH166" s="89">
        <f t="shared" si="148"/>
        <v>0</v>
      </c>
      <c r="BI166" s="88"/>
      <c r="BJ166" s="88"/>
      <c r="BK166" s="88"/>
      <c r="BL166" s="88"/>
      <c r="BM166" s="89">
        <f t="shared" si="149"/>
        <v>0</v>
      </c>
    </row>
    <row r="167" spans="1:65" ht="15.75" customHeight="1" x14ac:dyDescent="0.25">
      <c r="A167" s="93" t="s">
        <v>401</v>
      </c>
      <c r="B167" s="94">
        <f>SUM(B140:B143)</f>
        <v>900</v>
      </c>
      <c r="C167" s="94">
        <f>SUM(C140:C143)</f>
        <v>2100</v>
      </c>
      <c r="D167" s="94">
        <f>SUM(D140:D143)</f>
        <v>1400</v>
      </c>
      <c r="E167" s="94">
        <f>SUM(E140:E143)</f>
        <v>1700</v>
      </c>
      <c r="F167" s="94">
        <f>F140+F141+F142+F143+F154+F155+F156+F161+F162+F163</f>
        <v>7700</v>
      </c>
      <c r="G167" s="94">
        <f>SUM(G140:G143)</f>
        <v>2100</v>
      </c>
      <c r="H167" s="94">
        <f>SUM(H140:H143)</f>
        <v>2200</v>
      </c>
      <c r="I167" s="94">
        <f>SUM(I140:I143)</f>
        <v>1600</v>
      </c>
      <c r="J167" s="94">
        <f>SUM(J140:J143)</f>
        <v>800</v>
      </c>
      <c r="K167" s="94">
        <f>K140+K141+K142+K143+K154+K155+K156+K161+K162+K163</f>
        <v>9000</v>
      </c>
      <c r="L167" s="94">
        <f>SUM(L140:L143)</f>
        <v>2100</v>
      </c>
      <c r="M167" s="94">
        <f>SUM(M140:M143)</f>
        <v>2100</v>
      </c>
      <c r="N167" s="94">
        <f>SUM(N140:N143)</f>
        <v>1800</v>
      </c>
      <c r="O167" s="94">
        <f>SUM(O140:O143)</f>
        <v>1600</v>
      </c>
      <c r="P167" s="94">
        <f>SUM(P140:P143)</f>
        <v>1600</v>
      </c>
      <c r="Q167" s="94">
        <f>Q140+Q141+Q142+Q143+Q154+Q155+Q156+Q161+Q162+Q163</f>
        <v>11100</v>
      </c>
      <c r="R167" s="94">
        <f>SUM(R140:R143)</f>
        <v>0</v>
      </c>
      <c r="S167" s="94">
        <f>SUM(S140:S143)</f>
        <v>0</v>
      </c>
      <c r="T167" s="94">
        <f>SUM(T140:T143)</f>
        <v>0</v>
      </c>
      <c r="U167" s="94">
        <f>SUM(U140:U143)</f>
        <v>0</v>
      </c>
      <c r="V167" s="94">
        <f>V140+V141+V142+V143+V154+V155+V156+V161+V162+V163</f>
        <v>0</v>
      </c>
      <c r="W167" s="94">
        <f>SUM(W140:W143)</f>
        <v>400</v>
      </c>
      <c r="X167" s="94">
        <f>SUM(X140:X143)</f>
        <v>2500</v>
      </c>
      <c r="Y167" s="94">
        <f>SUM(Y140:Y143)</f>
        <v>0</v>
      </c>
      <c r="Z167" s="94">
        <f>SUM(Z140:Z143)</f>
        <v>0</v>
      </c>
      <c r="AA167" s="94">
        <f>AA140+AA141+AA142+AA143+AA154+AA155+AA156+AA161+AA162+AA163</f>
        <v>3600</v>
      </c>
      <c r="AB167" s="94">
        <f>SUM(AB140:AB143)</f>
        <v>0</v>
      </c>
      <c r="AC167" s="94">
        <f>SUM(AC140:AC143)</f>
        <v>0</v>
      </c>
      <c r="AD167" s="94">
        <f>SUM(AD140:AD143)</f>
        <v>0</v>
      </c>
      <c r="AE167" s="94">
        <f>SUM(AE140:AE143)</f>
        <v>0</v>
      </c>
      <c r="AF167" s="94">
        <f>SUM(AF140:AF143)</f>
        <v>0</v>
      </c>
      <c r="AG167" s="94">
        <f>AG140+AG141+AG142+AG143+AG154+AG155+AG156+AG161+AG162+AG163</f>
        <v>0</v>
      </c>
      <c r="AH167" s="94">
        <f>SUM(AH140:AH143)</f>
        <v>0</v>
      </c>
      <c r="AI167" s="94">
        <f>SUM(AI140:AI143)</f>
        <v>0</v>
      </c>
      <c r="AJ167" s="94">
        <f>SUM(AJ140:AJ143)</f>
        <v>0</v>
      </c>
      <c r="AK167" s="94">
        <f>SUM(AK140:AK143)</f>
        <v>0</v>
      </c>
      <c r="AL167" s="94">
        <f>AL140+AL141+AL142+AL143+AL154+AL155+AL156+AL161+AL162+AL163</f>
        <v>0</v>
      </c>
      <c r="AM167" s="94">
        <f>SUM(AM140:AM143)</f>
        <v>0</v>
      </c>
      <c r="AN167" s="94">
        <f>SUM(AN140:AN143)</f>
        <v>0</v>
      </c>
      <c r="AO167" s="94">
        <f>SUM(AO140:AO143)</f>
        <v>0</v>
      </c>
      <c r="AP167" s="94">
        <f>SUM(AP140:AP143)</f>
        <v>0</v>
      </c>
      <c r="AQ167" s="94">
        <f>SUM(AQ140:AQ143)</f>
        <v>0</v>
      </c>
      <c r="AR167" s="94">
        <f>AR140+AR141+AR142+AR143+AR154+AR155+AR156+AR161+AR162+AR163</f>
        <v>0</v>
      </c>
      <c r="AS167" s="94">
        <f>SUM(AS140:AS143)</f>
        <v>0</v>
      </c>
      <c r="AT167" s="94">
        <f>SUM(AT140:AT143)</f>
        <v>0</v>
      </c>
      <c r="AU167" s="94">
        <f>SUM(AU140:AU143)</f>
        <v>0</v>
      </c>
      <c r="AV167" s="94">
        <f>SUM(AV140:AV143)</f>
        <v>0</v>
      </c>
      <c r="AW167" s="94">
        <f>AW140+AW141+AW142+AW143+AW154+AW155+AW156+AW161+AW162+AW163</f>
        <v>0</v>
      </c>
      <c r="AX167" s="94">
        <f>SUM(AX140:AX143)</f>
        <v>0</v>
      </c>
      <c r="AY167" s="94">
        <f>SUM(AY140:AY143)</f>
        <v>0</v>
      </c>
      <c r="AZ167" s="94">
        <f>SUM(AZ140:AZ143)</f>
        <v>0</v>
      </c>
      <c r="BA167" s="94">
        <f>SUM(BA140:BA143)</f>
        <v>0</v>
      </c>
      <c r="BB167" s="94">
        <f>BB140+BB141+BB142+BB143+BB154+BB155+BB156+BB161+BB162+BB163</f>
        <v>0</v>
      </c>
      <c r="BC167" s="94">
        <f>SUM(BC140:BC143)</f>
        <v>0</v>
      </c>
      <c r="BD167" s="94">
        <f>SUM(BD140:BD143)</f>
        <v>0</v>
      </c>
      <c r="BE167" s="94">
        <f>SUM(BE140:BE143)</f>
        <v>0</v>
      </c>
      <c r="BF167" s="94">
        <f>SUM(BF140:BF143)</f>
        <v>0</v>
      </c>
      <c r="BG167" s="94">
        <f>SUM(BG140:BG143)</f>
        <v>0</v>
      </c>
      <c r="BH167" s="94">
        <f>BH140+BH141+BH142+BH143+BH154+BH155+BH156+BH161+BH162+BH163</f>
        <v>0</v>
      </c>
      <c r="BI167" s="94">
        <f>SUM(BI140:BI143)</f>
        <v>0</v>
      </c>
      <c r="BJ167" s="94">
        <f>SUM(BJ140:BJ143)</f>
        <v>0</v>
      </c>
      <c r="BK167" s="94">
        <f>SUM(BK140:BK143)</f>
        <v>0</v>
      </c>
      <c r="BL167" s="94">
        <f>SUM(BL140:BL143)</f>
        <v>0</v>
      </c>
      <c r="BM167" s="94">
        <f>BM140+BM141+BM142+BM143+BM154+BM155+BM156+BM161+BM162+BM163</f>
        <v>0</v>
      </c>
    </row>
    <row r="169" spans="1:65" ht="15.75" customHeight="1" x14ac:dyDescent="0.25">
      <c r="A169" s="505" t="s">
        <v>542</v>
      </c>
      <c r="B169" s="506"/>
      <c r="C169" s="506"/>
      <c r="D169" s="506"/>
      <c r="E169" s="506"/>
      <c r="F169" s="506"/>
      <c r="G169" s="506"/>
      <c r="H169" s="506"/>
      <c r="I169" s="506"/>
      <c r="J169" s="506"/>
      <c r="K169" s="506"/>
      <c r="L169" s="506"/>
      <c r="M169" s="506"/>
      <c r="N169" s="506"/>
      <c r="O169" s="506"/>
      <c r="P169" s="506"/>
      <c r="Q169" s="506"/>
      <c r="R169" s="506"/>
      <c r="S169" s="506"/>
      <c r="T169" s="506"/>
      <c r="U169" s="506"/>
      <c r="V169" s="506"/>
      <c r="W169" s="506"/>
      <c r="X169" s="506"/>
      <c r="Y169" s="506"/>
      <c r="Z169" s="506"/>
      <c r="AA169" s="506"/>
      <c r="AB169" s="506"/>
      <c r="AC169" s="506"/>
      <c r="AD169" s="506"/>
      <c r="AE169" s="506"/>
      <c r="AF169" s="506"/>
      <c r="AG169" s="506"/>
      <c r="AH169" s="506"/>
      <c r="AI169" s="506"/>
      <c r="AJ169" s="506"/>
      <c r="AK169" s="506"/>
      <c r="AL169" s="506"/>
      <c r="AM169" s="506"/>
      <c r="AN169" s="506"/>
      <c r="AO169" s="506"/>
      <c r="AP169" s="506"/>
      <c r="AQ169" s="506"/>
      <c r="AR169" s="506"/>
      <c r="AS169" s="506"/>
      <c r="AT169" s="506"/>
      <c r="AU169" s="506"/>
      <c r="AV169" s="506"/>
      <c r="AW169" s="506"/>
      <c r="AX169" s="506"/>
      <c r="AY169" s="506"/>
      <c r="AZ169" s="506"/>
      <c r="BA169" s="506"/>
      <c r="BB169" s="506"/>
      <c r="BC169" s="506"/>
      <c r="BD169" s="506"/>
      <c r="BE169" s="506"/>
      <c r="BF169" s="506"/>
      <c r="BG169" s="506"/>
      <c r="BH169" s="506"/>
      <c r="BI169" s="506"/>
      <c r="BJ169" s="506"/>
      <c r="BK169" s="506"/>
      <c r="BL169" s="506"/>
      <c r="BM169" s="506"/>
    </row>
    <row r="170" spans="1:65" ht="15.75" customHeight="1" x14ac:dyDescent="0.25">
      <c r="A170" s="507" t="s">
        <v>490</v>
      </c>
      <c r="B170" s="509" t="s">
        <v>389</v>
      </c>
      <c r="C170" s="485"/>
      <c r="D170" s="485"/>
      <c r="E170" s="485"/>
      <c r="F170" s="504" t="s">
        <v>390</v>
      </c>
      <c r="G170" s="485"/>
      <c r="H170" s="485"/>
      <c r="I170" s="485"/>
      <c r="J170" s="485"/>
      <c r="K170" s="147"/>
      <c r="L170" s="503" t="s">
        <v>391</v>
      </c>
      <c r="M170" s="485"/>
      <c r="N170" s="485"/>
      <c r="O170" s="485"/>
      <c r="P170" s="485"/>
      <c r="Q170" s="486"/>
      <c r="R170" s="503" t="s">
        <v>413</v>
      </c>
      <c r="S170" s="485"/>
      <c r="T170" s="485"/>
      <c r="U170" s="485"/>
      <c r="V170" s="486"/>
      <c r="W170" s="503" t="s">
        <v>414</v>
      </c>
      <c r="X170" s="485"/>
      <c r="Y170" s="485"/>
      <c r="Z170" s="485"/>
      <c r="AA170" s="486"/>
      <c r="AB170" s="503" t="s">
        <v>543</v>
      </c>
      <c r="AC170" s="485"/>
      <c r="AD170" s="485"/>
      <c r="AE170" s="485"/>
      <c r="AF170" s="485"/>
      <c r="AG170" s="486"/>
      <c r="AH170" s="503" t="s">
        <v>544</v>
      </c>
      <c r="AI170" s="485"/>
      <c r="AJ170" s="485"/>
      <c r="AK170" s="485"/>
      <c r="AL170" s="486"/>
      <c r="AM170" s="503" t="s">
        <v>545</v>
      </c>
      <c r="AN170" s="485"/>
      <c r="AO170" s="485"/>
      <c r="AP170" s="485"/>
      <c r="AQ170" s="485"/>
      <c r="AR170" s="486"/>
      <c r="AS170" s="503" t="s">
        <v>546</v>
      </c>
      <c r="AT170" s="485"/>
      <c r="AU170" s="485"/>
      <c r="AV170" s="485"/>
      <c r="AW170" s="486"/>
      <c r="AX170" s="503" t="s">
        <v>547</v>
      </c>
      <c r="AY170" s="485"/>
      <c r="AZ170" s="485"/>
      <c r="BA170" s="485"/>
      <c r="BB170" s="486"/>
      <c r="BC170" s="503" t="s">
        <v>548</v>
      </c>
      <c r="BD170" s="485"/>
      <c r="BE170" s="485"/>
      <c r="BF170" s="485"/>
      <c r="BG170" s="485"/>
      <c r="BH170" s="486"/>
      <c r="BI170" s="503" t="s">
        <v>388</v>
      </c>
      <c r="BJ170" s="485"/>
      <c r="BK170" s="485"/>
      <c r="BL170" s="485"/>
      <c r="BM170" s="486"/>
    </row>
    <row r="171" spans="1:65" ht="15.75" customHeight="1" x14ac:dyDescent="0.25">
      <c r="A171" s="508"/>
      <c r="B171" s="85">
        <v>46027</v>
      </c>
      <c r="C171" s="85">
        <v>46034</v>
      </c>
      <c r="D171" s="85">
        <v>46041</v>
      </c>
      <c r="E171" s="85">
        <v>46048</v>
      </c>
      <c r="F171" s="86" t="s">
        <v>129</v>
      </c>
      <c r="G171" s="85">
        <v>46055</v>
      </c>
      <c r="H171" s="85">
        <v>46062</v>
      </c>
      <c r="I171" s="85">
        <v>46069</v>
      </c>
      <c r="J171" s="85">
        <v>46076</v>
      </c>
      <c r="K171" s="86" t="s">
        <v>129</v>
      </c>
      <c r="L171" s="85">
        <v>46083</v>
      </c>
      <c r="M171" s="85">
        <v>46090</v>
      </c>
      <c r="N171" s="85">
        <v>46097</v>
      </c>
      <c r="O171" s="85">
        <v>46104</v>
      </c>
      <c r="P171" s="85">
        <v>46111</v>
      </c>
      <c r="Q171" s="86" t="s">
        <v>129</v>
      </c>
      <c r="R171" s="85">
        <v>46118</v>
      </c>
      <c r="S171" s="85">
        <v>46125</v>
      </c>
      <c r="T171" s="85">
        <v>46132</v>
      </c>
      <c r="U171" s="85">
        <v>46139</v>
      </c>
      <c r="V171" s="86" t="s">
        <v>129</v>
      </c>
      <c r="W171" s="85">
        <v>46146</v>
      </c>
      <c r="X171" s="85">
        <v>46153</v>
      </c>
      <c r="Y171" s="85">
        <v>46160</v>
      </c>
      <c r="Z171" s="85">
        <v>46167</v>
      </c>
      <c r="AA171" s="86" t="s">
        <v>129</v>
      </c>
      <c r="AB171" s="85">
        <v>46174</v>
      </c>
      <c r="AC171" s="85">
        <v>46181</v>
      </c>
      <c r="AD171" s="85">
        <v>46188</v>
      </c>
      <c r="AE171" s="85">
        <v>46195</v>
      </c>
      <c r="AF171" s="85">
        <v>46202</v>
      </c>
      <c r="AG171" s="86" t="s">
        <v>129</v>
      </c>
      <c r="AH171" s="85">
        <v>46209</v>
      </c>
      <c r="AI171" s="85">
        <v>46216</v>
      </c>
      <c r="AJ171" s="85">
        <v>46223</v>
      </c>
      <c r="AK171" s="85">
        <v>46230</v>
      </c>
      <c r="AL171" s="86" t="s">
        <v>129</v>
      </c>
      <c r="AM171" s="85">
        <v>46237</v>
      </c>
      <c r="AN171" s="85">
        <v>46244</v>
      </c>
      <c r="AO171" s="85">
        <v>46251</v>
      </c>
      <c r="AP171" s="85">
        <v>46258</v>
      </c>
      <c r="AQ171" s="85">
        <v>46265</v>
      </c>
      <c r="AR171" s="86" t="s">
        <v>129</v>
      </c>
      <c r="AS171" s="85">
        <v>46272</v>
      </c>
      <c r="AT171" s="85">
        <v>46279</v>
      </c>
      <c r="AU171" s="85">
        <v>46286</v>
      </c>
      <c r="AV171" s="85">
        <v>46293</v>
      </c>
      <c r="AW171" s="86" t="s">
        <v>129</v>
      </c>
      <c r="AX171" s="85">
        <v>46300</v>
      </c>
      <c r="AY171" s="85">
        <v>46307</v>
      </c>
      <c r="AZ171" s="85">
        <v>46314</v>
      </c>
      <c r="BA171" s="85">
        <v>46321</v>
      </c>
      <c r="BB171" s="86" t="s">
        <v>129</v>
      </c>
      <c r="BC171" s="85">
        <v>46328</v>
      </c>
      <c r="BD171" s="85">
        <v>46335</v>
      </c>
      <c r="BE171" s="85">
        <v>46342</v>
      </c>
      <c r="BF171" s="85">
        <v>46349</v>
      </c>
      <c r="BG171" s="85">
        <v>46356</v>
      </c>
      <c r="BH171" s="86" t="s">
        <v>129</v>
      </c>
      <c r="BI171" s="85">
        <v>46363</v>
      </c>
      <c r="BJ171" s="85">
        <v>46370</v>
      </c>
      <c r="BK171" s="85">
        <v>46377</v>
      </c>
      <c r="BL171" s="85">
        <v>46384</v>
      </c>
      <c r="BM171" s="86" t="s">
        <v>129</v>
      </c>
    </row>
    <row r="172" spans="1:65" ht="15.75" customHeight="1" x14ac:dyDescent="0.25">
      <c r="A172" s="148" t="s">
        <v>132</v>
      </c>
      <c r="B172" s="88">
        <v>17</v>
      </c>
      <c r="C172" s="88">
        <v>124</v>
      </c>
      <c r="D172" s="88">
        <v>41</v>
      </c>
      <c r="E172" s="88">
        <v>293</v>
      </c>
      <c r="F172" s="89">
        <f t="shared" ref="F172:F198" si="150">B172+C172+D172+E172</f>
        <v>475</v>
      </c>
      <c r="G172" s="88">
        <v>370</v>
      </c>
      <c r="H172" s="88">
        <v>7</v>
      </c>
      <c r="I172" s="88">
        <v>45</v>
      </c>
      <c r="J172" s="88">
        <v>323</v>
      </c>
      <c r="K172" s="89">
        <f t="shared" ref="K172:K198" si="151">G172+H172+I172+J172</f>
        <v>745</v>
      </c>
      <c r="L172" s="88">
        <v>87</v>
      </c>
      <c r="M172" s="88">
        <v>252</v>
      </c>
      <c r="N172" s="88">
        <v>210</v>
      </c>
      <c r="O172" s="88">
        <v>73</v>
      </c>
      <c r="P172" s="88">
        <v>185</v>
      </c>
      <c r="Q172" s="89">
        <f t="shared" ref="Q172:Q198" si="152">L172+M172+N172+O172+P172</f>
        <v>807</v>
      </c>
      <c r="R172" s="88"/>
      <c r="S172" s="88"/>
      <c r="T172" s="88"/>
      <c r="U172" s="88"/>
      <c r="V172" s="89">
        <f t="shared" ref="V172:V198" si="153">R172+S172+T172+U172</f>
        <v>0</v>
      </c>
      <c r="W172" s="88">
        <v>0</v>
      </c>
      <c r="X172" s="88">
        <v>200</v>
      </c>
      <c r="Y172" s="88"/>
      <c r="Z172" s="88"/>
      <c r="AA172" s="89">
        <f t="shared" ref="AA172:AA198" si="154">W172+X172+Y172+Z172</f>
        <v>200</v>
      </c>
      <c r="AB172" s="88"/>
      <c r="AC172" s="88"/>
      <c r="AD172" s="88"/>
      <c r="AE172" s="88"/>
      <c r="AF172" s="88"/>
      <c r="AG172" s="89">
        <f t="shared" ref="AG172:AG198" si="155">AB172+AC172+AD172+AE172+AF172</f>
        <v>0</v>
      </c>
      <c r="AH172" s="88"/>
      <c r="AI172" s="88"/>
      <c r="AJ172" s="88"/>
      <c r="AK172" s="88"/>
      <c r="AL172" s="89">
        <f t="shared" ref="AL172:AL198" si="156">AH172+AI172+AJ172+AK172</f>
        <v>0</v>
      </c>
      <c r="AM172" s="88"/>
      <c r="AN172" s="88"/>
      <c r="AO172" s="88"/>
      <c r="AP172" s="88"/>
      <c r="AQ172" s="88"/>
      <c r="AR172" s="89">
        <f t="shared" ref="AR172:AR198" si="157">AM172+AN172+AO172+AP172+AQ172</f>
        <v>0</v>
      </c>
      <c r="AS172" s="88"/>
      <c r="AT172" s="88"/>
      <c r="AU172" s="88"/>
      <c r="AV172" s="88"/>
      <c r="AW172" s="89">
        <f t="shared" ref="AW172:AW198" si="158">AS172+AT172+AU172+AV172</f>
        <v>0</v>
      </c>
      <c r="AX172" s="88"/>
      <c r="AY172" s="88"/>
      <c r="AZ172" s="88"/>
      <c r="BA172" s="88"/>
      <c r="BB172" s="89">
        <f t="shared" ref="BB172:BB198" si="159">AX172+AY172+AZ172+BA172</f>
        <v>0</v>
      </c>
      <c r="BC172" s="88"/>
      <c r="BD172" s="88"/>
      <c r="BE172" s="88"/>
      <c r="BF172" s="88"/>
      <c r="BG172" s="88"/>
      <c r="BH172" s="89">
        <f t="shared" ref="BH172:BH198" si="160">BC172+BD172+BE172+BF172+BG172</f>
        <v>0</v>
      </c>
      <c r="BI172" s="88"/>
      <c r="BJ172" s="88"/>
      <c r="BK172" s="88"/>
      <c r="BL172" s="88"/>
      <c r="BM172" s="89">
        <f t="shared" ref="BM172:BM198" si="161">BI172+BJ172+BK172+BL172</f>
        <v>0</v>
      </c>
    </row>
    <row r="173" spans="1:65" ht="15.75" customHeight="1" x14ac:dyDescent="0.25">
      <c r="A173" s="90" t="s">
        <v>549</v>
      </c>
      <c r="B173" s="88">
        <v>145</v>
      </c>
      <c r="C173" s="88">
        <v>104</v>
      </c>
      <c r="D173" s="88">
        <v>166</v>
      </c>
      <c r="E173" s="88">
        <v>145</v>
      </c>
      <c r="F173" s="89">
        <f t="shared" si="150"/>
        <v>560</v>
      </c>
      <c r="G173" s="88">
        <v>213</v>
      </c>
      <c r="H173" s="88">
        <v>167</v>
      </c>
      <c r="I173" s="88">
        <v>128</v>
      </c>
      <c r="J173" s="88">
        <v>113</v>
      </c>
      <c r="K173" s="89">
        <f t="shared" si="151"/>
        <v>621</v>
      </c>
      <c r="L173" s="88">
        <v>187</v>
      </c>
      <c r="M173" s="88">
        <v>188</v>
      </c>
      <c r="N173" s="88">
        <v>114</v>
      </c>
      <c r="O173" s="88">
        <v>138</v>
      </c>
      <c r="P173" s="88">
        <v>150</v>
      </c>
      <c r="Q173" s="89">
        <f t="shared" si="152"/>
        <v>777</v>
      </c>
      <c r="R173" s="88"/>
      <c r="S173" s="88"/>
      <c r="T173" s="88"/>
      <c r="U173" s="88"/>
      <c r="V173" s="89">
        <f t="shared" si="153"/>
        <v>0</v>
      </c>
      <c r="W173" s="88">
        <v>224</v>
      </c>
      <c r="X173" s="88">
        <v>185</v>
      </c>
      <c r="Y173" s="88"/>
      <c r="Z173" s="88"/>
      <c r="AA173" s="89">
        <f t="shared" si="154"/>
        <v>409</v>
      </c>
      <c r="AB173" s="88"/>
      <c r="AC173" s="88"/>
      <c r="AD173" s="88"/>
      <c r="AE173" s="88"/>
      <c r="AF173" s="88"/>
      <c r="AG173" s="89">
        <f t="shared" si="155"/>
        <v>0</v>
      </c>
      <c r="AH173" s="88"/>
      <c r="AI173" s="88"/>
      <c r="AJ173" s="88"/>
      <c r="AK173" s="88"/>
      <c r="AL173" s="89">
        <f t="shared" si="156"/>
        <v>0</v>
      </c>
      <c r="AM173" s="88"/>
      <c r="AN173" s="88"/>
      <c r="AO173" s="88"/>
      <c r="AP173" s="88"/>
      <c r="AQ173" s="88"/>
      <c r="AR173" s="89">
        <f t="shared" si="157"/>
        <v>0</v>
      </c>
      <c r="AS173" s="88"/>
      <c r="AT173" s="88"/>
      <c r="AU173" s="88"/>
      <c r="AV173" s="88"/>
      <c r="AW173" s="89">
        <f t="shared" si="158"/>
        <v>0</v>
      </c>
      <c r="AX173" s="88"/>
      <c r="AY173" s="88"/>
      <c r="AZ173" s="88"/>
      <c r="BA173" s="88"/>
      <c r="BB173" s="89">
        <f t="shared" si="159"/>
        <v>0</v>
      </c>
      <c r="BC173" s="88"/>
      <c r="BD173" s="88"/>
      <c r="BE173" s="88"/>
      <c r="BF173" s="88"/>
      <c r="BG173" s="88"/>
      <c r="BH173" s="89">
        <f t="shared" si="160"/>
        <v>0</v>
      </c>
      <c r="BI173" s="88"/>
      <c r="BJ173" s="88"/>
      <c r="BK173" s="88"/>
      <c r="BL173" s="88"/>
      <c r="BM173" s="89">
        <f t="shared" si="161"/>
        <v>0</v>
      </c>
    </row>
    <row r="174" spans="1:65" ht="15.75" customHeight="1" x14ac:dyDescent="0.25">
      <c r="A174" s="90" t="s">
        <v>137</v>
      </c>
      <c r="B174" s="88">
        <v>9</v>
      </c>
      <c r="C174" s="88">
        <v>58</v>
      </c>
      <c r="D174" s="88">
        <v>54</v>
      </c>
      <c r="E174" s="88">
        <v>78</v>
      </c>
      <c r="F174" s="89">
        <f t="shared" si="150"/>
        <v>199</v>
      </c>
      <c r="G174" s="88">
        <v>0</v>
      </c>
      <c r="H174" s="88">
        <v>59</v>
      </c>
      <c r="I174" s="88">
        <v>3</v>
      </c>
      <c r="J174" s="88">
        <v>372</v>
      </c>
      <c r="K174" s="89">
        <f t="shared" si="151"/>
        <v>434</v>
      </c>
      <c r="L174" s="88">
        <v>159</v>
      </c>
      <c r="M174" s="88">
        <v>98</v>
      </c>
      <c r="N174" s="88">
        <v>64</v>
      </c>
      <c r="O174" s="88">
        <v>41</v>
      </c>
      <c r="P174" s="88">
        <v>5</v>
      </c>
      <c r="Q174" s="89">
        <f t="shared" si="152"/>
        <v>367</v>
      </c>
      <c r="R174" s="88"/>
      <c r="S174" s="88"/>
      <c r="T174" s="88"/>
      <c r="U174" s="88"/>
      <c r="V174" s="89">
        <f t="shared" si="153"/>
        <v>0</v>
      </c>
      <c r="W174" s="88">
        <v>163</v>
      </c>
      <c r="X174" s="88">
        <v>120</v>
      </c>
      <c r="Y174" s="88"/>
      <c r="Z174" s="88"/>
      <c r="AA174" s="89">
        <f t="shared" si="154"/>
        <v>283</v>
      </c>
      <c r="AB174" s="88"/>
      <c r="AC174" s="88"/>
      <c r="AD174" s="88"/>
      <c r="AE174" s="88"/>
      <c r="AF174" s="88"/>
      <c r="AG174" s="89">
        <f t="shared" si="155"/>
        <v>0</v>
      </c>
      <c r="AH174" s="88"/>
      <c r="AI174" s="88"/>
      <c r="AJ174" s="88"/>
      <c r="AK174" s="88"/>
      <c r="AL174" s="89">
        <f t="shared" si="156"/>
        <v>0</v>
      </c>
      <c r="AM174" s="88"/>
      <c r="AN174" s="88"/>
      <c r="AO174" s="88"/>
      <c r="AP174" s="88"/>
      <c r="AQ174" s="88"/>
      <c r="AR174" s="89">
        <f t="shared" si="157"/>
        <v>0</v>
      </c>
      <c r="AS174" s="88"/>
      <c r="AT174" s="88"/>
      <c r="AU174" s="88"/>
      <c r="AV174" s="88"/>
      <c r="AW174" s="89">
        <f t="shared" si="158"/>
        <v>0</v>
      </c>
      <c r="AX174" s="88"/>
      <c r="AY174" s="88"/>
      <c r="AZ174" s="88"/>
      <c r="BA174" s="88"/>
      <c r="BB174" s="89">
        <f t="shared" si="159"/>
        <v>0</v>
      </c>
      <c r="BC174" s="88"/>
      <c r="BD174" s="88"/>
      <c r="BE174" s="88"/>
      <c r="BF174" s="88"/>
      <c r="BG174" s="88"/>
      <c r="BH174" s="89">
        <f t="shared" si="160"/>
        <v>0</v>
      </c>
      <c r="BI174" s="88"/>
      <c r="BJ174" s="88"/>
      <c r="BK174" s="88"/>
      <c r="BL174" s="88"/>
      <c r="BM174" s="89">
        <f t="shared" si="161"/>
        <v>0</v>
      </c>
    </row>
    <row r="175" spans="1:65" ht="15.75" customHeight="1" x14ac:dyDescent="0.25">
      <c r="A175" s="91" t="s">
        <v>550</v>
      </c>
      <c r="B175" s="88">
        <v>2</v>
      </c>
      <c r="C175" s="88">
        <v>46</v>
      </c>
      <c r="D175" s="88">
        <v>30</v>
      </c>
      <c r="E175" s="88">
        <v>29</v>
      </c>
      <c r="F175" s="89">
        <f t="shared" si="150"/>
        <v>107</v>
      </c>
      <c r="G175" s="88">
        <v>42</v>
      </c>
      <c r="H175" s="88">
        <v>30</v>
      </c>
      <c r="I175" s="88">
        <v>52</v>
      </c>
      <c r="J175" s="88">
        <v>88</v>
      </c>
      <c r="K175" s="89">
        <f t="shared" si="151"/>
        <v>212</v>
      </c>
      <c r="L175" s="88">
        <v>41</v>
      </c>
      <c r="M175" s="88">
        <v>59</v>
      </c>
      <c r="N175" s="88">
        <v>53</v>
      </c>
      <c r="O175" s="88">
        <v>19</v>
      </c>
      <c r="P175" s="88">
        <v>0</v>
      </c>
      <c r="Q175" s="89">
        <f t="shared" si="152"/>
        <v>172</v>
      </c>
      <c r="R175" s="88"/>
      <c r="S175" s="88"/>
      <c r="T175" s="88"/>
      <c r="U175" s="88"/>
      <c r="V175" s="89">
        <f t="shared" si="153"/>
        <v>0</v>
      </c>
      <c r="W175" s="88">
        <v>133</v>
      </c>
      <c r="X175" s="88">
        <v>0</v>
      </c>
      <c r="Y175" s="88"/>
      <c r="Z175" s="88"/>
      <c r="AA175" s="89">
        <f t="shared" si="154"/>
        <v>133</v>
      </c>
      <c r="AB175" s="88"/>
      <c r="AC175" s="88"/>
      <c r="AD175" s="88"/>
      <c r="AE175" s="88"/>
      <c r="AF175" s="88"/>
      <c r="AG175" s="89">
        <f t="shared" si="155"/>
        <v>0</v>
      </c>
      <c r="AH175" s="88"/>
      <c r="AI175" s="88"/>
      <c r="AJ175" s="88"/>
      <c r="AK175" s="88"/>
      <c r="AL175" s="89">
        <f t="shared" si="156"/>
        <v>0</v>
      </c>
      <c r="AM175" s="88"/>
      <c r="AN175" s="88"/>
      <c r="AO175" s="88"/>
      <c r="AP175" s="88"/>
      <c r="AQ175" s="88"/>
      <c r="AR175" s="89">
        <f t="shared" si="157"/>
        <v>0</v>
      </c>
      <c r="AS175" s="88"/>
      <c r="AT175" s="88"/>
      <c r="AU175" s="88"/>
      <c r="AV175" s="88"/>
      <c r="AW175" s="89">
        <f t="shared" si="158"/>
        <v>0</v>
      </c>
      <c r="AX175" s="88"/>
      <c r="AY175" s="88"/>
      <c r="AZ175" s="88"/>
      <c r="BA175" s="88"/>
      <c r="BB175" s="89">
        <f t="shared" si="159"/>
        <v>0</v>
      </c>
      <c r="BC175" s="88"/>
      <c r="BD175" s="88"/>
      <c r="BE175" s="88"/>
      <c r="BF175" s="88"/>
      <c r="BG175" s="88"/>
      <c r="BH175" s="89">
        <f t="shared" si="160"/>
        <v>0</v>
      </c>
      <c r="BI175" s="88"/>
      <c r="BJ175" s="88"/>
      <c r="BK175" s="88"/>
      <c r="BL175" s="88"/>
      <c r="BM175" s="89">
        <f t="shared" si="161"/>
        <v>0</v>
      </c>
    </row>
    <row r="176" spans="1:65" ht="15.75" customHeight="1" x14ac:dyDescent="0.25">
      <c r="A176" s="195" t="s">
        <v>499</v>
      </c>
      <c r="B176" s="196">
        <v>0</v>
      </c>
      <c r="C176" s="88">
        <v>0</v>
      </c>
      <c r="D176" s="88">
        <v>0</v>
      </c>
      <c r="E176" s="88">
        <v>0</v>
      </c>
      <c r="F176" s="89">
        <f t="shared" si="150"/>
        <v>0</v>
      </c>
      <c r="G176" s="88">
        <v>0</v>
      </c>
      <c r="H176" s="88">
        <v>0</v>
      </c>
      <c r="I176" s="88">
        <v>0</v>
      </c>
      <c r="J176" s="88">
        <v>0</v>
      </c>
      <c r="K176" s="89">
        <f t="shared" si="151"/>
        <v>0</v>
      </c>
      <c r="L176" s="88">
        <v>0</v>
      </c>
      <c r="M176" s="88">
        <v>0</v>
      </c>
      <c r="N176" s="88">
        <v>0</v>
      </c>
      <c r="O176" s="88">
        <v>0</v>
      </c>
      <c r="P176" s="88">
        <v>0</v>
      </c>
      <c r="Q176" s="89">
        <f t="shared" si="152"/>
        <v>0</v>
      </c>
      <c r="R176" s="88"/>
      <c r="S176" s="88"/>
      <c r="T176" s="88"/>
      <c r="U176" s="88"/>
      <c r="V176" s="89">
        <f t="shared" si="153"/>
        <v>0</v>
      </c>
      <c r="W176" s="88">
        <v>0</v>
      </c>
      <c r="X176" s="88">
        <v>0</v>
      </c>
      <c r="Y176" s="88"/>
      <c r="Z176" s="88"/>
      <c r="AA176" s="89">
        <f t="shared" si="154"/>
        <v>0</v>
      </c>
      <c r="AB176" s="88"/>
      <c r="AC176" s="88"/>
      <c r="AD176" s="88"/>
      <c r="AE176" s="88"/>
      <c r="AF176" s="88"/>
      <c r="AG176" s="89">
        <f t="shared" si="155"/>
        <v>0</v>
      </c>
      <c r="AH176" s="88"/>
      <c r="AI176" s="88"/>
      <c r="AJ176" s="88"/>
      <c r="AK176" s="88"/>
      <c r="AL176" s="89">
        <f t="shared" si="156"/>
        <v>0</v>
      </c>
      <c r="AM176" s="88"/>
      <c r="AN176" s="88"/>
      <c r="AO176" s="88"/>
      <c r="AP176" s="88"/>
      <c r="AQ176" s="88"/>
      <c r="AR176" s="89">
        <f t="shared" si="157"/>
        <v>0</v>
      </c>
      <c r="AS176" s="88"/>
      <c r="AT176" s="88"/>
      <c r="AU176" s="88"/>
      <c r="AV176" s="88"/>
      <c r="AW176" s="89">
        <f t="shared" si="158"/>
        <v>0</v>
      </c>
      <c r="AX176" s="88"/>
      <c r="AY176" s="88"/>
      <c r="AZ176" s="88"/>
      <c r="BA176" s="88"/>
      <c r="BB176" s="89">
        <f t="shared" si="159"/>
        <v>0</v>
      </c>
      <c r="BC176" s="88"/>
      <c r="BD176" s="88"/>
      <c r="BE176" s="88"/>
      <c r="BF176" s="88"/>
      <c r="BG176" s="88"/>
      <c r="BH176" s="89">
        <f t="shared" si="160"/>
        <v>0</v>
      </c>
      <c r="BI176" s="88"/>
      <c r="BJ176" s="88"/>
      <c r="BK176" s="88"/>
      <c r="BL176" s="88"/>
      <c r="BM176" s="89">
        <f t="shared" si="161"/>
        <v>0</v>
      </c>
    </row>
    <row r="177" spans="1:65" ht="15.75" customHeight="1" x14ac:dyDescent="0.25">
      <c r="A177" s="195" t="s">
        <v>500</v>
      </c>
      <c r="B177" s="196">
        <v>0</v>
      </c>
      <c r="C177" s="88">
        <v>0</v>
      </c>
      <c r="D177" s="88">
        <v>0</v>
      </c>
      <c r="E177" s="88">
        <v>0</v>
      </c>
      <c r="F177" s="89">
        <f t="shared" si="150"/>
        <v>0</v>
      </c>
      <c r="G177" s="88">
        <v>0</v>
      </c>
      <c r="H177" s="88">
        <v>0</v>
      </c>
      <c r="I177" s="88">
        <v>0</v>
      </c>
      <c r="J177" s="88">
        <v>0</v>
      </c>
      <c r="K177" s="89">
        <f t="shared" si="151"/>
        <v>0</v>
      </c>
      <c r="L177" s="88">
        <v>0</v>
      </c>
      <c r="M177" s="88">
        <v>0</v>
      </c>
      <c r="N177" s="88">
        <v>0</v>
      </c>
      <c r="O177" s="88">
        <v>0</v>
      </c>
      <c r="P177" s="88">
        <v>0</v>
      </c>
      <c r="Q177" s="89">
        <f t="shared" si="152"/>
        <v>0</v>
      </c>
      <c r="R177" s="88"/>
      <c r="S177" s="88"/>
      <c r="T177" s="88"/>
      <c r="U177" s="88"/>
      <c r="V177" s="89">
        <f t="shared" si="153"/>
        <v>0</v>
      </c>
      <c r="W177" s="88">
        <v>0</v>
      </c>
      <c r="X177" s="88">
        <v>0</v>
      </c>
      <c r="Y177" s="88"/>
      <c r="Z177" s="88"/>
      <c r="AA177" s="89">
        <f t="shared" si="154"/>
        <v>0</v>
      </c>
      <c r="AB177" s="88"/>
      <c r="AC177" s="88"/>
      <c r="AD177" s="88"/>
      <c r="AE177" s="88"/>
      <c r="AF177" s="88"/>
      <c r="AG177" s="89">
        <f t="shared" si="155"/>
        <v>0</v>
      </c>
      <c r="AH177" s="88"/>
      <c r="AI177" s="88"/>
      <c r="AJ177" s="88"/>
      <c r="AK177" s="88"/>
      <c r="AL177" s="89">
        <f t="shared" si="156"/>
        <v>0</v>
      </c>
      <c r="AM177" s="88"/>
      <c r="AN177" s="88"/>
      <c r="AO177" s="88"/>
      <c r="AP177" s="88"/>
      <c r="AQ177" s="88"/>
      <c r="AR177" s="89">
        <f t="shared" si="157"/>
        <v>0</v>
      </c>
      <c r="AS177" s="88"/>
      <c r="AT177" s="88"/>
      <c r="AU177" s="88"/>
      <c r="AV177" s="88"/>
      <c r="AW177" s="89">
        <f t="shared" si="158"/>
        <v>0</v>
      </c>
      <c r="AX177" s="88"/>
      <c r="AY177" s="88"/>
      <c r="AZ177" s="88"/>
      <c r="BA177" s="88"/>
      <c r="BB177" s="89">
        <f t="shared" si="159"/>
        <v>0</v>
      </c>
      <c r="BC177" s="88"/>
      <c r="BD177" s="88"/>
      <c r="BE177" s="88"/>
      <c r="BF177" s="88"/>
      <c r="BG177" s="88"/>
      <c r="BH177" s="89">
        <f t="shared" si="160"/>
        <v>0</v>
      </c>
      <c r="BI177" s="88"/>
      <c r="BJ177" s="88"/>
      <c r="BK177" s="88"/>
      <c r="BL177" s="88"/>
      <c r="BM177" s="89">
        <f t="shared" si="161"/>
        <v>0</v>
      </c>
    </row>
    <row r="178" spans="1:65" ht="15.75" customHeight="1" x14ac:dyDescent="0.25">
      <c r="A178" s="92" t="s">
        <v>143</v>
      </c>
      <c r="B178" s="196">
        <v>0</v>
      </c>
      <c r="C178" s="88">
        <v>0</v>
      </c>
      <c r="D178" s="88">
        <v>0</v>
      </c>
      <c r="E178" s="88">
        <v>0</v>
      </c>
      <c r="F178" s="89">
        <f t="shared" si="150"/>
        <v>0</v>
      </c>
      <c r="G178" s="88">
        <v>0</v>
      </c>
      <c r="H178" s="88">
        <v>1</v>
      </c>
      <c r="I178" s="88">
        <v>0</v>
      </c>
      <c r="J178" s="88">
        <v>0</v>
      </c>
      <c r="K178" s="89">
        <f t="shared" si="151"/>
        <v>1</v>
      </c>
      <c r="L178" s="88">
        <v>0</v>
      </c>
      <c r="M178" s="88">
        <v>0</v>
      </c>
      <c r="N178" s="88">
        <v>0</v>
      </c>
      <c r="O178" s="88">
        <v>1</v>
      </c>
      <c r="P178" s="88">
        <v>0</v>
      </c>
      <c r="Q178" s="89">
        <f t="shared" si="152"/>
        <v>1</v>
      </c>
      <c r="R178" s="88"/>
      <c r="S178" s="88"/>
      <c r="T178" s="88"/>
      <c r="U178" s="88"/>
      <c r="V178" s="89">
        <f t="shared" si="153"/>
        <v>0</v>
      </c>
      <c r="W178" s="88">
        <v>0</v>
      </c>
      <c r="X178" s="88">
        <v>1</v>
      </c>
      <c r="Y178" s="88"/>
      <c r="Z178" s="88"/>
      <c r="AA178" s="89">
        <f t="shared" si="154"/>
        <v>1</v>
      </c>
      <c r="AB178" s="88"/>
      <c r="AC178" s="88"/>
      <c r="AD178" s="88"/>
      <c r="AE178" s="88"/>
      <c r="AF178" s="88"/>
      <c r="AG178" s="89">
        <f t="shared" si="155"/>
        <v>0</v>
      </c>
      <c r="AH178" s="88"/>
      <c r="AI178" s="88"/>
      <c r="AJ178" s="88"/>
      <c r="AK178" s="88"/>
      <c r="AL178" s="89">
        <f t="shared" si="156"/>
        <v>0</v>
      </c>
      <c r="AM178" s="88"/>
      <c r="AN178" s="88"/>
      <c r="AO178" s="88"/>
      <c r="AP178" s="88"/>
      <c r="AQ178" s="88"/>
      <c r="AR178" s="89">
        <f t="shared" si="157"/>
        <v>0</v>
      </c>
      <c r="AS178" s="88"/>
      <c r="AT178" s="88"/>
      <c r="AU178" s="88"/>
      <c r="AV178" s="88"/>
      <c r="AW178" s="89">
        <f t="shared" si="158"/>
        <v>0</v>
      </c>
      <c r="AX178" s="88"/>
      <c r="AY178" s="88"/>
      <c r="AZ178" s="88"/>
      <c r="BA178" s="88"/>
      <c r="BB178" s="89">
        <f t="shared" si="159"/>
        <v>0</v>
      </c>
      <c r="BC178" s="88"/>
      <c r="BD178" s="88"/>
      <c r="BE178" s="88"/>
      <c r="BF178" s="88"/>
      <c r="BG178" s="88"/>
      <c r="BH178" s="89">
        <f t="shared" si="160"/>
        <v>0</v>
      </c>
      <c r="BI178" s="88"/>
      <c r="BJ178" s="88"/>
      <c r="BK178" s="88"/>
      <c r="BL178" s="88"/>
      <c r="BM178" s="89">
        <f t="shared" si="161"/>
        <v>0</v>
      </c>
    </row>
    <row r="179" spans="1:65" ht="15.75" customHeight="1" x14ac:dyDescent="0.25">
      <c r="A179" s="92" t="s">
        <v>557</v>
      </c>
      <c r="B179" s="196">
        <v>0</v>
      </c>
      <c r="C179" s="88">
        <v>0</v>
      </c>
      <c r="D179" s="88">
        <v>0</v>
      </c>
      <c r="E179" s="88">
        <v>0</v>
      </c>
      <c r="F179" s="89">
        <f t="shared" si="150"/>
        <v>0</v>
      </c>
      <c r="G179" s="88">
        <v>0</v>
      </c>
      <c r="H179" s="88">
        <v>0</v>
      </c>
      <c r="I179" s="88">
        <v>1</v>
      </c>
      <c r="J179" s="88">
        <v>0</v>
      </c>
      <c r="K179" s="89">
        <f t="shared" si="151"/>
        <v>1</v>
      </c>
      <c r="L179" s="88">
        <v>0</v>
      </c>
      <c r="M179" s="88">
        <v>0</v>
      </c>
      <c r="N179" s="88">
        <v>0</v>
      </c>
      <c r="O179" s="88">
        <v>1</v>
      </c>
      <c r="P179" s="88">
        <v>0</v>
      </c>
      <c r="Q179" s="89">
        <f t="shared" si="152"/>
        <v>1</v>
      </c>
      <c r="R179" s="88"/>
      <c r="S179" s="88"/>
      <c r="T179" s="88"/>
      <c r="U179" s="88"/>
      <c r="V179" s="89">
        <f t="shared" si="153"/>
        <v>0</v>
      </c>
      <c r="W179" s="88">
        <v>0</v>
      </c>
      <c r="X179" s="88">
        <v>2</v>
      </c>
      <c r="Y179" s="88"/>
      <c r="Z179" s="88"/>
      <c r="AA179" s="89">
        <f t="shared" si="154"/>
        <v>2</v>
      </c>
      <c r="AB179" s="88"/>
      <c r="AC179" s="88"/>
      <c r="AD179" s="88"/>
      <c r="AE179" s="88"/>
      <c r="AF179" s="88"/>
      <c r="AG179" s="89">
        <f t="shared" si="155"/>
        <v>0</v>
      </c>
      <c r="AH179" s="88"/>
      <c r="AI179" s="88"/>
      <c r="AJ179" s="88"/>
      <c r="AK179" s="88"/>
      <c r="AL179" s="89">
        <f t="shared" si="156"/>
        <v>0</v>
      </c>
      <c r="AM179" s="88"/>
      <c r="AN179" s="88"/>
      <c r="AO179" s="88"/>
      <c r="AP179" s="88"/>
      <c r="AQ179" s="88"/>
      <c r="AR179" s="89">
        <f t="shared" si="157"/>
        <v>0</v>
      </c>
      <c r="AS179" s="88"/>
      <c r="AT179" s="88"/>
      <c r="AU179" s="88"/>
      <c r="AV179" s="88"/>
      <c r="AW179" s="89">
        <f t="shared" si="158"/>
        <v>0</v>
      </c>
      <c r="AX179" s="88"/>
      <c r="AY179" s="88"/>
      <c r="AZ179" s="88"/>
      <c r="BA179" s="88"/>
      <c r="BB179" s="89">
        <f t="shared" si="159"/>
        <v>0</v>
      </c>
      <c r="BC179" s="88"/>
      <c r="BD179" s="88"/>
      <c r="BE179" s="88"/>
      <c r="BF179" s="88"/>
      <c r="BG179" s="88"/>
      <c r="BH179" s="89">
        <f t="shared" si="160"/>
        <v>0</v>
      </c>
      <c r="BI179" s="88"/>
      <c r="BJ179" s="88"/>
      <c r="BK179" s="88"/>
      <c r="BL179" s="88"/>
      <c r="BM179" s="89">
        <f t="shared" si="161"/>
        <v>0</v>
      </c>
    </row>
    <row r="180" spans="1:65" ht="15.75" customHeight="1" x14ac:dyDescent="0.25">
      <c r="A180" s="92" t="s">
        <v>558</v>
      </c>
      <c r="B180" s="196">
        <v>0</v>
      </c>
      <c r="C180" s="88">
        <v>0</v>
      </c>
      <c r="D180" s="88">
        <v>0</v>
      </c>
      <c r="E180" s="88">
        <v>0</v>
      </c>
      <c r="F180" s="89">
        <f t="shared" si="150"/>
        <v>0</v>
      </c>
      <c r="G180" s="88">
        <v>0</v>
      </c>
      <c r="H180" s="88">
        <v>0</v>
      </c>
      <c r="I180" s="88">
        <v>0</v>
      </c>
      <c r="J180" s="88">
        <v>0</v>
      </c>
      <c r="K180" s="89">
        <f t="shared" si="151"/>
        <v>0</v>
      </c>
      <c r="L180" s="88">
        <v>0</v>
      </c>
      <c r="M180" s="88">
        <v>0</v>
      </c>
      <c r="N180" s="88">
        <v>0</v>
      </c>
      <c r="O180" s="88">
        <v>0</v>
      </c>
      <c r="P180" s="88">
        <v>0</v>
      </c>
      <c r="Q180" s="89">
        <f t="shared" si="152"/>
        <v>0</v>
      </c>
      <c r="R180" s="88"/>
      <c r="S180" s="88"/>
      <c r="T180" s="88"/>
      <c r="U180" s="88"/>
      <c r="V180" s="89">
        <f t="shared" si="153"/>
        <v>0</v>
      </c>
      <c r="W180" s="88">
        <v>0</v>
      </c>
      <c r="X180" s="88">
        <v>0</v>
      </c>
      <c r="Y180" s="88"/>
      <c r="Z180" s="88"/>
      <c r="AA180" s="89">
        <f t="shared" si="154"/>
        <v>0</v>
      </c>
      <c r="AB180" s="88"/>
      <c r="AC180" s="88"/>
      <c r="AD180" s="88"/>
      <c r="AE180" s="88"/>
      <c r="AF180" s="88"/>
      <c r="AG180" s="89">
        <f t="shared" si="155"/>
        <v>0</v>
      </c>
      <c r="AH180" s="88"/>
      <c r="AI180" s="88"/>
      <c r="AJ180" s="88"/>
      <c r="AK180" s="88"/>
      <c r="AL180" s="89">
        <f t="shared" si="156"/>
        <v>0</v>
      </c>
      <c r="AM180" s="88"/>
      <c r="AN180" s="88"/>
      <c r="AO180" s="88"/>
      <c r="AP180" s="88"/>
      <c r="AQ180" s="88"/>
      <c r="AR180" s="89">
        <f t="shared" si="157"/>
        <v>0</v>
      </c>
      <c r="AS180" s="88"/>
      <c r="AT180" s="88"/>
      <c r="AU180" s="88"/>
      <c r="AV180" s="88"/>
      <c r="AW180" s="89">
        <f t="shared" si="158"/>
        <v>0</v>
      </c>
      <c r="AX180" s="88"/>
      <c r="AY180" s="88"/>
      <c r="AZ180" s="88"/>
      <c r="BA180" s="88"/>
      <c r="BB180" s="89">
        <f t="shared" si="159"/>
        <v>0</v>
      </c>
      <c r="BC180" s="88"/>
      <c r="BD180" s="88"/>
      <c r="BE180" s="88"/>
      <c r="BF180" s="88"/>
      <c r="BG180" s="88"/>
      <c r="BH180" s="89">
        <f t="shared" si="160"/>
        <v>0</v>
      </c>
      <c r="BI180" s="88"/>
      <c r="BJ180" s="88"/>
      <c r="BK180" s="88"/>
      <c r="BL180" s="88"/>
      <c r="BM180" s="89">
        <f t="shared" si="161"/>
        <v>0</v>
      </c>
    </row>
    <row r="181" spans="1:65" ht="15.75" customHeight="1" x14ac:dyDescent="0.25">
      <c r="A181" s="92" t="s">
        <v>559</v>
      </c>
      <c r="B181" s="196">
        <v>0</v>
      </c>
      <c r="C181" s="88">
        <v>0</v>
      </c>
      <c r="D181" s="88">
        <v>0</v>
      </c>
      <c r="E181" s="88">
        <v>0</v>
      </c>
      <c r="F181" s="89">
        <f t="shared" si="150"/>
        <v>0</v>
      </c>
      <c r="G181" s="88">
        <v>0</v>
      </c>
      <c r="H181" s="88">
        <v>0</v>
      </c>
      <c r="I181" s="88">
        <v>0</v>
      </c>
      <c r="J181" s="88">
        <v>0</v>
      </c>
      <c r="K181" s="89">
        <f t="shared" si="151"/>
        <v>0</v>
      </c>
      <c r="L181" s="88">
        <v>1</v>
      </c>
      <c r="M181" s="88">
        <v>0</v>
      </c>
      <c r="N181" s="88">
        <v>0</v>
      </c>
      <c r="O181" s="88">
        <v>0</v>
      </c>
      <c r="P181" s="88">
        <v>0</v>
      </c>
      <c r="Q181" s="89">
        <f t="shared" si="152"/>
        <v>1</v>
      </c>
      <c r="R181" s="88"/>
      <c r="S181" s="88"/>
      <c r="T181" s="88"/>
      <c r="U181" s="88"/>
      <c r="V181" s="89">
        <f t="shared" si="153"/>
        <v>0</v>
      </c>
      <c r="W181" s="88">
        <v>0</v>
      </c>
      <c r="X181" s="88">
        <v>0</v>
      </c>
      <c r="Y181" s="88"/>
      <c r="Z181" s="88"/>
      <c r="AA181" s="89">
        <f t="shared" si="154"/>
        <v>0</v>
      </c>
      <c r="AB181" s="88"/>
      <c r="AC181" s="88"/>
      <c r="AD181" s="88"/>
      <c r="AE181" s="88"/>
      <c r="AF181" s="88"/>
      <c r="AG181" s="89">
        <f t="shared" si="155"/>
        <v>0</v>
      </c>
      <c r="AH181" s="88"/>
      <c r="AI181" s="88"/>
      <c r="AJ181" s="88"/>
      <c r="AK181" s="88"/>
      <c r="AL181" s="89">
        <f t="shared" si="156"/>
        <v>0</v>
      </c>
      <c r="AM181" s="88"/>
      <c r="AN181" s="88"/>
      <c r="AO181" s="88"/>
      <c r="AP181" s="88"/>
      <c r="AQ181" s="88"/>
      <c r="AR181" s="89">
        <f t="shared" si="157"/>
        <v>0</v>
      </c>
      <c r="AS181" s="88"/>
      <c r="AT181" s="88"/>
      <c r="AU181" s="88"/>
      <c r="AV181" s="88"/>
      <c r="AW181" s="89">
        <f t="shared" si="158"/>
        <v>0</v>
      </c>
      <c r="AX181" s="88"/>
      <c r="AY181" s="88"/>
      <c r="AZ181" s="88"/>
      <c r="BA181" s="88"/>
      <c r="BB181" s="89">
        <f t="shared" si="159"/>
        <v>0</v>
      </c>
      <c r="BC181" s="88"/>
      <c r="BD181" s="88"/>
      <c r="BE181" s="88"/>
      <c r="BF181" s="88"/>
      <c r="BG181" s="88"/>
      <c r="BH181" s="89">
        <f t="shared" si="160"/>
        <v>0</v>
      </c>
      <c r="BI181" s="88"/>
      <c r="BJ181" s="88"/>
      <c r="BK181" s="88"/>
      <c r="BL181" s="88"/>
      <c r="BM181" s="89">
        <f t="shared" si="161"/>
        <v>0</v>
      </c>
    </row>
    <row r="182" spans="1:65" ht="15.75" customHeight="1" x14ac:dyDescent="0.25">
      <c r="A182" s="92" t="s">
        <v>560</v>
      </c>
      <c r="B182" s="196">
        <v>0</v>
      </c>
      <c r="C182" s="88">
        <v>0</v>
      </c>
      <c r="D182" s="88">
        <v>0</v>
      </c>
      <c r="E182" s="88">
        <v>0</v>
      </c>
      <c r="F182" s="89">
        <f t="shared" si="150"/>
        <v>0</v>
      </c>
      <c r="G182" s="88">
        <v>0</v>
      </c>
      <c r="H182" s="88">
        <v>0</v>
      </c>
      <c r="I182" s="88">
        <v>0</v>
      </c>
      <c r="J182" s="88">
        <v>0</v>
      </c>
      <c r="K182" s="89">
        <f t="shared" si="151"/>
        <v>0</v>
      </c>
      <c r="L182" s="88">
        <v>0</v>
      </c>
      <c r="M182" s="88">
        <v>0</v>
      </c>
      <c r="N182" s="88">
        <v>0</v>
      </c>
      <c r="O182" s="88">
        <v>0</v>
      </c>
      <c r="P182" s="88">
        <v>0</v>
      </c>
      <c r="Q182" s="89">
        <f t="shared" si="152"/>
        <v>0</v>
      </c>
      <c r="R182" s="88"/>
      <c r="S182" s="88"/>
      <c r="T182" s="88"/>
      <c r="U182" s="88"/>
      <c r="V182" s="89">
        <f t="shared" si="153"/>
        <v>0</v>
      </c>
      <c r="W182" s="88">
        <v>0</v>
      </c>
      <c r="X182" s="88">
        <v>0</v>
      </c>
      <c r="Y182" s="88"/>
      <c r="Z182" s="88"/>
      <c r="AA182" s="89">
        <f t="shared" si="154"/>
        <v>0</v>
      </c>
      <c r="AB182" s="88"/>
      <c r="AC182" s="88"/>
      <c r="AD182" s="88"/>
      <c r="AE182" s="88"/>
      <c r="AF182" s="88"/>
      <c r="AG182" s="89">
        <f t="shared" si="155"/>
        <v>0</v>
      </c>
      <c r="AH182" s="88"/>
      <c r="AI182" s="88"/>
      <c r="AJ182" s="88"/>
      <c r="AK182" s="88"/>
      <c r="AL182" s="89">
        <f t="shared" si="156"/>
        <v>0</v>
      </c>
      <c r="AM182" s="88"/>
      <c r="AN182" s="88"/>
      <c r="AO182" s="88"/>
      <c r="AP182" s="88"/>
      <c r="AQ182" s="88"/>
      <c r="AR182" s="89">
        <f t="shared" si="157"/>
        <v>0</v>
      </c>
      <c r="AS182" s="88"/>
      <c r="AT182" s="88"/>
      <c r="AU182" s="88"/>
      <c r="AV182" s="88"/>
      <c r="AW182" s="89">
        <f t="shared" si="158"/>
        <v>0</v>
      </c>
      <c r="AX182" s="88"/>
      <c r="AY182" s="88"/>
      <c r="AZ182" s="88"/>
      <c r="BA182" s="88"/>
      <c r="BB182" s="89">
        <f t="shared" si="159"/>
        <v>0</v>
      </c>
      <c r="BC182" s="88"/>
      <c r="BD182" s="88"/>
      <c r="BE182" s="88"/>
      <c r="BF182" s="88"/>
      <c r="BG182" s="88"/>
      <c r="BH182" s="89">
        <f t="shared" si="160"/>
        <v>0</v>
      </c>
      <c r="BI182" s="88"/>
      <c r="BJ182" s="88"/>
      <c r="BK182" s="88"/>
      <c r="BL182" s="88"/>
      <c r="BM182" s="89">
        <f t="shared" si="161"/>
        <v>0</v>
      </c>
    </row>
    <row r="183" spans="1:65" ht="15.75" customHeight="1" x14ac:dyDescent="0.25">
      <c r="A183" s="92" t="s">
        <v>561</v>
      </c>
      <c r="B183" s="196">
        <v>0</v>
      </c>
      <c r="C183" s="88">
        <v>0</v>
      </c>
      <c r="D183" s="88">
        <v>0</v>
      </c>
      <c r="E183" s="88">
        <v>0</v>
      </c>
      <c r="F183" s="89">
        <f t="shared" si="150"/>
        <v>0</v>
      </c>
      <c r="G183" s="88">
        <v>0</v>
      </c>
      <c r="H183" s="88">
        <v>0</v>
      </c>
      <c r="I183" s="88">
        <v>0</v>
      </c>
      <c r="J183" s="88">
        <v>0</v>
      </c>
      <c r="K183" s="89">
        <f t="shared" si="151"/>
        <v>0</v>
      </c>
      <c r="L183" s="88">
        <v>0</v>
      </c>
      <c r="M183" s="88">
        <v>0</v>
      </c>
      <c r="N183" s="88">
        <v>0</v>
      </c>
      <c r="O183" s="88">
        <v>0</v>
      </c>
      <c r="P183" s="88">
        <v>0</v>
      </c>
      <c r="Q183" s="89">
        <f t="shared" si="152"/>
        <v>0</v>
      </c>
      <c r="R183" s="88"/>
      <c r="S183" s="88"/>
      <c r="T183" s="88"/>
      <c r="U183" s="88"/>
      <c r="V183" s="89">
        <f t="shared" si="153"/>
        <v>0</v>
      </c>
      <c r="W183" s="88">
        <v>0</v>
      </c>
      <c r="X183" s="88">
        <v>0</v>
      </c>
      <c r="Y183" s="88"/>
      <c r="Z183" s="88"/>
      <c r="AA183" s="89">
        <f t="shared" si="154"/>
        <v>0</v>
      </c>
      <c r="AB183" s="88"/>
      <c r="AC183" s="88"/>
      <c r="AD183" s="88"/>
      <c r="AE183" s="88"/>
      <c r="AF183" s="88"/>
      <c r="AG183" s="89">
        <f t="shared" si="155"/>
        <v>0</v>
      </c>
      <c r="AH183" s="88"/>
      <c r="AI183" s="88"/>
      <c r="AJ183" s="88"/>
      <c r="AK183" s="88"/>
      <c r="AL183" s="89">
        <f t="shared" si="156"/>
        <v>0</v>
      </c>
      <c r="AM183" s="88"/>
      <c r="AN183" s="88"/>
      <c r="AO183" s="88"/>
      <c r="AP183" s="88"/>
      <c r="AQ183" s="88"/>
      <c r="AR183" s="89">
        <f t="shared" si="157"/>
        <v>0</v>
      </c>
      <c r="AS183" s="88"/>
      <c r="AT183" s="88"/>
      <c r="AU183" s="88"/>
      <c r="AV183" s="88"/>
      <c r="AW183" s="89">
        <f t="shared" si="158"/>
        <v>0</v>
      </c>
      <c r="AX183" s="88"/>
      <c r="AY183" s="88"/>
      <c r="AZ183" s="88"/>
      <c r="BA183" s="88"/>
      <c r="BB183" s="89">
        <f t="shared" si="159"/>
        <v>0</v>
      </c>
      <c r="BC183" s="88"/>
      <c r="BD183" s="88"/>
      <c r="BE183" s="88"/>
      <c r="BF183" s="88"/>
      <c r="BG183" s="88"/>
      <c r="BH183" s="89">
        <f t="shared" si="160"/>
        <v>0</v>
      </c>
      <c r="BI183" s="88"/>
      <c r="BJ183" s="88"/>
      <c r="BK183" s="88"/>
      <c r="BL183" s="88"/>
      <c r="BM183" s="89">
        <f t="shared" si="161"/>
        <v>0</v>
      </c>
    </row>
    <row r="184" spans="1:65" ht="15.75" customHeight="1" x14ac:dyDescent="0.25">
      <c r="A184" s="92" t="s">
        <v>562</v>
      </c>
      <c r="B184" s="196">
        <v>0</v>
      </c>
      <c r="C184" s="88">
        <v>0</v>
      </c>
      <c r="D184" s="88">
        <v>0</v>
      </c>
      <c r="E184" s="88">
        <v>0</v>
      </c>
      <c r="F184" s="89">
        <f t="shared" si="150"/>
        <v>0</v>
      </c>
      <c r="G184" s="88">
        <v>0</v>
      </c>
      <c r="H184" s="88">
        <v>0</v>
      </c>
      <c r="I184" s="88">
        <v>0</v>
      </c>
      <c r="J184" s="88">
        <v>0</v>
      </c>
      <c r="K184" s="89">
        <f t="shared" si="151"/>
        <v>0</v>
      </c>
      <c r="L184" s="88">
        <v>0</v>
      </c>
      <c r="M184" s="88">
        <v>0</v>
      </c>
      <c r="N184" s="88">
        <v>0</v>
      </c>
      <c r="O184" s="88">
        <v>0</v>
      </c>
      <c r="P184" s="88">
        <v>0</v>
      </c>
      <c r="Q184" s="89">
        <f t="shared" si="152"/>
        <v>0</v>
      </c>
      <c r="R184" s="88"/>
      <c r="S184" s="88"/>
      <c r="T184" s="88"/>
      <c r="U184" s="88"/>
      <c r="V184" s="89">
        <f t="shared" si="153"/>
        <v>0</v>
      </c>
      <c r="W184" s="88">
        <v>0</v>
      </c>
      <c r="X184" s="88">
        <v>0</v>
      </c>
      <c r="Y184" s="88"/>
      <c r="Z184" s="88"/>
      <c r="AA184" s="89">
        <f t="shared" si="154"/>
        <v>0</v>
      </c>
      <c r="AB184" s="88"/>
      <c r="AC184" s="88"/>
      <c r="AD184" s="88"/>
      <c r="AE184" s="88"/>
      <c r="AF184" s="88"/>
      <c r="AG184" s="89">
        <f t="shared" si="155"/>
        <v>0</v>
      </c>
      <c r="AH184" s="88"/>
      <c r="AI184" s="88"/>
      <c r="AJ184" s="88"/>
      <c r="AK184" s="88"/>
      <c r="AL184" s="89">
        <f t="shared" si="156"/>
        <v>0</v>
      </c>
      <c r="AM184" s="88"/>
      <c r="AN184" s="88"/>
      <c r="AO184" s="88"/>
      <c r="AP184" s="88"/>
      <c r="AQ184" s="88"/>
      <c r="AR184" s="89">
        <f t="shared" si="157"/>
        <v>0</v>
      </c>
      <c r="AS184" s="88"/>
      <c r="AT184" s="88"/>
      <c r="AU184" s="88"/>
      <c r="AV184" s="88"/>
      <c r="AW184" s="89">
        <f t="shared" si="158"/>
        <v>0</v>
      </c>
      <c r="AX184" s="88"/>
      <c r="AY184" s="88"/>
      <c r="AZ184" s="88"/>
      <c r="BA184" s="88"/>
      <c r="BB184" s="89">
        <f t="shared" si="159"/>
        <v>0</v>
      </c>
      <c r="BC184" s="88"/>
      <c r="BD184" s="88"/>
      <c r="BE184" s="88"/>
      <c r="BF184" s="88"/>
      <c r="BG184" s="88"/>
      <c r="BH184" s="89">
        <f t="shared" si="160"/>
        <v>0</v>
      </c>
      <c r="BI184" s="88"/>
      <c r="BJ184" s="88"/>
      <c r="BK184" s="88"/>
      <c r="BL184" s="88"/>
      <c r="BM184" s="89">
        <f t="shared" si="161"/>
        <v>0</v>
      </c>
    </row>
    <row r="185" spans="1:65" ht="15.75" customHeight="1" x14ac:dyDescent="0.25">
      <c r="A185" s="92" t="s">
        <v>446</v>
      </c>
      <c r="B185" s="88">
        <v>0</v>
      </c>
      <c r="C185" s="88">
        <v>0</v>
      </c>
      <c r="D185" s="88">
        <v>12</v>
      </c>
      <c r="E185" s="88">
        <v>13</v>
      </c>
      <c r="F185" s="89">
        <f t="shared" si="150"/>
        <v>25</v>
      </c>
      <c r="G185" s="88">
        <v>1</v>
      </c>
      <c r="H185" s="88">
        <v>3</v>
      </c>
      <c r="I185" s="88">
        <v>0</v>
      </c>
      <c r="J185" s="88">
        <v>0</v>
      </c>
      <c r="K185" s="89">
        <f t="shared" si="151"/>
        <v>4</v>
      </c>
      <c r="L185" s="88">
        <v>38</v>
      </c>
      <c r="M185" s="88">
        <v>9</v>
      </c>
      <c r="N185" s="88">
        <v>6</v>
      </c>
      <c r="O185" s="88">
        <v>7</v>
      </c>
      <c r="P185" s="88">
        <v>22</v>
      </c>
      <c r="Q185" s="89">
        <f t="shared" si="152"/>
        <v>82</v>
      </c>
      <c r="R185" s="88"/>
      <c r="S185" s="88"/>
      <c r="T185" s="88"/>
      <c r="U185" s="88"/>
      <c r="V185" s="89">
        <f t="shared" si="153"/>
        <v>0</v>
      </c>
      <c r="W185" s="88">
        <v>0</v>
      </c>
      <c r="X185" s="88">
        <v>0</v>
      </c>
      <c r="Y185" s="88"/>
      <c r="Z185" s="88"/>
      <c r="AA185" s="89">
        <f t="shared" si="154"/>
        <v>0</v>
      </c>
      <c r="AB185" s="88"/>
      <c r="AC185" s="88"/>
      <c r="AD185" s="88"/>
      <c r="AE185" s="88"/>
      <c r="AF185" s="88"/>
      <c r="AG185" s="89">
        <f t="shared" si="155"/>
        <v>0</v>
      </c>
      <c r="AH185" s="88"/>
      <c r="AI185" s="88"/>
      <c r="AJ185" s="88"/>
      <c r="AK185" s="88"/>
      <c r="AL185" s="89">
        <f t="shared" si="156"/>
        <v>0</v>
      </c>
      <c r="AM185" s="88"/>
      <c r="AN185" s="88"/>
      <c r="AO185" s="88"/>
      <c r="AP185" s="88"/>
      <c r="AQ185" s="88"/>
      <c r="AR185" s="89">
        <f t="shared" si="157"/>
        <v>0</v>
      </c>
      <c r="AS185" s="88"/>
      <c r="AT185" s="88"/>
      <c r="AU185" s="88"/>
      <c r="AV185" s="88"/>
      <c r="AW185" s="89">
        <f t="shared" si="158"/>
        <v>0</v>
      </c>
      <c r="AX185" s="88"/>
      <c r="AY185" s="88"/>
      <c r="AZ185" s="88"/>
      <c r="BA185" s="88"/>
      <c r="BB185" s="89">
        <f t="shared" si="159"/>
        <v>0</v>
      </c>
      <c r="BC185" s="88"/>
      <c r="BD185" s="88"/>
      <c r="BE185" s="88"/>
      <c r="BF185" s="88"/>
      <c r="BG185" s="88"/>
      <c r="BH185" s="89">
        <f t="shared" si="160"/>
        <v>0</v>
      </c>
      <c r="BI185" s="88"/>
      <c r="BJ185" s="88"/>
      <c r="BK185" s="88"/>
      <c r="BL185" s="88"/>
      <c r="BM185" s="89">
        <f t="shared" si="161"/>
        <v>0</v>
      </c>
    </row>
    <row r="186" spans="1:65" ht="15.75" customHeight="1" x14ac:dyDescent="0.25">
      <c r="A186" s="92" t="s">
        <v>551</v>
      </c>
      <c r="B186" s="196">
        <v>0</v>
      </c>
      <c r="C186" s="88">
        <v>0</v>
      </c>
      <c r="D186" s="88">
        <v>0</v>
      </c>
      <c r="E186" s="88">
        <v>0</v>
      </c>
      <c r="F186" s="89">
        <f t="shared" si="150"/>
        <v>0</v>
      </c>
      <c r="G186" s="88">
        <v>0</v>
      </c>
      <c r="H186" s="88">
        <v>0</v>
      </c>
      <c r="I186" s="88">
        <v>0</v>
      </c>
      <c r="J186" s="88">
        <v>0</v>
      </c>
      <c r="K186" s="89">
        <f t="shared" si="151"/>
        <v>0</v>
      </c>
      <c r="L186" s="88">
        <v>0</v>
      </c>
      <c r="M186" s="88">
        <v>0</v>
      </c>
      <c r="N186" s="88">
        <v>0</v>
      </c>
      <c r="O186" s="88">
        <v>0</v>
      </c>
      <c r="P186" s="88">
        <v>0</v>
      </c>
      <c r="Q186" s="89">
        <f t="shared" si="152"/>
        <v>0</v>
      </c>
      <c r="R186" s="88"/>
      <c r="S186" s="88"/>
      <c r="T186" s="88"/>
      <c r="U186" s="88"/>
      <c r="V186" s="89">
        <f t="shared" si="153"/>
        <v>0</v>
      </c>
      <c r="W186" s="88">
        <v>0</v>
      </c>
      <c r="X186" s="88">
        <v>0</v>
      </c>
      <c r="Y186" s="88"/>
      <c r="Z186" s="88"/>
      <c r="AA186" s="89">
        <f t="shared" si="154"/>
        <v>0</v>
      </c>
      <c r="AB186" s="88"/>
      <c r="AC186" s="88"/>
      <c r="AD186" s="88"/>
      <c r="AE186" s="88"/>
      <c r="AF186" s="88"/>
      <c r="AG186" s="89">
        <f t="shared" si="155"/>
        <v>0</v>
      </c>
      <c r="AH186" s="88"/>
      <c r="AI186" s="88"/>
      <c r="AJ186" s="88"/>
      <c r="AK186" s="88"/>
      <c r="AL186" s="89">
        <f t="shared" si="156"/>
        <v>0</v>
      </c>
      <c r="AM186" s="88"/>
      <c r="AN186" s="88"/>
      <c r="AO186" s="88"/>
      <c r="AP186" s="88"/>
      <c r="AQ186" s="88"/>
      <c r="AR186" s="89">
        <f t="shared" si="157"/>
        <v>0</v>
      </c>
      <c r="AS186" s="88"/>
      <c r="AT186" s="88"/>
      <c r="AU186" s="88"/>
      <c r="AV186" s="88"/>
      <c r="AW186" s="89">
        <f t="shared" si="158"/>
        <v>0</v>
      </c>
      <c r="AX186" s="88"/>
      <c r="AY186" s="88"/>
      <c r="AZ186" s="88"/>
      <c r="BA186" s="88"/>
      <c r="BB186" s="89">
        <f t="shared" si="159"/>
        <v>0</v>
      </c>
      <c r="BC186" s="88"/>
      <c r="BD186" s="88"/>
      <c r="BE186" s="88"/>
      <c r="BF186" s="88"/>
      <c r="BG186" s="88"/>
      <c r="BH186" s="89">
        <f t="shared" si="160"/>
        <v>0</v>
      </c>
      <c r="BI186" s="88"/>
      <c r="BJ186" s="88"/>
      <c r="BK186" s="88"/>
      <c r="BL186" s="88"/>
      <c r="BM186" s="89">
        <f t="shared" si="161"/>
        <v>0</v>
      </c>
    </row>
    <row r="187" spans="1:65" ht="15.75" customHeight="1" x14ac:dyDescent="0.25">
      <c r="A187" s="92" t="s">
        <v>552</v>
      </c>
      <c r="B187" s="196">
        <v>0</v>
      </c>
      <c r="C187" s="88">
        <v>0</v>
      </c>
      <c r="D187" s="88">
        <v>0</v>
      </c>
      <c r="E187" s="88">
        <v>0</v>
      </c>
      <c r="F187" s="89">
        <f t="shared" si="150"/>
        <v>0</v>
      </c>
      <c r="G187" s="88">
        <v>0</v>
      </c>
      <c r="H187" s="88">
        <v>0</v>
      </c>
      <c r="I187" s="88">
        <v>0</v>
      </c>
      <c r="J187" s="88">
        <v>0</v>
      </c>
      <c r="K187" s="89">
        <f t="shared" si="151"/>
        <v>0</v>
      </c>
      <c r="L187" s="88">
        <v>0</v>
      </c>
      <c r="M187" s="88">
        <v>0</v>
      </c>
      <c r="N187" s="88">
        <v>0</v>
      </c>
      <c r="O187" s="88">
        <v>0</v>
      </c>
      <c r="P187" s="88">
        <v>0</v>
      </c>
      <c r="Q187" s="89">
        <f t="shared" si="152"/>
        <v>0</v>
      </c>
      <c r="R187" s="88"/>
      <c r="S187" s="88"/>
      <c r="T187" s="88"/>
      <c r="U187" s="88"/>
      <c r="V187" s="89">
        <f t="shared" si="153"/>
        <v>0</v>
      </c>
      <c r="W187" s="88">
        <v>0</v>
      </c>
      <c r="X187" s="88">
        <v>0</v>
      </c>
      <c r="Y187" s="88"/>
      <c r="Z187" s="88"/>
      <c r="AA187" s="89">
        <f t="shared" si="154"/>
        <v>0</v>
      </c>
      <c r="AB187" s="88"/>
      <c r="AC187" s="88"/>
      <c r="AD187" s="88"/>
      <c r="AE187" s="88"/>
      <c r="AF187" s="88"/>
      <c r="AG187" s="89">
        <f t="shared" si="155"/>
        <v>0</v>
      </c>
      <c r="AH187" s="88"/>
      <c r="AI187" s="88"/>
      <c r="AJ187" s="88"/>
      <c r="AK187" s="88"/>
      <c r="AL187" s="89">
        <f t="shared" si="156"/>
        <v>0</v>
      </c>
      <c r="AM187" s="88"/>
      <c r="AN187" s="88"/>
      <c r="AO187" s="88"/>
      <c r="AP187" s="88"/>
      <c r="AQ187" s="88"/>
      <c r="AR187" s="89">
        <f t="shared" si="157"/>
        <v>0</v>
      </c>
      <c r="AS187" s="88"/>
      <c r="AT187" s="88"/>
      <c r="AU187" s="88"/>
      <c r="AV187" s="88"/>
      <c r="AW187" s="89">
        <f t="shared" si="158"/>
        <v>0</v>
      </c>
      <c r="AX187" s="88"/>
      <c r="AY187" s="88"/>
      <c r="AZ187" s="88"/>
      <c r="BA187" s="88"/>
      <c r="BB187" s="89">
        <f t="shared" si="159"/>
        <v>0</v>
      </c>
      <c r="BC187" s="88"/>
      <c r="BD187" s="88"/>
      <c r="BE187" s="88"/>
      <c r="BF187" s="88"/>
      <c r="BG187" s="88"/>
      <c r="BH187" s="89">
        <f t="shared" si="160"/>
        <v>0</v>
      </c>
      <c r="BI187" s="88"/>
      <c r="BJ187" s="88"/>
      <c r="BK187" s="88"/>
      <c r="BL187" s="88"/>
      <c r="BM187" s="89">
        <f t="shared" si="161"/>
        <v>0</v>
      </c>
    </row>
    <row r="188" spans="1:65" ht="15.75" customHeight="1" x14ac:dyDescent="0.25">
      <c r="A188" s="92" t="s">
        <v>553</v>
      </c>
      <c r="B188" s="196">
        <v>0</v>
      </c>
      <c r="C188" s="88">
        <v>0</v>
      </c>
      <c r="D188" s="88">
        <v>0</v>
      </c>
      <c r="E188" s="88">
        <v>0</v>
      </c>
      <c r="F188" s="89">
        <f t="shared" si="150"/>
        <v>0</v>
      </c>
      <c r="G188" s="88">
        <v>0</v>
      </c>
      <c r="H188" s="88">
        <v>0</v>
      </c>
      <c r="I188" s="88">
        <v>0</v>
      </c>
      <c r="J188" s="88">
        <v>0</v>
      </c>
      <c r="K188" s="89">
        <f t="shared" si="151"/>
        <v>0</v>
      </c>
      <c r="L188" s="88">
        <v>0</v>
      </c>
      <c r="M188" s="88">
        <v>0</v>
      </c>
      <c r="N188" s="88">
        <v>0</v>
      </c>
      <c r="O188" s="88">
        <v>0</v>
      </c>
      <c r="P188" s="88">
        <v>0</v>
      </c>
      <c r="Q188" s="89">
        <f t="shared" si="152"/>
        <v>0</v>
      </c>
      <c r="R188" s="88"/>
      <c r="S188" s="88"/>
      <c r="T188" s="88"/>
      <c r="U188" s="88"/>
      <c r="V188" s="89">
        <f t="shared" si="153"/>
        <v>0</v>
      </c>
      <c r="W188" s="88">
        <v>0</v>
      </c>
      <c r="X188" s="88">
        <v>0</v>
      </c>
      <c r="Y188" s="88"/>
      <c r="Z188" s="88"/>
      <c r="AA188" s="89">
        <f t="shared" si="154"/>
        <v>0</v>
      </c>
      <c r="AB188" s="88"/>
      <c r="AC188" s="88"/>
      <c r="AD188" s="88"/>
      <c r="AE188" s="88"/>
      <c r="AF188" s="88"/>
      <c r="AG188" s="89">
        <f t="shared" si="155"/>
        <v>0</v>
      </c>
      <c r="AH188" s="88"/>
      <c r="AI188" s="88"/>
      <c r="AJ188" s="88"/>
      <c r="AK188" s="88"/>
      <c r="AL188" s="89">
        <f t="shared" si="156"/>
        <v>0</v>
      </c>
      <c r="AM188" s="88"/>
      <c r="AN188" s="88"/>
      <c r="AO188" s="88"/>
      <c r="AP188" s="88"/>
      <c r="AQ188" s="88"/>
      <c r="AR188" s="89">
        <f t="shared" si="157"/>
        <v>0</v>
      </c>
      <c r="AS188" s="88"/>
      <c r="AT188" s="88"/>
      <c r="AU188" s="88"/>
      <c r="AV188" s="88"/>
      <c r="AW188" s="89">
        <f t="shared" si="158"/>
        <v>0</v>
      </c>
      <c r="AX188" s="88"/>
      <c r="AY188" s="88"/>
      <c r="AZ188" s="88"/>
      <c r="BA188" s="88"/>
      <c r="BB188" s="89">
        <f t="shared" si="159"/>
        <v>0</v>
      </c>
      <c r="BC188" s="88"/>
      <c r="BD188" s="88"/>
      <c r="BE188" s="88"/>
      <c r="BF188" s="88"/>
      <c r="BG188" s="88"/>
      <c r="BH188" s="89">
        <f t="shared" si="160"/>
        <v>0</v>
      </c>
      <c r="BI188" s="88"/>
      <c r="BJ188" s="88"/>
      <c r="BK188" s="88"/>
      <c r="BL188" s="88"/>
      <c r="BM188" s="89">
        <f t="shared" si="161"/>
        <v>0</v>
      </c>
    </row>
    <row r="189" spans="1:65" ht="15.75" customHeight="1" x14ac:dyDescent="0.25">
      <c r="A189" s="92" t="s">
        <v>516</v>
      </c>
      <c r="B189" s="196">
        <v>0</v>
      </c>
      <c r="C189" s="196">
        <v>0</v>
      </c>
      <c r="D189" s="196">
        <v>0</v>
      </c>
      <c r="E189" s="196">
        <v>0</v>
      </c>
      <c r="F189" s="89">
        <f t="shared" si="150"/>
        <v>0</v>
      </c>
      <c r="G189" s="196">
        <v>0</v>
      </c>
      <c r="H189" s="196">
        <v>0</v>
      </c>
      <c r="I189" s="196">
        <v>0</v>
      </c>
      <c r="J189" s="196">
        <v>0</v>
      </c>
      <c r="K189" s="89">
        <f t="shared" si="151"/>
        <v>0</v>
      </c>
      <c r="L189" s="196">
        <v>0</v>
      </c>
      <c r="M189" s="196">
        <v>0</v>
      </c>
      <c r="N189" s="196">
        <v>0</v>
      </c>
      <c r="O189" s="196">
        <v>0</v>
      </c>
      <c r="P189" s="196">
        <v>0</v>
      </c>
      <c r="Q189" s="89">
        <f t="shared" si="152"/>
        <v>0</v>
      </c>
      <c r="R189" s="196"/>
      <c r="S189" s="196"/>
      <c r="T189" s="196"/>
      <c r="U189" s="196"/>
      <c r="V189" s="89">
        <f t="shared" si="153"/>
        <v>0</v>
      </c>
      <c r="W189" s="196">
        <v>0</v>
      </c>
      <c r="X189" s="196">
        <v>0</v>
      </c>
      <c r="Y189" s="196"/>
      <c r="Z189" s="196"/>
      <c r="AA189" s="89">
        <f t="shared" si="154"/>
        <v>0</v>
      </c>
      <c r="AB189" s="196"/>
      <c r="AC189" s="196"/>
      <c r="AD189" s="196"/>
      <c r="AE189" s="196"/>
      <c r="AF189" s="196"/>
      <c r="AG189" s="89">
        <f t="shared" si="155"/>
        <v>0</v>
      </c>
      <c r="AH189" s="196"/>
      <c r="AI189" s="196"/>
      <c r="AJ189" s="196"/>
      <c r="AK189" s="196"/>
      <c r="AL189" s="89">
        <f t="shared" si="156"/>
        <v>0</v>
      </c>
      <c r="AM189" s="88"/>
      <c r="AN189" s="88"/>
      <c r="AO189" s="88"/>
      <c r="AP189" s="88"/>
      <c r="AQ189" s="88"/>
      <c r="AR189" s="89">
        <f t="shared" si="157"/>
        <v>0</v>
      </c>
      <c r="AS189" s="88"/>
      <c r="AT189" s="88"/>
      <c r="AU189" s="88"/>
      <c r="AV189" s="88"/>
      <c r="AW189" s="89">
        <f t="shared" si="158"/>
        <v>0</v>
      </c>
      <c r="AX189" s="88"/>
      <c r="AY189" s="88"/>
      <c r="AZ189" s="88"/>
      <c r="BA189" s="88"/>
      <c r="BB189" s="89">
        <f t="shared" si="159"/>
        <v>0</v>
      </c>
      <c r="BC189" s="88"/>
      <c r="BD189" s="88"/>
      <c r="BE189" s="88"/>
      <c r="BF189" s="88"/>
      <c r="BG189" s="88"/>
      <c r="BH189" s="89">
        <f t="shared" si="160"/>
        <v>0</v>
      </c>
      <c r="BI189" s="88"/>
      <c r="BJ189" s="88"/>
      <c r="BK189" s="88"/>
      <c r="BL189" s="88"/>
      <c r="BM189" s="89">
        <f t="shared" si="161"/>
        <v>0</v>
      </c>
    </row>
    <row r="190" spans="1:65" ht="15.75" customHeight="1" x14ac:dyDescent="0.25">
      <c r="A190" s="92" t="s">
        <v>517</v>
      </c>
      <c r="B190" s="196">
        <v>0</v>
      </c>
      <c r="C190" s="196">
        <v>0</v>
      </c>
      <c r="D190" s="196">
        <v>0</v>
      </c>
      <c r="E190" s="196">
        <v>0</v>
      </c>
      <c r="F190" s="89">
        <f t="shared" si="150"/>
        <v>0</v>
      </c>
      <c r="G190" s="196">
        <v>0</v>
      </c>
      <c r="H190" s="196">
        <v>0</v>
      </c>
      <c r="I190" s="196">
        <v>0</v>
      </c>
      <c r="J190" s="196">
        <v>0</v>
      </c>
      <c r="K190" s="89">
        <f t="shared" si="151"/>
        <v>0</v>
      </c>
      <c r="L190" s="196">
        <v>0</v>
      </c>
      <c r="M190" s="196">
        <v>0</v>
      </c>
      <c r="N190" s="196">
        <v>0</v>
      </c>
      <c r="O190" s="196">
        <v>0</v>
      </c>
      <c r="P190" s="196">
        <v>0</v>
      </c>
      <c r="Q190" s="89">
        <f t="shared" si="152"/>
        <v>0</v>
      </c>
      <c r="R190" s="196"/>
      <c r="S190" s="196"/>
      <c r="T190" s="196"/>
      <c r="U190" s="196"/>
      <c r="V190" s="89">
        <f t="shared" si="153"/>
        <v>0</v>
      </c>
      <c r="W190" s="196">
        <v>0</v>
      </c>
      <c r="X190" s="196">
        <v>0</v>
      </c>
      <c r="Y190" s="196"/>
      <c r="Z190" s="196"/>
      <c r="AA190" s="89">
        <f t="shared" si="154"/>
        <v>0</v>
      </c>
      <c r="AB190" s="196"/>
      <c r="AC190" s="196"/>
      <c r="AD190" s="196"/>
      <c r="AE190" s="196"/>
      <c r="AF190" s="196"/>
      <c r="AG190" s="89">
        <f t="shared" si="155"/>
        <v>0</v>
      </c>
      <c r="AH190" s="196"/>
      <c r="AI190" s="196"/>
      <c r="AJ190" s="196"/>
      <c r="AK190" s="196"/>
      <c r="AL190" s="89">
        <f t="shared" si="156"/>
        <v>0</v>
      </c>
      <c r="AM190" s="88"/>
      <c r="AN190" s="88"/>
      <c r="AO190" s="88"/>
      <c r="AP190" s="88"/>
      <c r="AQ190" s="88"/>
      <c r="AR190" s="89">
        <f t="shared" si="157"/>
        <v>0</v>
      </c>
      <c r="AS190" s="88"/>
      <c r="AT190" s="88"/>
      <c r="AU190" s="88"/>
      <c r="AV190" s="88"/>
      <c r="AW190" s="89">
        <f t="shared" si="158"/>
        <v>0</v>
      </c>
      <c r="AX190" s="88"/>
      <c r="AY190" s="88"/>
      <c r="AZ190" s="88"/>
      <c r="BA190" s="88"/>
      <c r="BB190" s="89">
        <f t="shared" si="159"/>
        <v>0</v>
      </c>
      <c r="BC190" s="88"/>
      <c r="BD190" s="88"/>
      <c r="BE190" s="88"/>
      <c r="BF190" s="88"/>
      <c r="BG190" s="88"/>
      <c r="BH190" s="89">
        <f t="shared" si="160"/>
        <v>0</v>
      </c>
      <c r="BI190" s="88"/>
      <c r="BJ190" s="88"/>
      <c r="BK190" s="88"/>
      <c r="BL190" s="88"/>
      <c r="BM190" s="89">
        <f t="shared" si="161"/>
        <v>0</v>
      </c>
    </row>
    <row r="191" spans="1:65" ht="15.75" customHeight="1" x14ac:dyDescent="0.25">
      <c r="A191" s="92" t="s">
        <v>518</v>
      </c>
      <c r="B191" s="196">
        <v>0</v>
      </c>
      <c r="C191" s="196">
        <v>0</v>
      </c>
      <c r="D191" s="196">
        <v>0</v>
      </c>
      <c r="E191" s="196">
        <v>0</v>
      </c>
      <c r="F191" s="89">
        <f t="shared" si="150"/>
        <v>0</v>
      </c>
      <c r="G191" s="196">
        <v>0</v>
      </c>
      <c r="H191" s="196">
        <v>0</v>
      </c>
      <c r="I191" s="196">
        <v>0</v>
      </c>
      <c r="J191" s="196">
        <v>0</v>
      </c>
      <c r="K191" s="89">
        <f t="shared" si="151"/>
        <v>0</v>
      </c>
      <c r="L191" s="196">
        <v>0</v>
      </c>
      <c r="M191" s="196">
        <v>0</v>
      </c>
      <c r="N191" s="196">
        <v>0</v>
      </c>
      <c r="O191" s="196">
        <v>0</v>
      </c>
      <c r="P191" s="196">
        <v>0</v>
      </c>
      <c r="Q191" s="89">
        <f t="shared" si="152"/>
        <v>0</v>
      </c>
      <c r="R191" s="196"/>
      <c r="S191" s="196"/>
      <c r="T191" s="196"/>
      <c r="U191" s="196"/>
      <c r="V191" s="89">
        <f t="shared" si="153"/>
        <v>0</v>
      </c>
      <c r="W191" s="196">
        <v>0</v>
      </c>
      <c r="X191" s="196">
        <v>0</v>
      </c>
      <c r="Y191" s="196"/>
      <c r="Z191" s="196"/>
      <c r="AA191" s="89">
        <f t="shared" si="154"/>
        <v>0</v>
      </c>
      <c r="AB191" s="196"/>
      <c r="AC191" s="196"/>
      <c r="AD191" s="196"/>
      <c r="AE191" s="196"/>
      <c r="AF191" s="196"/>
      <c r="AG191" s="89">
        <f t="shared" si="155"/>
        <v>0</v>
      </c>
      <c r="AH191" s="196"/>
      <c r="AI191" s="196"/>
      <c r="AJ191" s="196"/>
      <c r="AK191" s="196"/>
      <c r="AL191" s="89">
        <f t="shared" si="156"/>
        <v>0</v>
      </c>
      <c r="AM191" s="88"/>
      <c r="AN191" s="88"/>
      <c r="AO191" s="88"/>
      <c r="AP191" s="88"/>
      <c r="AQ191" s="88"/>
      <c r="AR191" s="89">
        <f t="shared" si="157"/>
        <v>0</v>
      </c>
      <c r="AS191" s="88"/>
      <c r="AT191" s="88"/>
      <c r="AU191" s="88"/>
      <c r="AV191" s="88"/>
      <c r="AW191" s="89">
        <f t="shared" si="158"/>
        <v>0</v>
      </c>
      <c r="AX191" s="88"/>
      <c r="AY191" s="88"/>
      <c r="AZ191" s="88"/>
      <c r="BA191" s="88"/>
      <c r="BB191" s="89">
        <f t="shared" si="159"/>
        <v>0</v>
      </c>
      <c r="BC191" s="88"/>
      <c r="BD191" s="88"/>
      <c r="BE191" s="88"/>
      <c r="BF191" s="88"/>
      <c r="BG191" s="88"/>
      <c r="BH191" s="89">
        <f t="shared" si="160"/>
        <v>0</v>
      </c>
      <c r="BI191" s="88"/>
      <c r="BJ191" s="88"/>
      <c r="BK191" s="88"/>
      <c r="BL191" s="88"/>
      <c r="BM191" s="89">
        <f t="shared" si="161"/>
        <v>0</v>
      </c>
    </row>
    <row r="192" spans="1:65" ht="15.75" customHeight="1" x14ac:dyDescent="0.25">
      <c r="A192" s="92" t="s">
        <v>519</v>
      </c>
      <c r="B192" s="196">
        <v>0</v>
      </c>
      <c r="C192" s="196">
        <v>0</v>
      </c>
      <c r="D192" s="196">
        <v>0</v>
      </c>
      <c r="E192" s="196">
        <v>0</v>
      </c>
      <c r="F192" s="89">
        <f t="shared" si="150"/>
        <v>0</v>
      </c>
      <c r="G192" s="196">
        <v>0</v>
      </c>
      <c r="H192" s="196">
        <v>0</v>
      </c>
      <c r="I192" s="196">
        <v>0</v>
      </c>
      <c r="J192" s="196">
        <v>0</v>
      </c>
      <c r="K192" s="89">
        <f t="shared" si="151"/>
        <v>0</v>
      </c>
      <c r="L192" s="196">
        <v>0</v>
      </c>
      <c r="M192" s="196">
        <v>0</v>
      </c>
      <c r="N192" s="196">
        <v>0</v>
      </c>
      <c r="O192" s="196">
        <v>0</v>
      </c>
      <c r="P192" s="196">
        <v>0</v>
      </c>
      <c r="Q192" s="89">
        <f t="shared" si="152"/>
        <v>0</v>
      </c>
      <c r="R192" s="196"/>
      <c r="S192" s="196"/>
      <c r="T192" s="196"/>
      <c r="U192" s="196"/>
      <c r="V192" s="89">
        <f t="shared" si="153"/>
        <v>0</v>
      </c>
      <c r="W192" s="196">
        <v>0</v>
      </c>
      <c r="X192" s="196">
        <v>0</v>
      </c>
      <c r="Y192" s="196"/>
      <c r="Z192" s="196"/>
      <c r="AA192" s="89">
        <f t="shared" si="154"/>
        <v>0</v>
      </c>
      <c r="AB192" s="196"/>
      <c r="AC192" s="196"/>
      <c r="AD192" s="196"/>
      <c r="AE192" s="196"/>
      <c r="AF192" s="196"/>
      <c r="AG192" s="89">
        <f t="shared" si="155"/>
        <v>0</v>
      </c>
      <c r="AH192" s="196"/>
      <c r="AI192" s="196"/>
      <c r="AJ192" s="196"/>
      <c r="AK192" s="196"/>
      <c r="AL192" s="89">
        <f t="shared" si="156"/>
        <v>0</v>
      </c>
      <c r="AM192" s="88"/>
      <c r="AN192" s="88"/>
      <c r="AO192" s="88"/>
      <c r="AP192" s="88"/>
      <c r="AQ192" s="88"/>
      <c r="AR192" s="89">
        <f t="shared" si="157"/>
        <v>0</v>
      </c>
      <c r="AS192" s="88"/>
      <c r="AT192" s="88"/>
      <c r="AU192" s="88"/>
      <c r="AV192" s="88"/>
      <c r="AW192" s="89">
        <f t="shared" si="158"/>
        <v>0</v>
      </c>
      <c r="AX192" s="88"/>
      <c r="AY192" s="88"/>
      <c r="AZ192" s="88"/>
      <c r="BA192" s="88"/>
      <c r="BB192" s="89">
        <f t="shared" si="159"/>
        <v>0</v>
      </c>
      <c r="BC192" s="88"/>
      <c r="BD192" s="88"/>
      <c r="BE192" s="88"/>
      <c r="BF192" s="88"/>
      <c r="BG192" s="88"/>
      <c r="BH192" s="89">
        <f t="shared" si="160"/>
        <v>0</v>
      </c>
      <c r="BI192" s="88"/>
      <c r="BJ192" s="88"/>
      <c r="BK192" s="88"/>
      <c r="BL192" s="88"/>
      <c r="BM192" s="89">
        <f t="shared" si="161"/>
        <v>0</v>
      </c>
    </row>
    <row r="193" spans="1:65" ht="15.75" customHeight="1" x14ac:dyDescent="0.25">
      <c r="A193" s="92" t="s">
        <v>459</v>
      </c>
      <c r="B193" s="196">
        <v>0</v>
      </c>
      <c r="C193" s="196">
        <v>230</v>
      </c>
      <c r="D193" s="196">
        <v>232</v>
      </c>
      <c r="E193" s="196">
        <v>138</v>
      </c>
      <c r="F193" s="89">
        <f t="shared" si="150"/>
        <v>600</v>
      </c>
      <c r="G193" s="196">
        <v>64</v>
      </c>
      <c r="H193" s="196">
        <v>56</v>
      </c>
      <c r="I193" s="196">
        <v>68</v>
      </c>
      <c r="J193" s="196">
        <v>13</v>
      </c>
      <c r="K193" s="89">
        <f t="shared" si="151"/>
        <v>201</v>
      </c>
      <c r="L193" s="196">
        <v>67</v>
      </c>
      <c r="M193" s="196">
        <v>117</v>
      </c>
      <c r="N193" s="196">
        <v>83</v>
      </c>
      <c r="O193" s="196">
        <v>85</v>
      </c>
      <c r="P193" s="196">
        <v>114</v>
      </c>
      <c r="Q193" s="89">
        <f t="shared" si="152"/>
        <v>466</v>
      </c>
      <c r="R193" s="196"/>
      <c r="S193" s="196"/>
      <c r="T193" s="196"/>
      <c r="U193" s="196"/>
      <c r="V193" s="89">
        <f t="shared" si="153"/>
        <v>0</v>
      </c>
      <c r="W193" s="196">
        <v>252</v>
      </c>
      <c r="X193" s="196">
        <v>0</v>
      </c>
      <c r="Y193" s="196"/>
      <c r="Z193" s="196"/>
      <c r="AA193" s="89">
        <f t="shared" si="154"/>
        <v>252</v>
      </c>
      <c r="AB193" s="196"/>
      <c r="AC193" s="196"/>
      <c r="AD193" s="196"/>
      <c r="AE193" s="196"/>
      <c r="AF193" s="196"/>
      <c r="AG193" s="89">
        <f t="shared" si="155"/>
        <v>0</v>
      </c>
      <c r="AH193" s="196"/>
      <c r="AI193" s="196"/>
      <c r="AJ193" s="196"/>
      <c r="AK193" s="196"/>
      <c r="AL193" s="89">
        <f t="shared" si="156"/>
        <v>0</v>
      </c>
      <c r="AM193" s="88"/>
      <c r="AN193" s="88"/>
      <c r="AO193" s="88"/>
      <c r="AP193" s="88"/>
      <c r="AQ193" s="88"/>
      <c r="AR193" s="89">
        <f t="shared" si="157"/>
        <v>0</v>
      </c>
      <c r="AS193" s="88"/>
      <c r="AT193" s="88"/>
      <c r="AU193" s="88"/>
      <c r="AV193" s="88"/>
      <c r="AW193" s="89">
        <f t="shared" si="158"/>
        <v>0</v>
      </c>
      <c r="AX193" s="88"/>
      <c r="AY193" s="88"/>
      <c r="AZ193" s="88"/>
      <c r="BA193" s="88"/>
      <c r="BB193" s="89">
        <f t="shared" si="159"/>
        <v>0</v>
      </c>
      <c r="BC193" s="88"/>
      <c r="BD193" s="88"/>
      <c r="BE193" s="88"/>
      <c r="BF193" s="88"/>
      <c r="BG193" s="88"/>
      <c r="BH193" s="89">
        <f t="shared" si="160"/>
        <v>0</v>
      </c>
      <c r="BI193" s="88"/>
      <c r="BJ193" s="88"/>
      <c r="BK193" s="88"/>
      <c r="BL193" s="88"/>
      <c r="BM193" s="89">
        <f t="shared" si="161"/>
        <v>0</v>
      </c>
    </row>
    <row r="194" spans="1:65" ht="15.75" customHeight="1" x14ac:dyDescent="0.25">
      <c r="A194" s="92" t="s">
        <v>461</v>
      </c>
      <c r="B194" s="196">
        <v>7</v>
      </c>
      <c r="C194" s="196">
        <v>24</v>
      </c>
      <c r="D194" s="196">
        <v>4</v>
      </c>
      <c r="E194" s="196">
        <v>0</v>
      </c>
      <c r="F194" s="89">
        <f t="shared" si="150"/>
        <v>35</v>
      </c>
      <c r="G194" s="196">
        <v>40</v>
      </c>
      <c r="H194" s="196">
        <v>0</v>
      </c>
      <c r="I194" s="196">
        <v>235</v>
      </c>
      <c r="J194" s="196">
        <v>60</v>
      </c>
      <c r="K194" s="89">
        <f t="shared" si="151"/>
        <v>335</v>
      </c>
      <c r="L194" s="196">
        <v>0</v>
      </c>
      <c r="M194" s="196">
        <v>133</v>
      </c>
      <c r="N194" s="196">
        <v>72</v>
      </c>
      <c r="O194" s="196">
        <v>63</v>
      </c>
      <c r="P194" s="196">
        <v>17</v>
      </c>
      <c r="Q194" s="89">
        <f t="shared" si="152"/>
        <v>285</v>
      </c>
      <c r="R194" s="196"/>
      <c r="S194" s="196"/>
      <c r="T194" s="196"/>
      <c r="U194" s="196"/>
      <c r="V194" s="89">
        <f t="shared" si="153"/>
        <v>0</v>
      </c>
      <c r="W194" s="196">
        <v>120</v>
      </c>
      <c r="X194" s="196">
        <v>0</v>
      </c>
      <c r="Y194" s="196"/>
      <c r="Z194" s="196"/>
      <c r="AA194" s="89">
        <f t="shared" si="154"/>
        <v>120</v>
      </c>
      <c r="AB194" s="196"/>
      <c r="AC194" s="196"/>
      <c r="AD194" s="196"/>
      <c r="AE194" s="196"/>
      <c r="AF194" s="196"/>
      <c r="AG194" s="89">
        <f t="shared" si="155"/>
        <v>0</v>
      </c>
      <c r="AH194" s="196"/>
      <c r="AI194" s="196"/>
      <c r="AJ194" s="196"/>
      <c r="AK194" s="196"/>
      <c r="AL194" s="89">
        <f t="shared" si="156"/>
        <v>0</v>
      </c>
      <c r="AM194" s="88"/>
      <c r="AN194" s="88"/>
      <c r="AO194" s="88"/>
      <c r="AP194" s="88"/>
      <c r="AQ194" s="88"/>
      <c r="AR194" s="89">
        <f t="shared" si="157"/>
        <v>0</v>
      </c>
      <c r="AS194" s="88"/>
      <c r="AT194" s="88"/>
      <c r="AU194" s="88"/>
      <c r="AV194" s="88"/>
      <c r="AW194" s="89">
        <f t="shared" si="158"/>
        <v>0</v>
      </c>
      <c r="AX194" s="88"/>
      <c r="AY194" s="88"/>
      <c r="AZ194" s="88"/>
      <c r="BA194" s="88"/>
      <c r="BB194" s="89">
        <f t="shared" si="159"/>
        <v>0</v>
      </c>
      <c r="BC194" s="88"/>
      <c r="BD194" s="88"/>
      <c r="BE194" s="88"/>
      <c r="BF194" s="88"/>
      <c r="BG194" s="88"/>
      <c r="BH194" s="89">
        <f t="shared" si="160"/>
        <v>0</v>
      </c>
      <c r="BI194" s="88"/>
      <c r="BJ194" s="88"/>
      <c r="BK194" s="88"/>
      <c r="BL194" s="88"/>
      <c r="BM194" s="89">
        <f t="shared" si="161"/>
        <v>0</v>
      </c>
    </row>
    <row r="195" spans="1:65" ht="15.75" customHeight="1" x14ac:dyDescent="0.25">
      <c r="A195" s="92" t="s">
        <v>462</v>
      </c>
      <c r="B195" s="196">
        <v>0</v>
      </c>
      <c r="C195" s="196">
        <v>4</v>
      </c>
      <c r="D195" s="196">
        <v>0</v>
      </c>
      <c r="E195" s="196">
        <v>0</v>
      </c>
      <c r="F195" s="89">
        <f t="shared" si="150"/>
        <v>4</v>
      </c>
      <c r="G195" s="196">
        <v>0</v>
      </c>
      <c r="H195" s="196">
        <v>181</v>
      </c>
      <c r="I195" s="196">
        <v>39</v>
      </c>
      <c r="J195" s="196">
        <v>47</v>
      </c>
      <c r="K195" s="89">
        <f t="shared" si="151"/>
        <v>267</v>
      </c>
      <c r="L195" s="196">
        <v>12</v>
      </c>
      <c r="M195" s="196">
        <v>42</v>
      </c>
      <c r="N195" s="196">
        <v>21</v>
      </c>
      <c r="O195" s="196">
        <v>38</v>
      </c>
      <c r="P195" s="196">
        <v>34</v>
      </c>
      <c r="Q195" s="89">
        <f t="shared" si="152"/>
        <v>147</v>
      </c>
      <c r="R195" s="196"/>
      <c r="S195" s="196"/>
      <c r="T195" s="196"/>
      <c r="U195" s="196"/>
      <c r="V195" s="89">
        <f t="shared" si="153"/>
        <v>0</v>
      </c>
      <c r="W195" s="196">
        <v>0</v>
      </c>
      <c r="X195" s="196">
        <v>0</v>
      </c>
      <c r="Y195" s="196"/>
      <c r="Z195" s="196"/>
      <c r="AA195" s="89">
        <f t="shared" si="154"/>
        <v>0</v>
      </c>
      <c r="AB195" s="196"/>
      <c r="AC195" s="196"/>
      <c r="AD195" s="196"/>
      <c r="AE195" s="196"/>
      <c r="AF195" s="196"/>
      <c r="AG195" s="89">
        <f t="shared" si="155"/>
        <v>0</v>
      </c>
      <c r="AH195" s="196"/>
      <c r="AI195" s="196"/>
      <c r="AJ195" s="196"/>
      <c r="AK195" s="196"/>
      <c r="AL195" s="89">
        <f t="shared" si="156"/>
        <v>0</v>
      </c>
      <c r="AM195" s="88"/>
      <c r="AN195" s="88"/>
      <c r="AO195" s="88"/>
      <c r="AP195" s="88"/>
      <c r="AQ195" s="88"/>
      <c r="AR195" s="89">
        <f t="shared" si="157"/>
        <v>0</v>
      </c>
      <c r="AS195" s="88"/>
      <c r="AT195" s="88"/>
      <c r="AU195" s="88"/>
      <c r="AV195" s="88"/>
      <c r="AW195" s="89">
        <f t="shared" si="158"/>
        <v>0</v>
      </c>
      <c r="AX195" s="88"/>
      <c r="AY195" s="88"/>
      <c r="AZ195" s="88"/>
      <c r="BA195" s="88"/>
      <c r="BB195" s="89">
        <f t="shared" si="159"/>
        <v>0</v>
      </c>
      <c r="BC195" s="88"/>
      <c r="BD195" s="88"/>
      <c r="BE195" s="88"/>
      <c r="BF195" s="88"/>
      <c r="BG195" s="88"/>
      <c r="BH195" s="89">
        <f t="shared" si="160"/>
        <v>0</v>
      </c>
      <c r="BI195" s="88"/>
      <c r="BJ195" s="88"/>
      <c r="BK195" s="88"/>
      <c r="BL195" s="88"/>
      <c r="BM195" s="89">
        <f t="shared" si="161"/>
        <v>0</v>
      </c>
    </row>
    <row r="196" spans="1:65" ht="15.75" customHeight="1" x14ac:dyDescent="0.25">
      <c r="A196" s="197" t="s">
        <v>522</v>
      </c>
      <c r="B196" s="196">
        <v>0</v>
      </c>
      <c r="C196" s="196">
        <v>0</v>
      </c>
      <c r="D196" s="196">
        <v>0</v>
      </c>
      <c r="E196" s="196">
        <v>0</v>
      </c>
      <c r="F196" s="89">
        <f t="shared" si="150"/>
        <v>0</v>
      </c>
      <c r="G196" s="196">
        <v>0</v>
      </c>
      <c r="H196" s="196">
        <v>0</v>
      </c>
      <c r="I196" s="196">
        <v>0</v>
      </c>
      <c r="J196" s="196">
        <v>0</v>
      </c>
      <c r="K196" s="89">
        <f t="shared" si="151"/>
        <v>0</v>
      </c>
      <c r="L196" s="196">
        <v>0</v>
      </c>
      <c r="M196" s="196">
        <v>0</v>
      </c>
      <c r="N196" s="196">
        <v>0</v>
      </c>
      <c r="O196" s="196">
        <v>0</v>
      </c>
      <c r="P196" s="196">
        <v>0</v>
      </c>
      <c r="Q196" s="89">
        <f t="shared" si="152"/>
        <v>0</v>
      </c>
      <c r="R196" s="196"/>
      <c r="S196" s="196"/>
      <c r="T196" s="196"/>
      <c r="U196" s="196"/>
      <c r="V196" s="89">
        <f t="shared" si="153"/>
        <v>0</v>
      </c>
      <c r="W196" s="196">
        <v>0</v>
      </c>
      <c r="X196" s="196">
        <v>0</v>
      </c>
      <c r="Y196" s="196"/>
      <c r="Z196" s="196"/>
      <c r="AA196" s="89">
        <f t="shared" si="154"/>
        <v>0</v>
      </c>
      <c r="AB196" s="196"/>
      <c r="AC196" s="196"/>
      <c r="AD196" s="196"/>
      <c r="AE196" s="196"/>
      <c r="AF196" s="196"/>
      <c r="AG196" s="89">
        <f t="shared" si="155"/>
        <v>0</v>
      </c>
      <c r="AH196" s="196"/>
      <c r="AI196" s="196"/>
      <c r="AJ196" s="196"/>
      <c r="AK196" s="196"/>
      <c r="AL196" s="89">
        <f t="shared" si="156"/>
        <v>0</v>
      </c>
      <c r="AM196" s="88"/>
      <c r="AN196" s="88"/>
      <c r="AO196" s="88"/>
      <c r="AP196" s="88"/>
      <c r="AQ196" s="88"/>
      <c r="AR196" s="89">
        <f t="shared" si="157"/>
        <v>0</v>
      </c>
      <c r="AS196" s="88"/>
      <c r="AT196" s="88"/>
      <c r="AU196" s="88"/>
      <c r="AV196" s="88"/>
      <c r="AW196" s="89">
        <f t="shared" si="158"/>
        <v>0</v>
      </c>
      <c r="AX196" s="88"/>
      <c r="AY196" s="88"/>
      <c r="AZ196" s="88"/>
      <c r="BA196" s="88"/>
      <c r="BB196" s="89">
        <f t="shared" si="159"/>
        <v>0</v>
      </c>
      <c r="BC196" s="88"/>
      <c r="BD196" s="88"/>
      <c r="BE196" s="88"/>
      <c r="BF196" s="88"/>
      <c r="BG196" s="88"/>
      <c r="BH196" s="89">
        <f t="shared" si="160"/>
        <v>0</v>
      </c>
      <c r="BI196" s="88"/>
      <c r="BJ196" s="88"/>
      <c r="BK196" s="88"/>
      <c r="BL196" s="88"/>
      <c r="BM196" s="89">
        <f t="shared" si="161"/>
        <v>0</v>
      </c>
    </row>
    <row r="197" spans="1:65" ht="15.75" customHeight="1" x14ac:dyDescent="0.25">
      <c r="A197" s="197" t="s">
        <v>523</v>
      </c>
      <c r="B197" s="196">
        <v>0</v>
      </c>
      <c r="C197" s="196">
        <v>0</v>
      </c>
      <c r="D197" s="196">
        <v>0</v>
      </c>
      <c r="E197" s="196">
        <v>0</v>
      </c>
      <c r="F197" s="89">
        <f t="shared" si="150"/>
        <v>0</v>
      </c>
      <c r="G197" s="196">
        <v>0</v>
      </c>
      <c r="H197" s="196">
        <v>0</v>
      </c>
      <c r="I197" s="196">
        <v>0</v>
      </c>
      <c r="J197" s="196">
        <v>0</v>
      </c>
      <c r="K197" s="89">
        <f t="shared" si="151"/>
        <v>0</v>
      </c>
      <c r="L197" s="196">
        <v>0</v>
      </c>
      <c r="M197" s="196">
        <v>0</v>
      </c>
      <c r="N197" s="196">
        <v>0</v>
      </c>
      <c r="O197" s="196">
        <v>0</v>
      </c>
      <c r="P197" s="196">
        <v>0</v>
      </c>
      <c r="Q197" s="89">
        <f t="shared" si="152"/>
        <v>0</v>
      </c>
      <c r="R197" s="196"/>
      <c r="S197" s="196"/>
      <c r="T197" s="196"/>
      <c r="U197" s="196"/>
      <c r="V197" s="89">
        <f t="shared" si="153"/>
        <v>0</v>
      </c>
      <c r="W197" s="196">
        <v>0</v>
      </c>
      <c r="X197" s="196">
        <v>0</v>
      </c>
      <c r="Y197" s="196"/>
      <c r="Z197" s="196"/>
      <c r="AA197" s="89">
        <f t="shared" si="154"/>
        <v>0</v>
      </c>
      <c r="AB197" s="196"/>
      <c r="AC197" s="196"/>
      <c r="AD197" s="196"/>
      <c r="AE197" s="196"/>
      <c r="AF197" s="196"/>
      <c r="AG197" s="89">
        <f t="shared" si="155"/>
        <v>0</v>
      </c>
      <c r="AH197" s="196"/>
      <c r="AI197" s="196"/>
      <c r="AJ197" s="196"/>
      <c r="AK197" s="196"/>
      <c r="AL197" s="89">
        <f t="shared" si="156"/>
        <v>0</v>
      </c>
      <c r="AM197" s="88"/>
      <c r="AN197" s="88"/>
      <c r="AO197" s="88"/>
      <c r="AP197" s="88"/>
      <c r="AQ197" s="88"/>
      <c r="AR197" s="89">
        <f t="shared" si="157"/>
        <v>0</v>
      </c>
      <c r="AS197" s="88"/>
      <c r="AT197" s="88"/>
      <c r="AU197" s="88"/>
      <c r="AV197" s="88"/>
      <c r="AW197" s="89">
        <f t="shared" si="158"/>
        <v>0</v>
      </c>
      <c r="AX197" s="88"/>
      <c r="AY197" s="88"/>
      <c r="AZ197" s="88"/>
      <c r="BA197" s="88"/>
      <c r="BB197" s="89">
        <f t="shared" si="159"/>
        <v>0</v>
      </c>
      <c r="BC197" s="88"/>
      <c r="BD197" s="88"/>
      <c r="BE197" s="88"/>
      <c r="BF197" s="88"/>
      <c r="BG197" s="88"/>
      <c r="BH197" s="89">
        <f t="shared" si="160"/>
        <v>0</v>
      </c>
      <c r="BI197" s="88"/>
      <c r="BJ197" s="88"/>
      <c r="BK197" s="88"/>
      <c r="BL197" s="88"/>
      <c r="BM197" s="89">
        <f t="shared" si="161"/>
        <v>0</v>
      </c>
    </row>
    <row r="198" spans="1:65" ht="15.75" customHeight="1" x14ac:dyDescent="0.25">
      <c r="A198" s="92" t="s">
        <v>524</v>
      </c>
      <c r="B198" s="196">
        <v>0</v>
      </c>
      <c r="C198" s="196">
        <v>0</v>
      </c>
      <c r="D198" s="196">
        <v>0</v>
      </c>
      <c r="E198" s="196">
        <v>0</v>
      </c>
      <c r="F198" s="89">
        <f t="shared" si="150"/>
        <v>0</v>
      </c>
      <c r="G198" s="196">
        <v>0</v>
      </c>
      <c r="H198" s="196">
        <v>0</v>
      </c>
      <c r="I198" s="196">
        <v>0</v>
      </c>
      <c r="J198" s="196">
        <v>0</v>
      </c>
      <c r="K198" s="89">
        <f t="shared" si="151"/>
        <v>0</v>
      </c>
      <c r="L198" s="196">
        <v>0</v>
      </c>
      <c r="M198" s="196">
        <v>0</v>
      </c>
      <c r="N198" s="196">
        <v>0</v>
      </c>
      <c r="O198" s="196">
        <v>0</v>
      </c>
      <c r="P198" s="196">
        <v>0</v>
      </c>
      <c r="Q198" s="89">
        <f t="shared" si="152"/>
        <v>0</v>
      </c>
      <c r="R198" s="196"/>
      <c r="S198" s="196"/>
      <c r="T198" s="196"/>
      <c r="U198" s="196"/>
      <c r="V198" s="89">
        <f t="shared" si="153"/>
        <v>0</v>
      </c>
      <c r="W198" s="196">
        <v>0</v>
      </c>
      <c r="X198" s="196">
        <v>0</v>
      </c>
      <c r="Y198" s="196"/>
      <c r="Z198" s="196"/>
      <c r="AA198" s="89">
        <f t="shared" si="154"/>
        <v>0</v>
      </c>
      <c r="AB198" s="196"/>
      <c r="AC198" s="196"/>
      <c r="AD198" s="196"/>
      <c r="AE198" s="196"/>
      <c r="AF198" s="196"/>
      <c r="AG198" s="89">
        <f t="shared" si="155"/>
        <v>0</v>
      </c>
      <c r="AH198" s="196"/>
      <c r="AI198" s="196"/>
      <c r="AJ198" s="196"/>
      <c r="AK198" s="196"/>
      <c r="AL198" s="89">
        <f t="shared" si="156"/>
        <v>0</v>
      </c>
      <c r="AM198" s="88"/>
      <c r="AN198" s="88"/>
      <c r="AO198" s="88"/>
      <c r="AP198" s="88"/>
      <c r="AQ198" s="88"/>
      <c r="AR198" s="89">
        <f t="shared" si="157"/>
        <v>0</v>
      </c>
      <c r="AS198" s="88"/>
      <c r="AT198" s="88"/>
      <c r="AU198" s="88"/>
      <c r="AV198" s="88"/>
      <c r="AW198" s="89">
        <f t="shared" si="158"/>
        <v>0</v>
      </c>
      <c r="AX198" s="88"/>
      <c r="AY198" s="88"/>
      <c r="AZ198" s="88"/>
      <c r="BA198" s="88"/>
      <c r="BB198" s="89">
        <f t="shared" si="159"/>
        <v>0</v>
      </c>
      <c r="BC198" s="88"/>
      <c r="BD198" s="88"/>
      <c r="BE198" s="88"/>
      <c r="BF198" s="88"/>
      <c r="BG198" s="88"/>
      <c r="BH198" s="89">
        <f t="shared" si="160"/>
        <v>0</v>
      </c>
      <c r="BI198" s="88"/>
      <c r="BJ198" s="88"/>
      <c r="BK198" s="88"/>
      <c r="BL198" s="88"/>
      <c r="BM198" s="89">
        <f t="shared" si="161"/>
        <v>0</v>
      </c>
    </row>
    <row r="199" spans="1:65" ht="15.75" customHeight="1" x14ac:dyDescent="0.25">
      <c r="A199" s="93" t="s">
        <v>401</v>
      </c>
      <c r="B199" s="94">
        <f>SUM(B172:B175)</f>
        <v>173</v>
      </c>
      <c r="C199" s="94">
        <f>SUM(C172:C175)</f>
        <v>332</v>
      </c>
      <c r="D199" s="94">
        <f>SUM(D172:D175)</f>
        <v>291</v>
      </c>
      <c r="E199" s="94">
        <f>SUM(E172:E175)</f>
        <v>545</v>
      </c>
      <c r="F199" s="94">
        <f>F172+F173+F174+F175+F186+F187+F188+F193+F194+F195</f>
        <v>1980</v>
      </c>
      <c r="G199" s="94">
        <f>SUM(G172:G175)</f>
        <v>625</v>
      </c>
      <c r="H199" s="94">
        <f>SUM(H172:H175)</f>
        <v>263</v>
      </c>
      <c r="I199" s="94">
        <f>SUM(I172:I175)</f>
        <v>228</v>
      </c>
      <c r="J199" s="94">
        <f>SUM(J172:J175)</f>
        <v>896</v>
      </c>
      <c r="K199" s="94">
        <f>K172+K173+K174+K175+K186+K187+K188+K193+K194+K195</f>
        <v>2815</v>
      </c>
      <c r="L199" s="94">
        <f>SUM(L172:L175)</f>
        <v>474</v>
      </c>
      <c r="M199" s="94">
        <f>SUM(M172:M175)</f>
        <v>597</v>
      </c>
      <c r="N199" s="94">
        <f>SUM(N172:N175)</f>
        <v>441</v>
      </c>
      <c r="O199" s="94">
        <f>SUM(O172:O175)</f>
        <v>271</v>
      </c>
      <c r="P199" s="94">
        <f>SUM(P172:P175)</f>
        <v>340</v>
      </c>
      <c r="Q199" s="94">
        <f>Q172+Q173+Q174+Q175+Q186+Q187+Q188+Q193+Q194+Q195</f>
        <v>3021</v>
      </c>
      <c r="R199" s="94">
        <f>SUM(R172:R175)</f>
        <v>0</v>
      </c>
      <c r="S199" s="94">
        <f>SUM(S172:S175)</f>
        <v>0</v>
      </c>
      <c r="T199" s="94">
        <f>SUM(T172:T175)</f>
        <v>0</v>
      </c>
      <c r="U199" s="94">
        <f>SUM(U172:U175)</f>
        <v>0</v>
      </c>
      <c r="V199" s="94">
        <f>V172+V173+V174+V175+V186+V187+V188+V193+V194+V195</f>
        <v>0</v>
      </c>
      <c r="W199" s="94">
        <f>SUM(W172:W175)</f>
        <v>520</v>
      </c>
      <c r="X199" s="94">
        <f>SUM(X172:X175)</f>
        <v>505</v>
      </c>
      <c r="Y199" s="94">
        <f>SUM(Y172:Y175)</f>
        <v>0</v>
      </c>
      <c r="Z199" s="94">
        <f>SUM(Z172:Z175)</f>
        <v>0</v>
      </c>
      <c r="AA199" s="94">
        <f>AA172+AA173+AA174+AA175+AA186+AA187+AA188+AA193+AA194+AA195</f>
        <v>1397</v>
      </c>
      <c r="AB199" s="94">
        <f>SUM(AB172:AB175)</f>
        <v>0</v>
      </c>
      <c r="AC199" s="94">
        <f>SUM(AC172:AC175)</f>
        <v>0</v>
      </c>
      <c r="AD199" s="94">
        <f>SUM(AD172:AD175)</f>
        <v>0</v>
      </c>
      <c r="AE199" s="94">
        <f>SUM(AE172:AE175)</f>
        <v>0</v>
      </c>
      <c r="AF199" s="94">
        <f>SUM(AF172:AF175)</f>
        <v>0</v>
      </c>
      <c r="AG199" s="94">
        <f>AG172+AG173+AG174+AG175+AG186+AG187+AG188+AG193+AG194+AG195</f>
        <v>0</v>
      </c>
      <c r="AH199" s="94">
        <f>SUM(AH172:AH175)</f>
        <v>0</v>
      </c>
      <c r="AI199" s="94">
        <f>SUM(AI172:AI175)</f>
        <v>0</v>
      </c>
      <c r="AJ199" s="94">
        <f>SUM(AJ172:AJ175)</f>
        <v>0</v>
      </c>
      <c r="AK199" s="94">
        <f>SUM(AK172:AK175)</f>
        <v>0</v>
      </c>
      <c r="AL199" s="94">
        <f>AL172+AL173+AL174+AL175+AL186+AL187+AL188+AL193+AL194+AL195</f>
        <v>0</v>
      </c>
      <c r="AM199" s="94">
        <f>SUM(AM172:AM175)</f>
        <v>0</v>
      </c>
      <c r="AN199" s="94">
        <f>SUM(AN172:AN175)</f>
        <v>0</v>
      </c>
      <c r="AO199" s="94">
        <f>SUM(AO172:AO175)</f>
        <v>0</v>
      </c>
      <c r="AP199" s="94">
        <f>SUM(AP172:AP175)</f>
        <v>0</v>
      </c>
      <c r="AQ199" s="94">
        <f>SUM(AQ172:AQ175)</f>
        <v>0</v>
      </c>
      <c r="AR199" s="94">
        <f>AR172+AR173+AR174+AR175+AR186+AR187+AR188+AR193+AR194+AR195</f>
        <v>0</v>
      </c>
      <c r="AS199" s="94">
        <f>SUM(AS172:AS175)</f>
        <v>0</v>
      </c>
      <c r="AT199" s="94">
        <f>SUM(AT172:AT175)</f>
        <v>0</v>
      </c>
      <c r="AU199" s="94">
        <f>SUM(AU172:AU175)</f>
        <v>0</v>
      </c>
      <c r="AV199" s="94">
        <f>SUM(AV172:AV175)</f>
        <v>0</v>
      </c>
      <c r="AW199" s="94">
        <f>AW172+AW173+AW174+AW175+AW186+AW187+AW188+AW193+AW194+AW195</f>
        <v>0</v>
      </c>
      <c r="AX199" s="94">
        <f>SUM(AX172:AX175)</f>
        <v>0</v>
      </c>
      <c r="AY199" s="94">
        <f>SUM(AY172:AY175)</f>
        <v>0</v>
      </c>
      <c r="AZ199" s="94">
        <f>SUM(AZ172:AZ175)</f>
        <v>0</v>
      </c>
      <c r="BA199" s="94">
        <f>SUM(BA172:BA175)</f>
        <v>0</v>
      </c>
      <c r="BB199" s="94">
        <f>BB172+BB173+BB174+BB175+BB186+BB187+BB188+BB193+BB194+BB195</f>
        <v>0</v>
      </c>
      <c r="BC199" s="94">
        <f>SUM(BC172:BC175)</f>
        <v>0</v>
      </c>
      <c r="BD199" s="94">
        <f>SUM(BD172:BD175)</f>
        <v>0</v>
      </c>
      <c r="BE199" s="94">
        <f>SUM(BE172:BE175)</f>
        <v>0</v>
      </c>
      <c r="BF199" s="94">
        <f>SUM(BF172:BF175)</f>
        <v>0</v>
      </c>
      <c r="BG199" s="94">
        <f>SUM(BG172:BG175)</f>
        <v>0</v>
      </c>
      <c r="BH199" s="94">
        <f>BH172+BH173+BH174+BH175+BH186+BH187+BH188+BH193+BH194+BH195</f>
        <v>0</v>
      </c>
      <c r="BI199" s="94">
        <f>SUM(BI172:BI175)</f>
        <v>0</v>
      </c>
      <c r="BJ199" s="94">
        <f>SUM(BJ172:BJ175)</f>
        <v>0</v>
      </c>
      <c r="BK199" s="94">
        <f>SUM(BK172:BK175)</f>
        <v>0</v>
      </c>
      <c r="BL199" s="94">
        <f>SUM(BL172:BL175)</f>
        <v>0</v>
      </c>
      <c r="BM199" s="94">
        <f>BM172+BM173+BM174+BM175+BM186+BM187+BM188+BM193+BM194+BM195</f>
        <v>0</v>
      </c>
    </row>
  </sheetData>
  <mergeCells count="168">
    <mergeCell ref="A1:BM1"/>
    <mergeCell ref="AS2:AW2"/>
    <mergeCell ref="R54:V54"/>
    <mergeCell ref="AM41:AR41"/>
    <mergeCell ref="BC93:BH93"/>
    <mergeCell ref="W93:AA93"/>
    <mergeCell ref="R106:V106"/>
    <mergeCell ref="BC170:BH170"/>
    <mergeCell ref="AB15:AG15"/>
    <mergeCell ref="W170:AA170"/>
    <mergeCell ref="F170:J170"/>
    <mergeCell ref="AB80:AG80"/>
    <mergeCell ref="A28:A29"/>
    <mergeCell ref="BI138:BM138"/>
    <mergeCell ref="A105:BM105"/>
    <mergeCell ref="AX15:BB15"/>
    <mergeCell ref="A15:A16"/>
    <mergeCell ref="AS106:AW106"/>
    <mergeCell ref="BC138:BH138"/>
    <mergeCell ref="W67:AA67"/>
    <mergeCell ref="BC41:BH41"/>
    <mergeCell ref="AS93:AW93"/>
    <mergeCell ref="AM93:AR93"/>
    <mergeCell ref="W28:AA28"/>
    <mergeCell ref="R170:V170"/>
    <mergeCell ref="L106:Q106"/>
    <mergeCell ref="R67:V67"/>
    <mergeCell ref="A53:BM53"/>
    <mergeCell ref="R138:V138"/>
    <mergeCell ref="W15:AA15"/>
    <mergeCell ref="R28:V28"/>
    <mergeCell ref="W80:AA80"/>
    <mergeCell ref="B93:F93"/>
    <mergeCell ref="AS119:AW119"/>
    <mergeCell ref="L138:Q138"/>
    <mergeCell ref="A92:BM92"/>
    <mergeCell ref="AH67:AL67"/>
    <mergeCell ref="AM119:AR119"/>
    <mergeCell ref="B67:F67"/>
    <mergeCell ref="W54:AA54"/>
    <mergeCell ref="W41:AA41"/>
    <mergeCell ref="B41:F41"/>
    <mergeCell ref="BI106:BM106"/>
    <mergeCell ref="W119:AA119"/>
    <mergeCell ref="AS170:AW170"/>
    <mergeCell ref="AH15:AL15"/>
    <mergeCell ref="R41:V41"/>
    <mergeCell ref="AX170:BB170"/>
    <mergeCell ref="AS67:AW67"/>
    <mergeCell ref="A137:BM137"/>
    <mergeCell ref="A106:A107"/>
    <mergeCell ref="AM2:AR2"/>
    <mergeCell ref="AS28:AW28"/>
    <mergeCell ref="A93:A94"/>
    <mergeCell ref="B170:E170"/>
    <mergeCell ref="BC2:BH2"/>
    <mergeCell ref="AH54:AL54"/>
    <mergeCell ref="AH138:AL138"/>
    <mergeCell ref="A170:A171"/>
    <mergeCell ref="AB54:AG54"/>
    <mergeCell ref="AH41:AL41"/>
    <mergeCell ref="R2:V2"/>
    <mergeCell ref="AB41:AG41"/>
    <mergeCell ref="R93:V93"/>
    <mergeCell ref="AB106:AG106"/>
    <mergeCell ref="A67:A68"/>
    <mergeCell ref="AX54:BB54"/>
    <mergeCell ref="A138:A139"/>
    <mergeCell ref="A80:A81"/>
    <mergeCell ref="AB67:AG67"/>
    <mergeCell ref="AM54:AR54"/>
    <mergeCell ref="R15:V15"/>
    <mergeCell ref="W138:AA138"/>
    <mergeCell ref="R80:V80"/>
    <mergeCell ref="G93:K93"/>
    <mergeCell ref="AX119:BB119"/>
    <mergeCell ref="A169:BM169"/>
    <mergeCell ref="BI93:BM93"/>
    <mergeCell ref="A79:BM79"/>
    <mergeCell ref="L80:Q80"/>
    <mergeCell ref="AS138:AW138"/>
    <mergeCell ref="AM170:AR170"/>
    <mergeCell ref="AX80:BB80"/>
    <mergeCell ref="BI170:BM170"/>
    <mergeCell ref="AH106:AL106"/>
    <mergeCell ref="AM138:AR138"/>
    <mergeCell ref="A40:BM40"/>
    <mergeCell ref="L119:Q119"/>
    <mergeCell ref="B138:E138"/>
    <mergeCell ref="AX41:BB41"/>
    <mergeCell ref="AM80:AR80"/>
    <mergeCell ref="G80:K80"/>
    <mergeCell ref="BI80:BM80"/>
    <mergeCell ref="B119:E119"/>
    <mergeCell ref="G54:K54"/>
    <mergeCell ref="BC80:BH80"/>
    <mergeCell ref="G41:K41"/>
    <mergeCell ref="BI54:BM54"/>
    <mergeCell ref="BI119:BM119"/>
    <mergeCell ref="BC119:BH119"/>
    <mergeCell ref="G106:K106"/>
    <mergeCell ref="AX138:BB138"/>
    <mergeCell ref="AS80:AW80"/>
    <mergeCell ref="F119:J119"/>
    <mergeCell ref="AH119:AL119"/>
    <mergeCell ref="AH28:AL28"/>
    <mergeCell ref="AH80:AL80"/>
    <mergeCell ref="A119:A120"/>
    <mergeCell ref="B54:F54"/>
    <mergeCell ref="AB119:AG119"/>
    <mergeCell ref="G2:K2"/>
    <mergeCell ref="BI2:BM2"/>
    <mergeCell ref="A54:A55"/>
    <mergeCell ref="G28:K28"/>
    <mergeCell ref="BI28:BM28"/>
    <mergeCell ref="BC28:BH28"/>
    <mergeCell ref="L2:Q2"/>
    <mergeCell ref="A27:BM27"/>
    <mergeCell ref="AH2:AL2"/>
    <mergeCell ref="AM28:AR28"/>
    <mergeCell ref="AS15:AW15"/>
    <mergeCell ref="A14:BM14"/>
    <mergeCell ref="L93:Q93"/>
    <mergeCell ref="BC54:BH54"/>
    <mergeCell ref="R119:V119"/>
    <mergeCell ref="A41:A42"/>
    <mergeCell ref="AS54:AW54"/>
    <mergeCell ref="AS41:AW41"/>
    <mergeCell ref="F138:J138"/>
    <mergeCell ref="A2:A3"/>
    <mergeCell ref="AB170:AG170"/>
    <mergeCell ref="AH93:AL93"/>
    <mergeCell ref="AM15:AR15"/>
    <mergeCell ref="W106:AA106"/>
    <mergeCell ref="AH170:AL170"/>
    <mergeCell ref="G15:K15"/>
    <mergeCell ref="B28:F28"/>
    <mergeCell ref="AB28:AG28"/>
    <mergeCell ref="AB93:AG93"/>
    <mergeCell ref="L170:Q170"/>
    <mergeCell ref="A66:BM66"/>
    <mergeCell ref="A118:BM118"/>
    <mergeCell ref="AM106:AR106"/>
    <mergeCell ref="BC15:BH15"/>
    <mergeCell ref="L67:Q67"/>
    <mergeCell ref="BI41:BM41"/>
    <mergeCell ref="AB138:AG138"/>
    <mergeCell ref="B15:F15"/>
    <mergeCell ref="W2:AA2"/>
    <mergeCell ref="L28:Q28"/>
    <mergeCell ref="B80:F80"/>
    <mergeCell ref="AX67:BB67"/>
    <mergeCell ref="B106:F106"/>
    <mergeCell ref="L15:Q15"/>
    <mergeCell ref="AM67:AR67"/>
    <mergeCell ref="BC106:BH106"/>
    <mergeCell ref="G67:K67"/>
    <mergeCell ref="BI67:BM67"/>
    <mergeCell ref="L54:Q54"/>
    <mergeCell ref="B2:F2"/>
    <mergeCell ref="L41:Q41"/>
    <mergeCell ref="BC67:BH67"/>
    <mergeCell ref="BI15:BM15"/>
    <mergeCell ref="AX106:BB106"/>
    <mergeCell ref="AX28:BB28"/>
    <mergeCell ref="AX93:BB93"/>
    <mergeCell ref="AB2:AG2"/>
    <mergeCell ref="AX2:BB2"/>
  </mergeCells>
  <pageMargins left="0.511811024" right="0.511811024" top="0.78740157499999996" bottom="0.78740157499999996" header="0.31496062000000002" footer="0.31496062000000002"/>
  <pageSetup paperSize="9" orientation="portrait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Planilha18">
    <tabColor rgb="FFC00000"/>
  </sheetPr>
  <dimension ref="A1:N106"/>
  <sheetViews>
    <sheetView topLeftCell="A7" zoomScale="85" zoomScaleNormal="85" workbookViewId="0">
      <selection activeCell="H80" sqref="H80"/>
    </sheetView>
  </sheetViews>
  <sheetFormatPr defaultRowHeight="15" x14ac:dyDescent="0.25"/>
  <cols>
    <col min="1" max="1" width="32.85546875" customWidth="1"/>
    <col min="2" max="2" width="8" bestFit="1" customWidth="1"/>
    <col min="3" max="3" width="9.5703125" customWidth="1"/>
    <col min="4" max="8" width="7.85546875" bestFit="1" customWidth="1"/>
    <col min="10" max="10" width="15.42578125" customWidth="1"/>
    <col min="11" max="11" width="10.28515625" customWidth="1"/>
    <col min="14" max="14" width="12.28515625" customWidth="1"/>
  </cols>
  <sheetData>
    <row r="1" spans="1:14" ht="18" customHeight="1" x14ac:dyDescent="0.25">
      <c r="A1" s="511" t="s">
        <v>563</v>
      </c>
      <c r="B1" s="467"/>
      <c r="C1" s="467"/>
      <c r="D1" s="467"/>
      <c r="E1" s="467"/>
      <c r="F1" s="467"/>
      <c r="G1" s="467"/>
      <c r="H1" s="467"/>
      <c r="I1" s="467"/>
      <c r="J1" s="467"/>
      <c r="K1" s="469"/>
    </row>
    <row r="2" spans="1:14" ht="18" customHeight="1" x14ac:dyDescent="0.25">
      <c r="A2" s="511" t="s">
        <v>119</v>
      </c>
      <c r="B2" s="227" t="s">
        <v>414</v>
      </c>
      <c r="C2" s="512" t="s">
        <v>543</v>
      </c>
      <c r="D2" s="483"/>
      <c r="E2" s="483"/>
      <c r="F2" s="483"/>
      <c r="G2" s="483"/>
      <c r="H2" s="483"/>
      <c r="I2" s="513"/>
      <c r="J2" s="510" t="s">
        <v>564</v>
      </c>
      <c r="K2" s="510" t="s">
        <v>416</v>
      </c>
      <c r="M2" s="494" t="s">
        <v>417</v>
      </c>
      <c r="N2" s="469"/>
    </row>
    <row r="3" spans="1:14" ht="15.75" customHeight="1" x14ac:dyDescent="0.25">
      <c r="A3" s="461"/>
      <c r="B3" s="229">
        <v>45803</v>
      </c>
      <c r="C3" s="228" t="s">
        <v>129</v>
      </c>
      <c r="D3" s="229">
        <v>45810</v>
      </c>
      <c r="E3" s="229">
        <v>45817</v>
      </c>
      <c r="F3" s="229">
        <v>45824</v>
      </c>
      <c r="G3" s="229">
        <v>45831</v>
      </c>
      <c r="H3" s="229">
        <v>45838</v>
      </c>
      <c r="I3" s="228" t="s">
        <v>129</v>
      </c>
      <c r="J3" s="461"/>
      <c r="K3" s="461"/>
      <c r="M3" s="208" t="s">
        <v>418</v>
      </c>
      <c r="N3" s="209">
        <v>45803</v>
      </c>
    </row>
    <row r="4" spans="1:14" ht="15.75" customHeight="1" x14ac:dyDescent="0.25">
      <c r="A4" s="160" t="s">
        <v>421</v>
      </c>
      <c r="B4" s="239">
        <v>200</v>
      </c>
      <c r="C4" s="162">
        <f>B4</f>
        <v>200</v>
      </c>
      <c r="D4" s="161">
        <v>60</v>
      </c>
      <c r="E4" s="161">
        <v>140</v>
      </c>
      <c r="F4" s="161">
        <v>0</v>
      </c>
      <c r="G4" s="161">
        <v>0</v>
      </c>
      <c r="H4" s="161">
        <v>0</v>
      </c>
      <c r="I4" s="162">
        <f>D4+E4+F4+G4+H4</f>
        <v>200</v>
      </c>
      <c r="J4" s="230">
        <f>B4+D4+E4+F4</f>
        <v>400</v>
      </c>
      <c r="K4" s="163">
        <f>I4</f>
        <v>200</v>
      </c>
      <c r="M4" s="208" t="s">
        <v>420</v>
      </c>
      <c r="N4" s="209">
        <v>45803</v>
      </c>
    </row>
    <row r="5" spans="1:14" ht="15.75" customHeight="1" x14ac:dyDescent="0.25">
      <c r="A5" s="160" t="s">
        <v>422</v>
      </c>
      <c r="B5" s="239">
        <v>50</v>
      </c>
      <c r="C5" s="162">
        <f>B5</f>
        <v>50</v>
      </c>
      <c r="D5" s="88">
        <v>0</v>
      </c>
      <c r="E5" s="88">
        <v>0</v>
      </c>
      <c r="F5" s="161">
        <v>0</v>
      </c>
      <c r="G5" s="161">
        <v>0</v>
      </c>
      <c r="H5" s="161">
        <v>0</v>
      </c>
      <c r="I5" s="162">
        <f>D5+E5+F5+G5+H5</f>
        <v>0</v>
      </c>
      <c r="J5" s="230">
        <f>B5+D5+E5+F5</f>
        <v>50</v>
      </c>
      <c r="K5" s="163">
        <f>I5</f>
        <v>0</v>
      </c>
    </row>
    <row r="6" spans="1:14" ht="15.75" customHeight="1" x14ac:dyDescent="0.25">
      <c r="A6" s="113" t="s">
        <v>143</v>
      </c>
      <c r="B6" s="240">
        <v>0</v>
      </c>
      <c r="C6" s="162">
        <f>B6</f>
        <v>0</v>
      </c>
      <c r="D6" s="88">
        <v>1</v>
      </c>
      <c r="E6" s="88">
        <v>0</v>
      </c>
      <c r="F6" s="161">
        <v>0</v>
      </c>
      <c r="G6" s="161">
        <v>0</v>
      </c>
      <c r="H6" s="161">
        <v>0</v>
      </c>
      <c r="I6" s="162">
        <f>D6+E6+F6+G6+H6</f>
        <v>1</v>
      </c>
      <c r="J6" s="230">
        <f>B6+D6+E6+F6</f>
        <v>1</v>
      </c>
      <c r="K6" s="163">
        <f>I6</f>
        <v>1</v>
      </c>
    </row>
    <row r="7" spans="1:14" ht="15.75" customHeight="1" x14ac:dyDescent="0.25">
      <c r="A7" s="113" t="s">
        <v>147</v>
      </c>
      <c r="B7" s="240">
        <v>0</v>
      </c>
      <c r="C7" s="162">
        <f>B7</f>
        <v>0</v>
      </c>
      <c r="D7" s="88">
        <v>1</v>
      </c>
      <c r="E7" s="88">
        <v>0</v>
      </c>
      <c r="F7" s="161">
        <v>0</v>
      </c>
      <c r="G7" s="161">
        <v>0</v>
      </c>
      <c r="H7" s="161">
        <v>0</v>
      </c>
      <c r="I7" s="162">
        <f>D7+E7+F7+G7+H7</f>
        <v>1</v>
      </c>
      <c r="J7" s="230">
        <f>B7+D7+E7+F7</f>
        <v>1</v>
      </c>
      <c r="K7" s="163">
        <f>I7</f>
        <v>1</v>
      </c>
    </row>
    <row r="8" spans="1:14" ht="15.75" customHeight="1" x14ac:dyDescent="0.25">
      <c r="A8" s="107" t="s">
        <v>401</v>
      </c>
      <c r="B8" s="231">
        <f t="shared" ref="B8:K8" si="0">B4+B5</f>
        <v>250</v>
      </c>
      <c r="C8" s="108">
        <f t="shared" si="0"/>
        <v>250</v>
      </c>
      <c r="D8" s="108">
        <f t="shared" si="0"/>
        <v>60</v>
      </c>
      <c r="E8" s="108">
        <f t="shared" si="0"/>
        <v>140</v>
      </c>
      <c r="F8" s="108">
        <f t="shared" si="0"/>
        <v>0</v>
      </c>
      <c r="G8" s="108">
        <f t="shared" si="0"/>
        <v>0</v>
      </c>
      <c r="H8" s="108">
        <f t="shared" si="0"/>
        <v>0</v>
      </c>
      <c r="I8" s="108">
        <f t="shared" si="0"/>
        <v>200</v>
      </c>
      <c r="J8" s="163">
        <f t="shared" si="0"/>
        <v>450</v>
      </c>
      <c r="K8" s="163">
        <f t="shared" si="0"/>
        <v>200</v>
      </c>
    </row>
    <row r="9" spans="1:14" ht="18" customHeight="1" x14ac:dyDescent="0.25"/>
    <row r="10" spans="1:14" ht="18" customHeight="1" x14ac:dyDescent="0.25">
      <c r="A10" s="511" t="s">
        <v>563</v>
      </c>
      <c r="B10" s="467"/>
      <c r="C10" s="467"/>
      <c r="D10" s="467"/>
      <c r="E10" s="467"/>
      <c r="F10" s="467"/>
      <c r="G10" s="467"/>
      <c r="H10" s="467"/>
      <c r="I10" s="467"/>
      <c r="J10" s="467"/>
      <c r="K10" s="469"/>
    </row>
    <row r="11" spans="1:14" ht="15.75" customHeight="1" x14ac:dyDescent="0.25">
      <c r="A11" s="511" t="s">
        <v>181</v>
      </c>
      <c r="B11" s="227" t="s">
        <v>414</v>
      </c>
      <c r="C11" s="512" t="s">
        <v>543</v>
      </c>
      <c r="D11" s="483"/>
      <c r="E11" s="483"/>
      <c r="F11" s="483"/>
      <c r="G11" s="483"/>
      <c r="H11" s="483"/>
      <c r="I11" s="513"/>
      <c r="J11" s="510" t="s">
        <v>564</v>
      </c>
      <c r="K11" s="510" t="s">
        <v>416</v>
      </c>
    </row>
    <row r="12" spans="1:14" ht="15.75" customHeight="1" x14ac:dyDescent="0.25">
      <c r="A12" s="461"/>
      <c r="B12" s="229">
        <v>45803</v>
      </c>
      <c r="C12" s="228" t="s">
        <v>129</v>
      </c>
      <c r="D12" s="229">
        <v>45810</v>
      </c>
      <c r="E12" s="229">
        <v>45817</v>
      </c>
      <c r="F12" s="229">
        <v>45824</v>
      </c>
      <c r="G12" s="229">
        <v>45831</v>
      </c>
      <c r="H12" s="229">
        <v>45838</v>
      </c>
      <c r="I12" s="228" t="s">
        <v>129</v>
      </c>
      <c r="J12" s="461"/>
      <c r="K12" s="461"/>
    </row>
    <row r="13" spans="1:14" ht="15.75" customHeight="1" x14ac:dyDescent="0.25">
      <c r="A13" s="160" t="s">
        <v>421</v>
      </c>
      <c r="B13" s="239">
        <v>140</v>
      </c>
      <c r="C13" s="162">
        <f>B13</f>
        <v>140</v>
      </c>
      <c r="D13" s="161">
        <v>40</v>
      </c>
      <c r="E13" s="161">
        <v>120</v>
      </c>
      <c r="F13" s="161">
        <v>100</v>
      </c>
      <c r="G13" s="161">
        <v>0</v>
      </c>
      <c r="H13" s="161">
        <v>0</v>
      </c>
      <c r="I13" s="162">
        <f>D13+E13+F13+G13+H13</f>
        <v>260</v>
      </c>
      <c r="J13" s="230">
        <f>B13+D13+E13+F13</f>
        <v>400</v>
      </c>
      <c r="K13" s="163">
        <f>I13</f>
        <v>260</v>
      </c>
    </row>
    <row r="14" spans="1:14" ht="15.75" customHeight="1" x14ac:dyDescent="0.25">
      <c r="A14" s="160" t="s">
        <v>422</v>
      </c>
      <c r="B14" s="239">
        <v>50</v>
      </c>
      <c r="C14" s="162">
        <f>B14</f>
        <v>50</v>
      </c>
      <c r="D14" s="88">
        <v>0</v>
      </c>
      <c r="E14" s="88">
        <v>0</v>
      </c>
      <c r="F14" s="161">
        <v>0</v>
      </c>
      <c r="G14" s="161">
        <v>0</v>
      </c>
      <c r="H14" s="161">
        <v>0</v>
      </c>
      <c r="I14" s="162">
        <f>D14+E14+F14+G14+H14</f>
        <v>0</v>
      </c>
      <c r="J14" s="230">
        <f>B14+D14+E14+F14</f>
        <v>50</v>
      </c>
      <c r="K14" s="163">
        <f>I14</f>
        <v>0</v>
      </c>
    </row>
    <row r="15" spans="1:14" ht="15.75" customHeight="1" x14ac:dyDescent="0.25">
      <c r="A15" s="113" t="s">
        <v>143</v>
      </c>
      <c r="B15" s="240">
        <v>1</v>
      </c>
      <c r="C15" s="162">
        <f>B15</f>
        <v>1</v>
      </c>
      <c r="D15" s="88">
        <v>0</v>
      </c>
      <c r="E15" s="88">
        <v>0</v>
      </c>
      <c r="F15" s="161">
        <v>0</v>
      </c>
      <c r="G15" s="161">
        <v>0</v>
      </c>
      <c r="H15" s="161">
        <v>0</v>
      </c>
      <c r="I15" s="162">
        <f>D15+E15+F15+G15+H15</f>
        <v>0</v>
      </c>
      <c r="J15" s="230">
        <f>B15+D15+E15+F15</f>
        <v>1</v>
      </c>
      <c r="K15" s="163">
        <f>I15</f>
        <v>0</v>
      </c>
    </row>
    <row r="16" spans="1:14" ht="15.75" customHeight="1" x14ac:dyDescent="0.25">
      <c r="A16" s="113" t="s">
        <v>147</v>
      </c>
      <c r="B16" s="240">
        <v>0</v>
      </c>
      <c r="C16" s="162">
        <f>B16</f>
        <v>0</v>
      </c>
      <c r="D16" s="88">
        <v>1</v>
      </c>
      <c r="E16" s="88">
        <v>0</v>
      </c>
      <c r="F16" s="161">
        <v>0</v>
      </c>
      <c r="G16" s="161">
        <v>0</v>
      </c>
      <c r="H16" s="161">
        <v>0</v>
      </c>
      <c r="I16" s="162">
        <f>D16+E16+F16+G16+H16</f>
        <v>1</v>
      </c>
      <c r="J16" s="230">
        <f>B16+D16+E16+F16</f>
        <v>1</v>
      </c>
      <c r="K16" s="163">
        <f>I16</f>
        <v>1</v>
      </c>
    </row>
    <row r="17" spans="1:11" ht="15.75" customHeight="1" x14ac:dyDescent="0.25">
      <c r="A17" s="107" t="s">
        <v>401</v>
      </c>
      <c r="B17" s="231">
        <f t="shared" ref="B17:K17" si="1">B13+B14</f>
        <v>190</v>
      </c>
      <c r="C17" s="108">
        <f t="shared" si="1"/>
        <v>190</v>
      </c>
      <c r="D17" s="108">
        <f t="shared" si="1"/>
        <v>40</v>
      </c>
      <c r="E17" s="108">
        <f t="shared" si="1"/>
        <v>120</v>
      </c>
      <c r="F17" s="108">
        <f t="shared" si="1"/>
        <v>100</v>
      </c>
      <c r="G17" s="108">
        <f t="shared" si="1"/>
        <v>0</v>
      </c>
      <c r="H17" s="108">
        <f t="shared" si="1"/>
        <v>0</v>
      </c>
      <c r="I17" s="108">
        <f t="shared" si="1"/>
        <v>260</v>
      </c>
      <c r="J17" s="163">
        <f t="shared" si="1"/>
        <v>450</v>
      </c>
      <c r="K17" s="163">
        <f t="shared" si="1"/>
        <v>260</v>
      </c>
    </row>
    <row r="19" spans="1:11" ht="15.75" customHeight="1" x14ac:dyDescent="0.25">
      <c r="A19" s="511" t="s">
        <v>563</v>
      </c>
      <c r="B19" s="467"/>
      <c r="C19" s="467"/>
      <c r="D19" s="467"/>
      <c r="E19" s="467"/>
      <c r="F19" s="467"/>
      <c r="G19" s="467"/>
      <c r="H19" s="467"/>
      <c r="I19" s="467"/>
      <c r="J19" s="467"/>
      <c r="K19" s="469"/>
    </row>
    <row r="20" spans="1:11" ht="15.75" customHeight="1" x14ac:dyDescent="0.25">
      <c r="A20" s="511" t="s">
        <v>209</v>
      </c>
      <c r="B20" s="227" t="s">
        <v>414</v>
      </c>
      <c r="C20" s="512" t="s">
        <v>543</v>
      </c>
      <c r="D20" s="483"/>
      <c r="E20" s="483"/>
      <c r="F20" s="483"/>
      <c r="G20" s="483"/>
      <c r="H20" s="483"/>
      <c r="I20" s="513"/>
      <c r="J20" s="510" t="s">
        <v>564</v>
      </c>
      <c r="K20" s="510" t="s">
        <v>416</v>
      </c>
    </row>
    <row r="21" spans="1:11" ht="15.75" customHeight="1" x14ac:dyDescent="0.25">
      <c r="A21" s="461"/>
      <c r="B21" s="229">
        <v>45803</v>
      </c>
      <c r="C21" s="228" t="s">
        <v>129</v>
      </c>
      <c r="D21" s="229">
        <v>45810</v>
      </c>
      <c r="E21" s="229">
        <v>45817</v>
      </c>
      <c r="F21" s="229">
        <v>45824</v>
      </c>
      <c r="G21" s="229">
        <v>45831</v>
      </c>
      <c r="H21" s="229">
        <v>45838</v>
      </c>
      <c r="I21" s="228" t="s">
        <v>129</v>
      </c>
      <c r="J21" s="461"/>
      <c r="K21" s="461"/>
    </row>
    <row r="22" spans="1:11" ht="15.75" customHeight="1" x14ac:dyDescent="0.25">
      <c r="A22" s="160" t="s">
        <v>421</v>
      </c>
      <c r="B22" s="239">
        <v>60</v>
      </c>
      <c r="C22" s="162">
        <f>B22</f>
        <v>60</v>
      </c>
      <c r="D22" s="161">
        <v>80</v>
      </c>
      <c r="E22" s="161">
        <v>200</v>
      </c>
      <c r="F22" s="161">
        <v>0</v>
      </c>
      <c r="G22" s="161">
        <v>0</v>
      </c>
      <c r="H22" s="161">
        <v>60</v>
      </c>
      <c r="I22" s="162">
        <f>D22+E22+F22+G22+H22</f>
        <v>340</v>
      </c>
      <c r="J22" s="230">
        <f>B22+D22+E22+F22</f>
        <v>340</v>
      </c>
      <c r="K22" s="163">
        <f>I22</f>
        <v>340</v>
      </c>
    </row>
    <row r="23" spans="1:11" ht="15.75" customHeight="1" x14ac:dyDescent="0.25">
      <c r="A23" s="160" t="s">
        <v>422</v>
      </c>
      <c r="B23" s="239">
        <v>50</v>
      </c>
      <c r="C23" s="162">
        <f>B23</f>
        <v>50</v>
      </c>
      <c r="D23" s="88">
        <v>0</v>
      </c>
      <c r="E23" s="88">
        <v>0</v>
      </c>
      <c r="F23" s="161">
        <v>0</v>
      </c>
      <c r="G23" s="161">
        <v>0</v>
      </c>
      <c r="H23" s="161">
        <v>0</v>
      </c>
      <c r="I23" s="162">
        <f>D23+E23+F23+G23+H23</f>
        <v>0</v>
      </c>
      <c r="J23" s="230">
        <f>B23+D23+E23+F23</f>
        <v>50</v>
      </c>
      <c r="K23" s="163">
        <f>I23</f>
        <v>0</v>
      </c>
    </row>
    <row r="24" spans="1:11" ht="15.75" customHeight="1" x14ac:dyDescent="0.25">
      <c r="A24" s="113" t="s">
        <v>143</v>
      </c>
      <c r="B24" s="240">
        <v>1</v>
      </c>
      <c r="C24" s="162">
        <f>B24</f>
        <v>1</v>
      </c>
      <c r="D24" s="88">
        <v>0</v>
      </c>
      <c r="E24" s="88">
        <v>0</v>
      </c>
      <c r="F24" s="161">
        <v>0</v>
      </c>
      <c r="G24" s="161">
        <v>0</v>
      </c>
      <c r="H24" s="161">
        <v>0</v>
      </c>
      <c r="I24" s="162">
        <f>D24+E24+F24+G24+H24</f>
        <v>0</v>
      </c>
      <c r="J24" s="230">
        <f>B24+D24+E24+F24</f>
        <v>1</v>
      </c>
      <c r="K24" s="163">
        <f>I24</f>
        <v>0</v>
      </c>
    </row>
    <row r="25" spans="1:11" ht="15.75" customHeight="1" x14ac:dyDescent="0.25">
      <c r="A25" s="113" t="s">
        <v>147</v>
      </c>
      <c r="B25" s="240">
        <v>1</v>
      </c>
      <c r="C25" s="162">
        <f>B25</f>
        <v>1</v>
      </c>
      <c r="D25" s="88">
        <v>0</v>
      </c>
      <c r="E25" s="88">
        <v>1</v>
      </c>
      <c r="F25" s="161">
        <v>0</v>
      </c>
      <c r="G25" s="161">
        <v>0</v>
      </c>
      <c r="H25" s="161">
        <v>0</v>
      </c>
      <c r="I25" s="162">
        <f>D25+E25+F25+G25+H25</f>
        <v>1</v>
      </c>
      <c r="J25" s="230">
        <f>B25+D25+E25+F25</f>
        <v>2</v>
      </c>
      <c r="K25" s="163">
        <f>I25</f>
        <v>1</v>
      </c>
    </row>
    <row r="26" spans="1:11" ht="15.75" customHeight="1" x14ac:dyDescent="0.25">
      <c r="A26" s="107" t="s">
        <v>401</v>
      </c>
      <c r="B26" s="231">
        <f t="shared" ref="B26:K26" si="2">B22+B23</f>
        <v>110</v>
      </c>
      <c r="C26" s="108">
        <f t="shared" si="2"/>
        <v>110</v>
      </c>
      <c r="D26" s="108">
        <f t="shared" si="2"/>
        <v>80</v>
      </c>
      <c r="E26" s="108">
        <f t="shared" si="2"/>
        <v>200</v>
      </c>
      <c r="F26" s="108">
        <f t="shared" si="2"/>
        <v>0</v>
      </c>
      <c r="G26" s="108">
        <f t="shared" si="2"/>
        <v>0</v>
      </c>
      <c r="H26" s="108">
        <f t="shared" si="2"/>
        <v>60</v>
      </c>
      <c r="I26" s="108">
        <f t="shared" si="2"/>
        <v>340</v>
      </c>
      <c r="J26" s="163">
        <f t="shared" si="2"/>
        <v>390</v>
      </c>
      <c r="K26" s="163">
        <f t="shared" si="2"/>
        <v>340</v>
      </c>
    </row>
    <row r="28" spans="1:11" ht="15.75" customHeight="1" x14ac:dyDescent="0.25">
      <c r="A28" s="511" t="s">
        <v>563</v>
      </c>
      <c r="B28" s="467"/>
      <c r="C28" s="467"/>
      <c r="D28" s="467"/>
      <c r="E28" s="467"/>
      <c r="F28" s="467"/>
      <c r="G28" s="467"/>
      <c r="H28" s="467"/>
      <c r="I28" s="467"/>
      <c r="J28" s="467"/>
      <c r="K28" s="469"/>
    </row>
    <row r="29" spans="1:11" ht="15.75" customHeight="1" x14ac:dyDescent="0.25">
      <c r="A29" s="511" t="s">
        <v>222</v>
      </c>
      <c r="B29" s="227" t="s">
        <v>414</v>
      </c>
      <c r="C29" s="512" t="s">
        <v>543</v>
      </c>
      <c r="D29" s="483"/>
      <c r="E29" s="483"/>
      <c r="F29" s="483"/>
      <c r="G29" s="483"/>
      <c r="H29" s="483"/>
      <c r="I29" s="513"/>
      <c r="J29" s="510" t="s">
        <v>564</v>
      </c>
      <c r="K29" s="510" t="s">
        <v>416</v>
      </c>
    </row>
    <row r="30" spans="1:11" ht="15.75" customHeight="1" x14ac:dyDescent="0.25">
      <c r="A30" s="461"/>
      <c r="B30" s="229">
        <v>45803</v>
      </c>
      <c r="C30" s="228" t="s">
        <v>129</v>
      </c>
      <c r="D30" s="229">
        <v>45810</v>
      </c>
      <c r="E30" s="229">
        <v>45817</v>
      </c>
      <c r="F30" s="229">
        <v>45824</v>
      </c>
      <c r="G30" s="229">
        <v>45831</v>
      </c>
      <c r="H30" s="229">
        <v>45838</v>
      </c>
      <c r="I30" s="228" t="s">
        <v>129</v>
      </c>
      <c r="J30" s="461"/>
      <c r="K30" s="461"/>
    </row>
    <row r="31" spans="1:11" ht="15.75" customHeight="1" x14ac:dyDescent="0.25">
      <c r="A31" s="160" t="s">
        <v>421</v>
      </c>
      <c r="B31" s="239">
        <v>140</v>
      </c>
      <c r="C31" s="162">
        <f>B31</f>
        <v>140</v>
      </c>
      <c r="D31" s="161">
        <v>45</v>
      </c>
      <c r="E31" s="161">
        <v>125</v>
      </c>
      <c r="F31" s="161">
        <v>90</v>
      </c>
      <c r="G31" s="161">
        <v>0</v>
      </c>
      <c r="H31" s="161">
        <v>0</v>
      </c>
      <c r="I31" s="162">
        <f>D31+E31+F31+G31+H31</f>
        <v>260</v>
      </c>
      <c r="J31" s="230">
        <f>B31+D31+E31+F31</f>
        <v>400</v>
      </c>
      <c r="K31" s="163">
        <f>I31</f>
        <v>260</v>
      </c>
    </row>
    <row r="32" spans="1:11" ht="15.75" customHeight="1" x14ac:dyDescent="0.25">
      <c r="A32" s="160" t="s">
        <v>422</v>
      </c>
      <c r="B32" s="239">
        <v>50</v>
      </c>
      <c r="C32" s="162">
        <f>B32</f>
        <v>50</v>
      </c>
      <c r="D32" s="88">
        <v>0</v>
      </c>
      <c r="E32" s="88">
        <v>0</v>
      </c>
      <c r="F32" s="161">
        <v>0</v>
      </c>
      <c r="G32" s="161">
        <v>0</v>
      </c>
      <c r="H32" s="161">
        <v>0</v>
      </c>
      <c r="I32" s="162">
        <f>D32+E32+F32+G32+H32</f>
        <v>0</v>
      </c>
      <c r="J32" s="230">
        <f>B32+D32+E32+F32</f>
        <v>50</v>
      </c>
      <c r="K32" s="163">
        <f>I32</f>
        <v>0</v>
      </c>
    </row>
    <row r="33" spans="1:11" ht="15.75" customHeight="1" x14ac:dyDescent="0.25">
      <c r="A33" s="113" t="s">
        <v>143</v>
      </c>
      <c r="B33" s="240">
        <v>0</v>
      </c>
      <c r="C33" s="162">
        <f>B33</f>
        <v>0</v>
      </c>
      <c r="D33" s="88">
        <v>1</v>
      </c>
      <c r="E33" s="88">
        <v>0</v>
      </c>
      <c r="F33" s="161">
        <v>0</v>
      </c>
      <c r="G33" s="161">
        <v>0</v>
      </c>
      <c r="H33" s="161">
        <v>0</v>
      </c>
      <c r="I33" s="162">
        <f>D33+E33+F33+G33+H33</f>
        <v>1</v>
      </c>
      <c r="J33" s="230">
        <f>B33+D33+E33+F33</f>
        <v>1</v>
      </c>
      <c r="K33" s="163">
        <f>I33</f>
        <v>1</v>
      </c>
    </row>
    <row r="34" spans="1:11" ht="15.75" customHeight="1" x14ac:dyDescent="0.25">
      <c r="A34" s="113" t="s">
        <v>147</v>
      </c>
      <c r="B34" s="240">
        <v>1</v>
      </c>
      <c r="C34" s="162">
        <f>B34</f>
        <v>1</v>
      </c>
      <c r="D34" s="88">
        <v>0</v>
      </c>
      <c r="E34" s="88">
        <v>0</v>
      </c>
      <c r="F34" s="161">
        <v>0</v>
      </c>
      <c r="G34" s="161">
        <v>0</v>
      </c>
      <c r="H34" s="161">
        <v>0</v>
      </c>
      <c r="I34" s="162">
        <f>D34+E34+F34+G34+H34</f>
        <v>0</v>
      </c>
      <c r="J34" s="230">
        <f>B34+D34+E34+F34</f>
        <v>1</v>
      </c>
      <c r="K34" s="163">
        <f>I34</f>
        <v>0</v>
      </c>
    </row>
    <row r="35" spans="1:11" ht="15.75" customHeight="1" x14ac:dyDescent="0.25">
      <c r="A35" s="107" t="s">
        <v>401</v>
      </c>
      <c r="B35" s="231">
        <f t="shared" ref="B35:K35" si="3">B31+B32</f>
        <v>190</v>
      </c>
      <c r="C35" s="108">
        <f t="shared" si="3"/>
        <v>190</v>
      </c>
      <c r="D35" s="108">
        <f t="shared" si="3"/>
        <v>45</v>
      </c>
      <c r="E35" s="108">
        <f t="shared" si="3"/>
        <v>125</v>
      </c>
      <c r="F35" s="108">
        <f t="shared" si="3"/>
        <v>90</v>
      </c>
      <c r="G35" s="108">
        <f t="shared" si="3"/>
        <v>0</v>
      </c>
      <c r="H35" s="108">
        <f t="shared" si="3"/>
        <v>0</v>
      </c>
      <c r="I35" s="108">
        <f t="shared" si="3"/>
        <v>260</v>
      </c>
      <c r="J35" s="163">
        <f t="shared" si="3"/>
        <v>450</v>
      </c>
      <c r="K35" s="163">
        <f t="shared" si="3"/>
        <v>260</v>
      </c>
    </row>
    <row r="37" spans="1:11" ht="15.75" customHeight="1" x14ac:dyDescent="0.25">
      <c r="A37" s="511" t="s">
        <v>563</v>
      </c>
      <c r="B37" s="467"/>
      <c r="C37" s="467"/>
      <c r="D37" s="467"/>
      <c r="E37" s="467"/>
      <c r="F37" s="467"/>
      <c r="G37" s="467"/>
      <c r="H37" s="467"/>
      <c r="I37" s="467"/>
      <c r="J37" s="467"/>
      <c r="K37" s="469"/>
    </row>
    <row r="38" spans="1:11" ht="15.75" customHeight="1" x14ac:dyDescent="0.25">
      <c r="A38" s="511" t="s">
        <v>402</v>
      </c>
      <c r="B38" s="227" t="s">
        <v>414</v>
      </c>
      <c r="C38" s="512" t="s">
        <v>543</v>
      </c>
      <c r="D38" s="483"/>
      <c r="E38" s="483"/>
      <c r="F38" s="483"/>
      <c r="G38" s="483"/>
      <c r="H38" s="483"/>
      <c r="I38" s="513"/>
      <c r="J38" s="510" t="s">
        <v>564</v>
      </c>
      <c r="K38" s="510" t="s">
        <v>416</v>
      </c>
    </row>
    <row r="39" spans="1:11" ht="15.75" customHeight="1" x14ac:dyDescent="0.25">
      <c r="A39" s="461"/>
      <c r="B39" s="229">
        <v>45803</v>
      </c>
      <c r="C39" s="228" t="s">
        <v>129</v>
      </c>
      <c r="D39" s="229">
        <v>45810</v>
      </c>
      <c r="E39" s="229">
        <v>45817</v>
      </c>
      <c r="F39" s="229">
        <v>45824</v>
      </c>
      <c r="G39" s="229">
        <v>45831</v>
      </c>
      <c r="H39" s="229">
        <v>45838</v>
      </c>
      <c r="I39" s="228" t="s">
        <v>129</v>
      </c>
      <c r="J39" s="461"/>
      <c r="K39" s="461"/>
    </row>
    <row r="40" spans="1:11" ht="15.75" customHeight="1" x14ac:dyDescent="0.25">
      <c r="A40" s="160" t="s">
        <v>421</v>
      </c>
      <c r="B40" s="239">
        <v>40</v>
      </c>
      <c r="C40" s="162">
        <f>B40</f>
        <v>40</v>
      </c>
      <c r="D40" s="161">
        <v>71</v>
      </c>
      <c r="E40" s="161">
        <v>109</v>
      </c>
      <c r="F40" s="161">
        <v>380</v>
      </c>
      <c r="G40" s="161">
        <v>0</v>
      </c>
      <c r="H40" s="161">
        <v>0</v>
      </c>
      <c r="I40" s="162">
        <f>D40+E40+F40+G40+H40</f>
        <v>560</v>
      </c>
      <c r="J40" s="230">
        <f>B40+D40+E40+F40</f>
        <v>600</v>
      </c>
      <c r="K40" s="163">
        <f>I40</f>
        <v>560</v>
      </c>
    </row>
    <row r="41" spans="1:11" ht="15.75" customHeight="1" x14ac:dyDescent="0.25">
      <c r="A41" s="160" t="s">
        <v>422</v>
      </c>
      <c r="B41" s="239">
        <v>0</v>
      </c>
      <c r="C41" s="162">
        <f>B41</f>
        <v>0</v>
      </c>
      <c r="D41" s="88">
        <v>27</v>
      </c>
      <c r="E41" s="88">
        <v>0</v>
      </c>
      <c r="F41" s="161">
        <v>0</v>
      </c>
      <c r="G41" s="161">
        <v>23</v>
      </c>
      <c r="H41" s="161">
        <v>34</v>
      </c>
      <c r="I41" s="162">
        <f>D41+E41+F41+G41+H41</f>
        <v>84</v>
      </c>
      <c r="J41" s="230">
        <f>B41+D41+E41+F41</f>
        <v>27</v>
      </c>
      <c r="K41" s="163">
        <f>I41</f>
        <v>84</v>
      </c>
    </row>
    <row r="42" spans="1:11" ht="15.75" customHeight="1" x14ac:dyDescent="0.25">
      <c r="A42" s="113" t="s">
        <v>143</v>
      </c>
      <c r="B42" s="240">
        <v>2</v>
      </c>
      <c r="C42" s="162">
        <f>B42</f>
        <v>2</v>
      </c>
      <c r="D42" s="88">
        <v>0</v>
      </c>
      <c r="E42" s="88">
        <v>3</v>
      </c>
      <c r="F42" s="161">
        <v>0</v>
      </c>
      <c r="G42" s="161">
        <v>0</v>
      </c>
      <c r="H42" s="161">
        <v>0</v>
      </c>
      <c r="I42" s="162">
        <f>D42+E42+F42+G42+H42</f>
        <v>3</v>
      </c>
      <c r="J42" s="230">
        <f>B42+D42+E42+F42</f>
        <v>5</v>
      </c>
      <c r="K42" s="163">
        <f>I42</f>
        <v>3</v>
      </c>
    </row>
    <row r="43" spans="1:11" ht="15.75" customHeight="1" x14ac:dyDescent="0.25">
      <c r="A43" s="113" t="s">
        <v>147</v>
      </c>
      <c r="B43" s="240">
        <v>1</v>
      </c>
      <c r="C43" s="162">
        <f>B43</f>
        <v>1</v>
      </c>
      <c r="D43" s="88">
        <v>0</v>
      </c>
      <c r="E43" s="88">
        <v>0</v>
      </c>
      <c r="F43" s="161">
        <v>0</v>
      </c>
      <c r="G43" s="161">
        <v>0</v>
      </c>
      <c r="H43" s="161">
        <v>0</v>
      </c>
      <c r="I43" s="162">
        <f>D43+E43+F43+G43+H43</f>
        <v>0</v>
      </c>
      <c r="J43" s="230">
        <f>B43+D43+E43+F43</f>
        <v>1</v>
      </c>
      <c r="K43" s="163">
        <f>I43</f>
        <v>0</v>
      </c>
    </row>
    <row r="44" spans="1:11" ht="15.75" customHeight="1" x14ac:dyDescent="0.25">
      <c r="A44" s="107" t="s">
        <v>401</v>
      </c>
      <c r="B44" s="231">
        <f t="shared" ref="B44:K44" si="4">B40+B41</f>
        <v>40</v>
      </c>
      <c r="C44" s="108">
        <f t="shared" si="4"/>
        <v>40</v>
      </c>
      <c r="D44" s="108">
        <f t="shared" si="4"/>
        <v>98</v>
      </c>
      <c r="E44" s="108">
        <f t="shared" si="4"/>
        <v>109</v>
      </c>
      <c r="F44" s="108">
        <f t="shared" si="4"/>
        <v>380</v>
      </c>
      <c r="G44" s="108">
        <f t="shared" si="4"/>
        <v>23</v>
      </c>
      <c r="H44" s="108">
        <f t="shared" si="4"/>
        <v>34</v>
      </c>
      <c r="I44" s="108">
        <f t="shared" si="4"/>
        <v>644</v>
      </c>
      <c r="J44" s="163">
        <f t="shared" si="4"/>
        <v>627</v>
      </c>
      <c r="K44" s="163">
        <f t="shared" si="4"/>
        <v>644</v>
      </c>
    </row>
    <row r="46" spans="1:11" ht="15.75" customHeight="1" x14ac:dyDescent="0.25">
      <c r="A46" s="511" t="s">
        <v>563</v>
      </c>
      <c r="B46" s="467"/>
      <c r="C46" s="467"/>
      <c r="D46" s="467"/>
      <c r="E46" s="467"/>
      <c r="F46" s="467"/>
      <c r="G46" s="467"/>
      <c r="H46" s="467"/>
      <c r="I46" s="467"/>
      <c r="J46" s="467"/>
      <c r="K46" s="469"/>
    </row>
    <row r="47" spans="1:11" ht="15.75" customHeight="1" x14ac:dyDescent="0.25">
      <c r="A47" s="511" t="s">
        <v>244</v>
      </c>
      <c r="B47" s="227" t="s">
        <v>414</v>
      </c>
      <c r="C47" s="512" t="s">
        <v>543</v>
      </c>
      <c r="D47" s="483"/>
      <c r="E47" s="483"/>
      <c r="F47" s="483"/>
      <c r="G47" s="483"/>
      <c r="H47" s="483"/>
      <c r="I47" s="513"/>
      <c r="J47" s="510" t="s">
        <v>564</v>
      </c>
      <c r="K47" s="510" t="s">
        <v>416</v>
      </c>
    </row>
    <row r="48" spans="1:11" ht="15.75" customHeight="1" x14ac:dyDescent="0.25">
      <c r="A48" s="461"/>
      <c r="B48" s="229">
        <v>45803</v>
      </c>
      <c r="C48" s="228" t="s">
        <v>129</v>
      </c>
      <c r="D48" s="229">
        <v>45810</v>
      </c>
      <c r="E48" s="229">
        <v>45817</v>
      </c>
      <c r="F48" s="229">
        <v>45824</v>
      </c>
      <c r="G48" s="229">
        <v>45831</v>
      </c>
      <c r="H48" s="229">
        <v>45838</v>
      </c>
      <c r="I48" s="228" t="s">
        <v>129</v>
      </c>
      <c r="J48" s="461"/>
      <c r="K48" s="461"/>
    </row>
    <row r="49" spans="1:11" ht="15.75" customHeight="1" x14ac:dyDescent="0.25">
      <c r="A49" s="160" t="s">
        <v>421</v>
      </c>
      <c r="B49" s="239">
        <v>40</v>
      </c>
      <c r="C49" s="162">
        <f>B49</f>
        <v>40</v>
      </c>
      <c r="D49" s="161">
        <v>40</v>
      </c>
      <c r="E49" s="161">
        <v>40</v>
      </c>
      <c r="F49" s="161">
        <v>80</v>
      </c>
      <c r="G49" s="161">
        <v>0</v>
      </c>
      <c r="H49" s="161">
        <v>0</v>
      </c>
      <c r="I49" s="162">
        <f>D49+E49+F49+G49+H49</f>
        <v>160</v>
      </c>
      <c r="J49" s="230">
        <f>B49+D49+E49+F49</f>
        <v>200</v>
      </c>
      <c r="K49" s="163">
        <f>I49</f>
        <v>160</v>
      </c>
    </row>
    <row r="50" spans="1:11" ht="15.75" customHeight="1" x14ac:dyDescent="0.25">
      <c r="A50" s="160" t="s">
        <v>422</v>
      </c>
      <c r="B50" s="239">
        <v>0</v>
      </c>
      <c r="C50" s="162">
        <f>B50</f>
        <v>0</v>
      </c>
      <c r="D50" s="88">
        <v>0</v>
      </c>
      <c r="E50" s="88">
        <v>1</v>
      </c>
      <c r="F50" s="161">
        <v>24</v>
      </c>
      <c r="G50" s="161">
        <v>0</v>
      </c>
      <c r="H50" s="161">
        <v>25</v>
      </c>
      <c r="I50" s="162">
        <f>D50+E50+F50+G50+H50</f>
        <v>50</v>
      </c>
      <c r="J50" s="230">
        <f>B50+D50+E50+F50</f>
        <v>25</v>
      </c>
      <c r="K50" s="163">
        <f>I50</f>
        <v>50</v>
      </c>
    </row>
    <row r="51" spans="1:11" ht="15.75" customHeight="1" x14ac:dyDescent="0.25">
      <c r="A51" s="113" t="s">
        <v>143</v>
      </c>
      <c r="B51" s="240">
        <v>1</v>
      </c>
      <c r="C51" s="162">
        <f>B51</f>
        <v>1</v>
      </c>
      <c r="D51" s="88">
        <v>0</v>
      </c>
      <c r="E51" s="88">
        <v>0</v>
      </c>
      <c r="F51" s="161">
        <v>0</v>
      </c>
      <c r="G51" s="161">
        <v>0</v>
      </c>
      <c r="H51" s="161">
        <v>0</v>
      </c>
      <c r="I51" s="162">
        <f>D51+E51+F51+G51+H51</f>
        <v>0</v>
      </c>
      <c r="J51" s="230">
        <f>B51+D51+E51+F51</f>
        <v>1</v>
      </c>
      <c r="K51" s="163">
        <f>I51</f>
        <v>0</v>
      </c>
    </row>
    <row r="52" spans="1:11" ht="15.75" customHeight="1" x14ac:dyDescent="0.25">
      <c r="A52" s="113" t="s">
        <v>147</v>
      </c>
      <c r="B52" s="240">
        <v>1</v>
      </c>
      <c r="C52" s="162">
        <f>B52</f>
        <v>1</v>
      </c>
      <c r="D52" s="88">
        <v>0</v>
      </c>
      <c r="E52" s="88">
        <v>0</v>
      </c>
      <c r="F52" s="161">
        <v>0</v>
      </c>
      <c r="G52" s="161">
        <v>0</v>
      </c>
      <c r="H52" s="161">
        <v>0</v>
      </c>
      <c r="I52" s="162">
        <f>D52+E52+F52+G52+H52</f>
        <v>0</v>
      </c>
      <c r="J52" s="230">
        <f>B52+D52+E52+F52</f>
        <v>1</v>
      </c>
      <c r="K52" s="163">
        <f>I52</f>
        <v>0</v>
      </c>
    </row>
    <row r="53" spans="1:11" ht="15.75" customHeight="1" x14ac:dyDescent="0.25">
      <c r="A53" s="107" t="s">
        <v>401</v>
      </c>
      <c r="B53" s="231">
        <f t="shared" ref="B53:K53" si="5">B49+B50</f>
        <v>40</v>
      </c>
      <c r="C53" s="108">
        <f t="shared" si="5"/>
        <v>40</v>
      </c>
      <c r="D53" s="108">
        <f t="shared" si="5"/>
        <v>40</v>
      </c>
      <c r="E53" s="108">
        <f t="shared" si="5"/>
        <v>41</v>
      </c>
      <c r="F53" s="108">
        <f t="shared" si="5"/>
        <v>104</v>
      </c>
      <c r="G53" s="108">
        <f t="shared" si="5"/>
        <v>0</v>
      </c>
      <c r="H53" s="108">
        <f t="shared" si="5"/>
        <v>25</v>
      </c>
      <c r="I53" s="108">
        <f t="shared" si="5"/>
        <v>210</v>
      </c>
      <c r="J53" s="163">
        <f t="shared" si="5"/>
        <v>225</v>
      </c>
      <c r="K53" s="163">
        <f t="shared" si="5"/>
        <v>210</v>
      </c>
    </row>
    <row r="55" spans="1:11" ht="15.75" customHeight="1" x14ac:dyDescent="0.25">
      <c r="A55" s="511" t="s">
        <v>563</v>
      </c>
      <c r="B55" s="467"/>
      <c r="C55" s="467"/>
      <c r="D55" s="467"/>
      <c r="E55" s="467"/>
      <c r="F55" s="467"/>
      <c r="G55" s="467"/>
      <c r="H55" s="467"/>
      <c r="I55" s="467"/>
      <c r="J55" s="467"/>
      <c r="K55" s="469"/>
    </row>
    <row r="56" spans="1:11" ht="15.75" customHeight="1" x14ac:dyDescent="0.25">
      <c r="A56" s="511" t="s">
        <v>248</v>
      </c>
      <c r="B56" s="227" t="s">
        <v>414</v>
      </c>
      <c r="C56" s="512" t="s">
        <v>543</v>
      </c>
      <c r="D56" s="483"/>
      <c r="E56" s="483"/>
      <c r="F56" s="483"/>
      <c r="G56" s="483"/>
      <c r="H56" s="483"/>
      <c r="I56" s="513"/>
      <c r="J56" s="510" t="s">
        <v>564</v>
      </c>
      <c r="K56" s="510" t="s">
        <v>416</v>
      </c>
    </row>
    <row r="57" spans="1:11" ht="15.75" customHeight="1" x14ac:dyDescent="0.25">
      <c r="A57" s="461"/>
      <c r="B57" s="229">
        <v>45803</v>
      </c>
      <c r="C57" s="228" t="s">
        <v>129</v>
      </c>
      <c r="D57" s="229">
        <v>45810</v>
      </c>
      <c r="E57" s="229">
        <v>45817</v>
      </c>
      <c r="F57" s="229">
        <v>45824</v>
      </c>
      <c r="G57" s="229">
        <v>45831</v>
      </c>
      <c r="H57" s="229">
        <v>45838</v>
      </c>
      <c r="I57" s="228" t="s">
        <v>129</v>
      </c>
      <c r="J57" s="461"/>
      <c r="K57" s="461"/>
    </row>
    <row r="58" spans="1:11" ht="15.75" customHeight="1" x14ac:dyDescent="0.25">
      <c r="A58" s="160" t="s">
        <v>421</v>
      </c>
      <c r="B58" s="239">
        <v>50</v>
      </c>
      <c r="C58" s="162">
        <f>B58</f>
        <v>50</v>
      </c>
      <c r="D58" s="161">
        <v>0</v>
      </c>
      <c r="E58" s="161">
        <v>100</v>
      </c>
      <c r="F58" s="161">
        <v>30</v>
      </c>
      <c r="G58" s="161">
        <v>20</v>
      </c>
      <c r="H58" s="161">
        <v>0</v>
      </c>
      <c r="I58" s="162">
        <f>D58+E58+F58+G58+H58</f>
        <v>150</v>
      </c>
      <c r="J58" s="230">
        <f>B58+D58+E58+F58</f>
        <v>180</v>
      </c>
      <c r="K58" s="163">
        <f>I58</f>
        <v>150</v>
      </c>
    </row>
    <row r="59" spans="1:11" ht="15.75" customHeight="1" x14ac:dyDescent="0.25">
      <c r="A59" s="160" t="s">
        <v>422</v>
      </c>
      <c r="B59" s="239">
        <v>0</v>
      </c>
      <c r="C59" s="162">
        <f>B59</f>
        <v>0</v>
      </c>
      <c r="D59" s="88">
        <v>0</v>
      </c>
      <c r="E59" s="88">
        <v>50</v>
      </c>
      <c r="F59" s="161">
        <v>0</v>
      </c>
      <c r="G59" s="161">
        <v>0</v>
      </c>
      <c r="H59" s="161">
        <v>0</v>
      </c>
      <c r="I59" s="162">
        <f>D59+E59+F59+G59+H59</f>
        <v>50</v>
      </c>
      <c r="J59" s="230">
        <f>B59+D59+E59+F59</f>
        <v>50</v>
      </c>
      <c r="K59" s="163">
        <f>I59</f>
        <v>50</v>
      </c>
    </row>
    <row r="60" spans="1:11" ht="15.75" customHeight="1" x14ac:dyDescent="0.25">
      <c r="A60" s="113" t="s">
        <v>143</v>
      </c>
      <c r="B60" s="240">
        <v>0</v>
      </c>
      <c r="C60" s="162">
        <f>B60</f>
        <v>0</v>
      </c>
      <c r="D60" s="88">
        <v>1</v>
      </c>
      <c r="E60" s="88">
        <v>0</v>
      </c>
      <c r="F60" s="161">
        <v>1</v>
      </c>
      <c r="G60" s="161">
        <v>0</v>
      </c>
      <c r="H60" s="161">
        <v>0</v>
      </c>
      <c r="I60" s="162">
        <f>D60+E60+F60+G60+H60</f>
        <v>2</v>
      </c>
      <c r="J60" s="230">
        <f>B60+D60+E60+F60</f>
        <v>2</v>
      </c>
      <c r="K60" s="163">
        <f>I60</f>
        <v>2</v>
      </c>
    </row>
    <row r="61" spans="1:11" ht="15.75" customHeight="1" x14ac:dyDescent="0.25">
      <c r="A61" s="113" t="s">
        <v>147</v>
      </c>
      <c r="B61" s="240">
        <v>0</v>
      </c>
      <c r="C61" s="162">
        <f>B61</f>
        <v>0</v>
      </c>
      <c r="D61" s="88">
        <v>1</v>
      </c>
      <c r="E61" s="88">
        <v>0</v>
      </c>
      <c r="F61" s="161">
        <v>0</v>
      </c>
      <c r="G61" s="161">
        <v>0</v>
      </c>
      <c r="H61" s="161">
        <v>0</v>
      </c>
      <c r="I61" s="162">
        <f>D61+E61+F61+G61+H61</f>
        <v>1</v>
      </c>
      <c r="J61" s="230">
        <f>B61+D61+E61+F61</f>
        <v>1</v>
      </c>
      <c r="K61" s="163">
        <f>I61</f>
        <v>1</v>
      </c>
    </row>
    <row r="62" spans="1:11" ht="15.75" customHeight="1" x14ac:dyDescent="0.25">
      <c r="A62" s="107" t="s">
        <v>401</v>
      </c>
      <c r="B62" s="231">
        <f t="shared" ref="B62:K62" si="6">B58+B59</f>
        <v>50</v>
      </c>
      <c r="C62" s="108">
        <f t="shared" si="6"/>
        <v>50</v>
      </c>
      <c r="D62" s="108">
        <f t="shared" si="6"/>
        <v>0</v>
      </c>
      <c r="E62" s="108">
        <f t="shared" si="6"/>
        <v>150</v>
      </c>
      <c r="F62" s="108">
        <f t="shared" si="6"/>
        <v>30</v>
      </c>
      <c r="G62" s="108">
        <f t="shared" si="6"/>
        <v>20</v>
      </c>
      <c r="H62" s="108">
        <f t="shared" si="6"/>
        <v>0</v>
      </c>
      <c r="I62" s="108">
        <f t="shared" si="6"/>
        <v>200</v>
      </c>
      <c r="J62" s="163">
        <f t="shared" si="6"/>
        <v>230</v>
      </c>
      <c r="K62" s="163">
        <f t="shared" si="6"/>
        <v>200</v>
      </c>
    </row>
    <row r="64" spans="1:11" ht="15.75" customHeight="1" x14ac:dyDescent="0.25">
      <c r="A64" s="511" t="s">
        <v>563</v>
      </c>
      <c r="B64" s="467"/>
      <c r="C64" s="467"/>
      <c r="D64" s="467"/>
      <c r="E64" s="467"/>
      <c r="F64" s="467"/>
      <c r="G64" s="467"/>
      <c r="H64" s="467"/>
      <c r="I64" s="467"/>
      <c r="J64" s="467"/>
      <c r="K64" s="469"/>
    </row>
    <row r="65" spans="1:11" ht="15.75" customHeight="1" x14ac:dyDescent="0.25">
      <c r="A65" s="511" t="s">
        <v>323</v>
      </c>
      <c r="B65" s="227" t="s">
        <v>414</v>
      </c>
      <c r="C65" s="512" t="s">
        <v>543</v>
      </c>
      <c r="D65" s="483"/>
      <c r="E65" s="483"/>
      <c r="F65" s="483"/>
      <c r="G65" s="483"/>
      <c r="H65" s="483"/>
      <c r="I65" s="513"/>
      <c r="J65" s="510" t="s">
        <v>564</v>
      </c>
      <c r="K65" s="510" t="s">
        <v>416</v>
      </c>
    </row>
    <row r="66" spans="1:11" ht="15.75" customHeight="1" x14ac:dyDescent="0.25">
      <c r="A66" s="461"/>
      <c r="B66" s="229">
        <v>45803</v>
      </c>
      <c r="C66" s="228" t="s">
        <v>129</v>
      </c>
      <c r="D66" s="229">
        <v>45810</v>
      </c>
      <c r="E66" s="229">
        <v>45817</v>
      </c>
      <c r="F66" s="229">
        <v>45824</v>
      </c>
      <c r="G66" s="229">
        <v>45831</v>
      </c>
      <c r="H66" s="229">
        <v>45838</v>
      </c>
      <c r="I66" s="228" t="s">
        <v>129</v>
      </c>
      <c r="J66" s="461"/>
      <c r="K66" s="461"/>
    </row>
    <row r="67" spans="1:11" ht="15.75" customHeight="1" x14ac:dyDescent="0.25">
      <c r="A67" s="160" t="s">
        <v>421</v>
      </c>
      <c r="B67" s="239">
        <v>0</v>
      </c>
      <c r="C67" s="162">
        <f>B67</f>
        <v>0</v>
      </c>
      <c r="D67" s="161">
        <v>50</v>
      </c>
      <c r="E67" s="161">
        <v>30</v>
      </c>
      <c r="F67" s="161">
        <v>100</v>
      </c>
      <c r="G67" s="161">
        <v>20</v>
      </c>
      <c r="H67" s="161">
        <v>0</v>
      </c>
      <c r="I67" s="162">
        <f>D67+E67+F67+G67+H67</f>
        <v>200</v>
      </c>
      <c r="J67" s="230">
        <f>B67+D67+E67+F67</f>
        <v>180</v>
      </c>
      <c r="K67" s="163">
        <f>I67</f>
        <v>200</v>
      </c>
    </row>
    <row r="68" spans="1:11" ht="15.75" customHeight="1" x14ac:dyDescent="0.25">
      <c r="A68" s="160" t="s">
        <v>422</v>
      </c>
      <c r="B68" s="239">
        <v>0</v>
      </c>
      <c r="C68" s="162">
        <f>B68</f>
        <v>0</v>
      </c>
      <c r="D68" s="88">
        <v>0</v>
      </c>
      <c r="E68" s="88">
        <v>0</v>
      </c>
      <c r="F68" s="161">
        <v>25</v>
      </c>
      <c r="G68" s="161">
        <v>5</v>
      </c>
      <c r="H68" s="161">
        <v>9</v>
      </c>
      <c r="I68" s="162">
        <f>D68+E68+F68+G68+H68</f>
        <v>39</v>
      </c>
      <c r="J68" s="230">
        <f>B68+D68+E68+F68</f>
        <v>25</v>
      </c>
      <c r="K68" s="163">
        <f>I68</f>
        <v>39</v>
      </c>
    </row>
    <row r="69" spans="1:11" ht="15.75" customHeight="1" x14ac:dyDescent="0.25">
      <c r="A69" s="113" t="s">
        <v>143</v>
      </c>
      <c r="B69" s="240">
        <v>0</v>
      </c>
      <c r="C69" s="162">
        <f>B69</f>
        <v>0</v>
      </c>
      <c r="D69" s="88">
        <v>0</v>
      </c>
      <c r="E69" s="88">
        <v>0</v>
      </c>
      <c r="F69" s="161">
        <v>1</v>
      </c>
      <c r="G69" s="161">
        <v>0</v>
      </c>
      <c r="H69" s="161">
        <v>0</v>
      </c>
      <c r="I69" s="162">
        <f>D69+E69+F69+G69+H69</f>
        <v>1</v>
      </c>
      <c r="J69" s="230">
        <f>B69+D69+E69+F69</f>
        <v>1</v>
      </c>
      <c r="K69" s="163">
        <f>I69</f>
        <v>1</v>
      </c>
    </row>
    <row r="70" spans="1:11" ht="15.75" customHeight="1" x14ac:dyDescent="0.25">
      <c r="A70" s="113" t="s">
        <v>147</v>
      </c>
      <c r="B70" s="240">
        <v>0</v>
      </c>
      <c r="C70" s="162">
        <f>B70</f>
        <v>0</v>
      </c>
      <c r="D70" s="88">
        <v>0</v>
      </c>
      <c r="E70" s="88">
        <v>0</v>
      </c>
      <c r="F70" s="161">
        <v>0</v>
      </c>
      <c r="G70" s="161">
        <v>0</v>
      </c>
      <c r="H70" s="161">
        <v>0</v>
      </c>
      <c r="I70" s="162">
        <f>D70+E70+F70+G70+H70</f>
        <v>0</v>
      </c>
      <c r="J70" s="230">
        <f>B70+D70+E70+F70</f>
        <v>0</v>
      </c>
      <c r="K70" s="163">
        <f>I70</f>
        <v>0</v>
      </c>
    </row>
    <row r="71" spans="1:11" ht="15.75" customHeight="1" x14ac:dyDescent="0.25">
      <c r="A71" s="107" t="s">
        <v>401</v>
      </c>
      <c r="B71" s="231">
        <f t="shared" ref="B71:K71" si="7">B67+B68</f>
        <v>0</v>
      </c>
      <c r="C71" s="108">
        <f t="shared" si="7"/>
        <v>0</v>
      </c>
      <c r="D71" s="108">
        <f t="shared" si="7"/>
        <v>50</v>
      </c>
      <c r="E71" s="108">
        <f t="shared" si="7"/>
        <v>30</v>
      </c>
      <c r="F71" s="108">
        <f t="shared" si="7"/>
        <v>125</v>
      </c>
      <c r="G71" s="108">
        <f t="shared" si="7"/>
        <v>25</v>
      </c>
      <c r="H71" s="108">
        <f t="shared" si="7"/>
        <v>9</v>
      </c>
      <c r="I71" s="108">
        <f t="shared" si="7"/>
        <v>239</v>
      </c>
      <c r="J71" s="163">
        <f t="shared" si="7"/>
        <v>205</v>
      </c>
      <c r="K71" s="163">
        <f t="shared" si="7"/>
        <v>239</v>
      </c>
    </row>
    <row r="73" spans="1:11" ht="15.75" customHeight="1" x14ac:dyDescent="0.25">
      <c r="A73" s="511" t="s">
        <v>563</v>
      </c>
      <c r="B73" s="467"/>
      <c r="C73" s="467"/>
      <c r="D73" s="467"/>
      <c r="E73" s="467"/>
      <c r="F73" s="467"/>
      <c r="G73" s="467"/>
      <c r="H73" s="467"/>
      <c r="I73" s="467"/>
      <c r="J73" s="467"/>
      <c r="K73" s="469"/>
    </row>
    <row r="74" spans="1:11" ht="15.75" customHeight="1" x14ac:dyDescent="0.25">
      <c r="A74" s="511" t="s">
        <v>338</v>
      </c>
      <c r="B74" s="227" t="s">
        <v>414</v>
      </c>
      <c r="C74" s="512" t="s">
        <v>543</v>
      </c>
      <c r="D74" s="483"/>
      <c r="E74" s="483"/>
      <c r="F74" s="483"/>
      <c r="G74" s="483"/>
      <c r="H74" s="483"/>
      <c r="I74" s="513"/>
      <c r="J74" s="510" t="s">
        <v>564</v>
      </c>
      <c r="K74" s="510" t="s">
        <v>416</v>
      </c>
    </row>
    <row r="75" spans="1:11" ht="15.75" customHeight="1" x14ac:dyDescent="0.25">
      <c r="A75" s="461"/>
      <c r="B75" s="229">
        <v>45803</v>
      </c>
      <c r="C75" s="228" t="s">
        <v>129</v>
      </c>
      <c r="D75" s="229">
        <v>45810</v>
      </c>
      <c r="E75" s="229">
        <v>45817</v>
      </c>
      <c r="F75" s="229">
        <v>45824</v>
      </c>
      <c r="G75" s="229">
        <v>45831</v>
      </c>
      <c r="H75" s="229">
        <v>45838</v>
      </c>
      <c r="I75" s="228" t="s">
        <v>129</v>
      </c>
      <c r="J75" s="461"/>
      <c r="K75" s="461"/>
    </row>
    <row r="76" spans="1:11" ht="15.75" customHeight="1" x14ac:dyDescent="0.25">
      <c r="A76" s="160" t="s">
        <v>421</v>
      </c>
      <c r="B76" s="239">
        <v>0</v>
      </c>
      <c r="C76" s="162">
        <f>B76</f>
        <v>0</v>
      </c>
      <c r="D76" s="161">
        <v>80</v>
      </c>
      <c r="E76" s="161">
        <v>120</v>
      </c>
      <c r="F76" s="161">
        <v>0</v>
      </c>
      <c r="G76" s="161">
        <v>0</v>
      </c>
      <c r="H76" s="161">
        <v>0</v>
      </c>
      <c r="I76" s="162">
        <f>D76+E76+F76+G76+H76</f>
        <v>200</v>
      </c>
      <c r="J76" s="230">
        <f>B76+D76+E76+F76</f>
        <v>200</v>
      </c>
      <c r="K76" s="163">
        <f>I76</f>
        <v>200</v>
      </c>
    </row>
    <row r="77" spans="1:11" ht="15.75" customHeight="1" x14ac:dyDescent="0.25">
      <c r="A77" s="160" t="s">
        <v>422</v>
      </c>
      <c r="B77" s="239">
        <v>25</v>
      </c>
      <c r="C77" s="162">
        <f>B77</f>
        <v>25</v>
      </c>
      <c r="D77" s="88">
        <v>0</v>
      </c>
      <c r="E77" s="88">
        <v>25</v>
      </c>
      <c r="F77" s="161">
        <v>0</v>
      </c>
      <c r="G77" s="161">
        <v>0</v>
      </c>
      <c r="H77" s="161">
        <v>0</v>
      </c>
      <c r="I77" s="162">
        <f>D77+E77+F77+G77+H77</f>
        <v>25</v>
      </c>
      <c r="J77" s="230">
        <f>B77+D77+E77+F77</f>
        <v>50</v>
      </c>
      <c r="K77" s="163">
        <f>I77</f>
        <v>25</v>
      </c>
    </row>
    <row r="78" spans="1:11" ht="15.75" customHeight="1" x14ac:dyDescent="0.25">
      <c r="A78" s="113" t="s">
        <v>143</v>
      </c>
      <c r="B78" s="240">
        <v>1</v>
      </c>
      <c r="C78" s="162">
        <f>B78</f>
        <v>1</v>
      </c>
      <c r="D78" s="88">
        <v>0</v>
      </c>
      <c r="E78" s="88">
        <v>1</v>
      </c>
      <c r="F78" s="161">
        <v>0</v>
      </c>
      <c r="G78" s="161">
        <v>0</v>
      </c>
      <c r="H78" s="161">
        <v>0</v>
      </c>
      <c r="I78" s="162">
        <f>D78+E78+F78+G78+H78</f>
        <v>1</v>
      </c>
      <c r="J78" s="230">
        <f>B78+D78+E78+F78</f>
        <v>2</v>
      </c>
      <c r="K78" s="163">
        <f>I78</f>
        <v>1</v>
      </c>
    </row>
    <row r="79" spans="1:11" ht="15.75" customHeight="1" x14ac:dyDescent="0.25">
      <c r="A79" s="113" t="s">
        <v>147</v>
      </c>
      <c r="B79" s="240">
        <v>0</v>
      </c>
      <c r="C79" s="162">
        <f>B79</f>
        <v>0</v>
      </c>
      <c r="D79" s="88">
        <v>1</v>
      </c>
      <c r="E79" s="88">
        <v>0</v>
      </c>
      <c r="F79" s="161">
        <v>0</v>
      </c>
      <c r="G79" s="161">
        <v>0</v>
      </c>
      <c r="H79" s="161">
        <v>0</v>
      </c>
      <c r="I79" s="162">
        <f>D79+E79+F79+G79+H79</f>
        <v>1</v>
      </c>
      <c r="J79" s="230">
        <f>B79+D79+E79+F79</f>
        <v>1</v>
      </c>
      <c r="K79" s="163">
        <f>I79</f>
        <v>1</v>
      </c>
    </row>
    <row r="80" spans="1:11" ht="15.75" customHeight="1" x14ac:dyDescent="0.25">
      <c r="A80" s="107" t="s">
        <v>401</v>
      </c>
      <c r="B80" s="231">
        <f t="shared" ref="B80:K80" si="8">B76+B77</f>
        <v>25</v>
      </c>
      <c r="C80" s="108">
        <f t="shared" si="8"/>
        <v>25</v>
      </c>
      <c r="D80" s="108">
        <f t="shared" si="8"/>
        <v>80</v>
      </c>
      <c r="E80" s="108">
        <f t="shared" si="8"/>
        <v>145</v>
      </c>
      <c r="F80" s="108">
        <f t="shared" si="8"/>
        <v>0</v>
      </c>
      <c r="G80" s="108">
        <f t="shared" si="8"/>
        <v>0</v>
      </c>
      <c r="H80" s="108">
        <f t="shared" si="8"/>
        <v>0</v>
      </c>
      <c r="I80" s="108">
        <f t="shared" si="8"/>
        <v>225</v>
      </c>
      <c r="J80" s="163">
        <f t="shared" si="8"/>
        <v>250</v>
      </c>
      <c r="K80" s="163">
        <f t="shared" si="8"/>
        <v>225</v>
      </c>
    </row>
    <row r="82" spans="1:11" ht="15.75" customHeight="1" x14ac:dyDescent="0.25">
      <c r="A82" s="511" t="s">
        <v>563</v>
      </c>
      <c r="B82" s="467"/>
      <c r="C82" s="467"/>
      <c r="D82" s="467"/>
      <c r="E82" s="467"/>
      <c r="F82" s="467"/>
      <c r="G82" s="467"/>
      <c r="H82" s="467"/>
      <c r="I82" s="467"/>
      <c r="J82" s="467"/>
      <c r="K82" s="469"/>
    </row>
    <row r="83" spans="1:11" ht="15.75" customHeight="1" x14ac:dyDescent="0.25">
      <c r="A83" s="511" t="s">
        <v>423</v>
      </c>
      <c r="B83" s="227" t="s">
        <v>414</v>
      </c>
      <c r="C83" s="512" t="s">
        <v>543</v>
      </c>
      <c r="D83" s="483"/>
      <c r="E83" s="483"/>
      <c r="F83" s="483"/>
      <c r="G83" s="483"/>
      <c r="H83" s="483"/>
      <c r="I83" s="513"/>
      <c r="J83" s="510" t="s">
        <v>564</v>
      </c>
      <c r="K83" s="510" t="s">
        <v>416</v>
      </c>
    </row>
    <row r="84" spans="1:11" ht="15.75" customHeight="1" x14ac:dyDescent="0.25">
      <c r="A84" s="461"/>
      <c r="B84" s="229">
        <v>45803</v>
      </c>
      <c r="C84" s="228" t="s">
        <v>129</v>
      </c>
      <c r="D84" s="229">
        <v>45810</v>
      </c>
      <c r="E84" s="229">
        <v>45817</v>
      </c>
      <c r="F84" s="229">
        <v>45824</v>
      </c>
      <c r="G84" s="229">
        <v>45831</v>
      </c>
      <c r="H84" s="229">
        <v>45838</v>
      </c>
      <c r="I84" s="228" t="s">
        <v>129</v>
      </c>
      <c r="J84" s="461"/>
      <c r="K84" s="461"/>
    </row>
    <row r="85" spans="1:11" ht="15.75" customHeight="1" x14ac:dyDescent="0.25">
      <c r="A85" s="160" t="s">
        <v>421</v>
      </c>
      <c r="B85" s="239">
        <v>0</v>
      </c>
      <c r="C85" s="162">
        <f>B85</f>
        <v>0</v>
      </c>
      <c r="D85" s="239">
        <v>0</v>
      </c>
      <c r="E85" s="239">
        <v>0</v>
      </c>
      <c r="F85" s="239">
        <v>0</v>
      </c>
      <c r="G85" s="239">
        <v>0</v>
      </c>
      <c r="H85" s="239">
        <v>0</v>
      </c>
      <c r="I85" s="162">
        <f>D85+E85+F85+G85+H85</f>
        <v>0</v>
      </c>
      <c r="J85" s="230">
        <f>B85+D85+E85+F85</f>
        <v>0</v>
      </c>
      <c r="K85" s="163">
        <f>I85</f>
        <v>0</v>
      </c>
    </row>
    <row r="86" spans="1:11" ht="15.75" customHeight="1" x14ac:dyDescent="0.25">
      <c r="A86" s="160" t="s">
        <v>422</v>
      </c>
      <c r="B86" s="239">
        <v>0</v>
      </c>
      <c r="C86" s="162">
        <f>B86</f>
        <v>0</v>
      </c>
      <c r="D86" s="239">
        <v>0</v>
      </c>
      <c r="E86" s="239">
        <v>0</v>
      </c>
      <c r="F86" s="239">
        <v>0</v>
      </c>
      <c r="G86" s="239">
        <v>0</v>
      </c>
      <c r="H86" s="239">
        <v>0</v>
      </c>
      <c r="I86" s="162">
        <f>D86+E86+F86+G86+H86</f>
        <v>0</v>
      </c>
      <c r="J86" s="230">
        <f>B86+D86+E86+F86</f>
        <v>0</v>
      </c>
      <c r="K86" s="163">
        <f>I86</f>
        <v>0</v>
      </c>
    </row>
    <row r="87" spans="1:11" ht="15.75" customHeight="1" x14ac:dyDescent="0.25">
      <c r="A87" s="113" t="s">
        <v>143</v>
      </c>
      <c r="B87" s="240">
        <v>0</v>
      </c>
      <c r="C87" s="162">
        <f>B87</f>
        <v>0</v>
      </c>
      <c r="D87" s="240">
        <v>0</v>
      </c>
      <c r="E87" s="240">
        <v>0</v>
      </c>
      <c r="F87" s="240">
        <v>0</v>
      </c>
      <c r="G87" s="240">
        <v>0</v>
      </c>
      <c r="H87" s="240">
        <v>0</v>
      </c>
      <c r="I87" s="162">
        <f>D87+E87+F87+G87+H87</f>
        <v>0</v>
      </c>
      <c r="J87" s="230">
        <f>B87+D87+E87+F87</f>
        <v>0</v>
      </c>
      <c r="K87" s="163">
        <f>I87</f>
        <v>0</v>
      </c>
    </row>
    <row r="88" spans="1:11" ht="15.75" customHeight="1" x14ac:dyDescent="0.25">
      <c r="A88" s="113" t="s">
        <v>147</v>
      </c>
      <c r="B88" s="240">
        <v>0</v>
      </c>
      <c r="C88" s="162">
        <f>B88</f>
        <v>0</v>
      </c>
      <c r="D88" s="240">
        <v>0</v>
      </c>
      <c r="E88" s="240">
        <v>0</v>
      </c>
      <c r="F88" s="240">
        <v>0</v>
      </c>
      <c r="G88" s="240">
        <v>0</v>
      </c>
      <c r="H88" s="240">
        <v>0</v>
      </c>
      <c r="I88" s="162">
        <f>D88+E88+F88+G88+H88</f>
        <v>0</v>
      </c>
      <c r="J88" s="230">
        <f>B88+D88+E88+F88</f>
        <v>0</v>
      </c>
      <c r="K88" s="163">
        <f>I88</f>
        <v>0</v>
      </c>
    </row>
    <row r="89" spans="1:11" ht="15.75" customHeight="1" x14ac:dyDescent="0.25">
      <c r="A89" s="107" t="s">
        <v>401</v>
      </c>
      <c r="B89" s="231">
        <f t="shared" ref="B89:K89" si="9">B85+B86</f>
        <v>0</v>
      </c>
      <c r="C89" s="108">
        <f t="shared" si="9"/>
        <v>0</v>
      </c>
      <c r="D89" s="108">
        <f t="shared" si="9"/>
        <v>0</v>
      </c>
      <c r="E89" s="108">
        <f t="shared" si="9"/>
        <v>0</v>
      </c>
      <c r="F89" s="108">
        <f t="shared" si="9"/>
        <v>0</v>
      </c>
      <c r="G89" s="108">
        <f t="shared" si="9"/>
        <v>0</v>
      </c>
      <c r="H89" s="108">
        <f t="shared" si="9"/>
        <v>0</v>
      </c>
      <c r="I89" s="108">
        <f t="shared" si="9"/>
        <v>0</v>
      </c>
      <c r="J89" s="163">
        <f t="shared" si="9"/>
        <v>0</v>
      </c>
      <c r="K89" s="163">
        <f t="shared" si="9"/>
        <v>0</v>
      </c>
    </row>
    <row r="91" spans="1:11" ht="15.75" customHeight="1" x14ac:dyDescent="0.25">
      <c r="A91" s="511" t="s">
        <v>563</v>
      </c>
      <c r="B91" s="467"/>
      <c r="C91" s="467"/>
      <c r="D91" s="467"/>
      <c r="E91" s="467"/>
      <c r="F91" s="467"/>
      <c r="G91" s="467"/>
      <c r="H91" s="467"/>
      <c r="I91" s="467"/>
      <c r="J91" s="467"/>
      <c r="K91" s="469"/>
    </row>
    <row r="92" spans="1:11" ht="15.75" customHeight="1" x14ac:dyDescent="0.25">
      <c r="A92" s="511" t="s">
        <v>424</v>
      </c>
      <c r="B92" s="227" t="s">
        <v>414</v>
      </c>
      <c r="C92" s="512" t="s">
        <v>543</v>
      </c>
      <c r="D92" s="483"/>
      <c r="E92" s="483"/>
      <c r="F92" s="483"/>
      <c r="G92" s="483"/>
      <c r="H92" s="483"/>
      <c r="I92" s="513"/>
      <c r="J92" s="510" t="s">
        <v>564</v>
      </c>
      <c r="K92" s="510" t="s">
        <v>416</v>
      </c>
    </row>
    <row r="93" spans="1:11" ht="15.75" customHeight="1" x14ac:dyDescent="0.25">
      <c r="A93" s="461"/>
      <c r="B93" s="229">
        <v>45803</v>
      </c>
      <c r="C93" s="228" t="s">
        <v>129</v>
      </c>
      <c r="D93" s="229">
        <v>45810</v>
      </c>
      <c r="E93" s="229">
        <v>45817</v>
      </c>
      <c r="F93" s="229">
        <v>45824</v>
      </c>
      <c r="G93" s="229">
        <v>45831</v>
      </c>
      <c r="H93" s="229">
        <v>45838</v>
      </c>
      <c r="I93" s="228" t="s">
        <v>129</v>
      </c>
      <c r="J93" s="461"/>
      <c r="K93" s="461"/>
    </row>
    <row r="94" spans="1:11" ht="15.75" customHeight="1" x14ac:dyDescent="0.25">
      <c r="A94" s="160" t="s">
        <v>421</v>
      </c>
      <c r="B94" s="239">
        <v>100</v>
      </c>
      <c r="C94" s="162">
        <f>B94</f>
        <v>100</v>
      </c>
      <c r="D94" s="161">
        <v>100</v>
      </c>
      <c r="E94" s="161">
        <v>100</v>
      </c>
      <c r="F94" s="161">
        <v>0</v>
      </c>
      <c r="G94" s="161">
        <v>0</v>
      </c>
      <c r="H94" s="161">
        <v>0</v>
      </c>
      <c r="I94" s="162">
        <f>D94+E94+F94+G94+H94</f>
        <v>200</v>
      </c>
      <c r="J94" s="230">
        <f>B94+D94+E94+F94</f>
        <v>300</v>
      </c>
      <c r="K94" s="163">
        <f>I94</f>
        <v>200</v>
      </c>
    </row>
    <row r="95" spans="1:11" ht="15.75" customHeight="1" x14ac:dyDescent="0.25">
      <c r="A95" s="160" t="s">
        <v>422</v>
      </c>
      <c r="B95" s="239">
        <v>70</v>
      </c>
      <c r="C95" s="162">
        <f>B95</f>
        <v>70</v>
      </c>
      <c r="D95" s="88">
        <v>0</v>
      </c>
      <c r="E95" s="88">
        <v>0</v>
      </c>
      <c r="F95" s="161">
        <v>0</v>
      </c>
      <c r="G95" s="161">
        <v>0</v>
      </c>
      <c r="H95" s="161">
        <v>0</v>
      </c>
      <c r="I95" s="162">
        <f>D95+E95+F95+G95+H95</f>
        <v>0</v>
      </c>
      <c r="J95" s="230">
        <f>B95+D95+E95+F95</f>
        <v>70</v>
      </c>
      <c r="K95" s="163">
        <f>I95</f>
        <v>0</v>
      </c>
    </row>
    <row r="96" spans="1:11" ht="15.75" customHeight="1" x14ac:dyDescent="0.25">
      <c r="A96" s="113" t="s">
        <v>143</v>
      </c>
      <c r="B96" s="240">
        <v>0</v>
      </c>
      <c r="C96" s="162">
        <f>B96</f>
        <v>0</v>
      </c>
      <c r="D96" s="88">
        <v>0</v>
      </c>
      <c r="E96" s="88">
        <v>0</v>
      </c>
      <c r="F96" s="161">
        <v>0</v>
      </c>
      <c r="G96" s="161">
        <v>0</v>
      </c>
      <c r="H96" s="161">
        <v>0</v>
      </c>
      <c r="I96" s="162">
        <f>D96+E96+F96+G96+H96</f>
        <v>0</v>
      </c>
      <c r="J96" s="230">
        <f>B96+D96+E96+F96</f>
        <v>0</v>
      </c>
      <c r="K96" s="163">
        <f>I96</f>
        <v>0</v>
      </c>
    </row>
    <row r="97" spans="1:11" ht="15.75" customHeight="1" x14ac:dyDescent="0.25">
      <c r="A97" s="113" t="s">
        <v>147</v>
      </c>
      <c r="B97" s="240">
        <v>0</v>
      </c>
      <c r="C97" s="162">
        <f>B97</f>
        <v>0</v>
      </c>
      <c r="D97" s="88">
        <v>0</v>
      </c>
      <c r="E97" s="88">
        <v>0</v>
      </c>
      <c r="F97" s="161">
        <v>0</v>
      </c>
      <c r="G97" s="161">
        <v>0</v>
      </c>
      <c r="H97" s="161">
        <v>0</v>
      </c>
      <c r="I97" s="162">
        <f>D97+E97+F97+G97+H97</f>
        <v>0</v>
      </c>
      <c r="J97" s="230">
        <f>B97+D97+E97+F97</f>
        <v>0</v>
      </c>
      <c r="K97" s="163">
        <f>I97</f>
        <v>0</v>
      </c>
    </row>
    <row r="98" spans="1:11" ht="15.75" customHeight="1" x14ac:dyDescent="0.25">
      <c r="A98" s="107" t="s">
        <v>401</v>
      </c>
      <c r="B98" s="231">
        <f t="shared" ref="B98:K98" si="10">B94+B95</f>
        <v>170</v>
      </c>
      <c r="C98" s="108">
        <f t="shared" si="10"/>
        <v>170</v>
      </c>
      <c r="D98" s="108">
        <f t="shared" si="10"/>
        <v>100</v>
      </c>
      <c r="E98" s="108">
        <f t="shared" si="10"/>
        <v>100</v>
      </c>
      <c r="F98" s="108">
        <f t="shared" si="10"/>
        <v>0</v>
      </c>
      <c r="G98" s="108">
        <f t="shared" si="10"/>
        <v>0</v>
      </c>
      <c r="H98" s="108">
        <f t="shared" si="10"/>
        <v>0</v>
      </c>
      <c r="I98" s="108">
        <f t="shared" si="10"/>
        <v>200</v>
      </c>
      <c r="J98" s="163">
        <f t="shared" si="10"/>
        <v>370</v>
      </c>
      <c r="K98" s="163">
        <f t="shared" si="10"/>
        <v>200</v>
      </c>
    </row>
    <row r="106" spans="1:11" ht="15.75" customHeight="1" x14ac:dyDescent="0.25"/>
  </sheetData>
  <mergeCells count="56">
    <mergeCell ref="A11:A12"/>
    <mergeCell ref="J2:J3"/>
    <mergeCell ref="A91:K91"/>
    <mergeCell ref="A38:A39"/>
    <mergeCell ref="C56:I56"/>
    <mergeCell ref="A92:A93"/>
    <mergeCell ref="K65:K66"/>
    <mergeCell ref="K83:K84"/>
    <mergeCell ref="A83:A84"/>
    <mergeCell ref="A19:K19"/>
    <mergeCell ref="K74:K75"/>
    <mergeCell ref="A10:K10"/>
    <mergeCell ref="A28:K28"/>
    <mergeCell ref="C2:I2"/>
    <mergeCell ref="J29:J30"/>
    <mergeCell ref="J92:J93"/>
    <mergeCell ref="K29:K30"/>
    <mergeCell ref="K20:K21"/>
    <mergeCell ref="J47:J48"/>
    <mergeCell ref="C20:I20"/>
    <mergeCell ref="A29:A30"/>
    <mergeCell ref="A47:A48"/>
    <mergeCell ref="A20:A21"/>
    <mergeCell ref="C29:I29"/>
    <mergeCell ref="K38:K39"/>
    <mergeCell ref="C47:I47"/>
    <mergeCell ref="A1:K1"/>
    <mergeCell ref="J11:J12"/>
    <mergeCell ref="J65:J66"/>
    <mergeCell ref="A65:A66"/>
    <mergeCell ref="M2:N2"/>
    <mergeCell ref="K11:K12"/>
    <mergeCell ref="A56:A57"/>
    <mergeCell ref="K56:K57"/>
    <mergeCell ref="K47:K48"/>
    <mergeCell ref="J20:J21"/>
    <mergeCell ref="A2:A3"/>
    <mergeCell ref="A46:K46"/>
    <mergeCell ref="K2:K3"/>
    <mergeCell ref="A37:K37"/>
    <mergeCell ref="C11:I11"/>
    <mergeCell ref="J56:J57"/>
    <mergeCell ref="K92:K93"/>
    <mergeCell ref="A64:K64"/>
    <mergeCell ref="A82:K82"/>
    <mergeCell ref="J38:J39"/>
    <mergeCell ref="A73:K73"/>
    <mergeCell ref="J74:J75"/>
    <mergeCell ref="C38:I38"/>
    <mergeCell ref="J83:J84"/>
    <mergeCell ref="A74:A75"/>
    <mergeCell ref="C83:I83"/>
    <mergeCell ref="C92:I92"/>
    <mergeCell ref="C74:I74"/>
    <mergeCell ref="A55:K55"/>
    <mergeCell ref="C65:I65"/>
  </mergeCells>
  <pageMargins left="0.511811024" right="0.511811024" top="0.78740157499999996" bottom="0.78740157499999996" header="0.31496062000000002" footer="0.31496062000000002"/>
  <pageSetup paperSize="9" orientation="portrait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Planilha19">
    <tabColor theme="9" tint="-0.499984740745262"/>
  </sheetPr>
  <dimension ref="A1:K106"/>
  <sheetViews>
    <sheetView zoomScale="85" zoomScaleNormal="85" workbookViewId="0">
      <selection activeCell="M23" sqref="M23"/>
    </sheetView>
  </sheetViews>
  <sheetFormatPr defaultRowHeight="15" x14ac:dyDescent="0.25"/>
  <cols>
    <col min="1" max="1" width="32.85546875" customWidth="1"/>
    <col min="2" max="3" width="9.5703125" customWidth="1"/>
    <col min="4" max="4" width="9.7109375" bestFit="1" customWidth="1"/>
    <col min="7" max="7" width="9.28515625" customWidth="1"/>
    <col min="10" max="10" width="11.85546875" customWidth="1"/>
  </cols>
  <sheetData>
    <row r="1" spans="1:11" ht="18" customHeight="1" x14ac:dyDescent="0.25">
      <c r="A1" s="519" t="s">
        <v>565</v>
      </c>
      <c r="B1" s="520"/>
      <c r="C1" s="520"/>
      <c r="D1" s="520"/>
      <c r="E1" s="520"/>
      <c r="F1" s="520"/>
      <c r="G1" s="520"/>
      <c r="H1" s="520"/>
      <c r="I1" s="520"/>
      <c r="J1" s="520"/>
      <c r="K1" s="521"/>
    </row>
    <row r="2" spans="1:11" ht="18" customHeight="1" x14ac:dyDescent="0.25">
      <c r="A2" s="522" t="s">
        <v>119</v>
      </c>
      <c r="B2" s="514" t="s">
        <v>544</v>
      </c>
      <c r="C2" s="467"/>
      <c r="D2" s="469"/>
      <c r="E2" s="514" t="s">
        <v>545</v>
      </c>
      <c r="F2" s="467"/>
      <c r="G2" s="467"/>
      <c r="H2" s="467"/>
      <c r="I2" s="469"/>
      <c r="J2" s="515" t="s">
        <v>566</v>
      </c>
      <c r="K2" s="517" t="s">
        <v>416</v>
      </c>
    </row>
    <row r="3" spans="1:11" ht="15.75" customHeight="1" x14ac:dyDescent="0.25">
      <c r="A3" s="523"/>
      <c r="B3" s="166">
        <v>45859</v>
      </c>
      <c r="C3" s="166">
        <v>45866</v>
      </c>
      <c r="D3" s="167" t="s">
        <v>129</v>
      </c>
      <c r="E3" s="166">
        <v>45873</v>
      </c>
      <c r="F3" s="168">
        <v>45880</v>
      </c>
      <c r="G3" s="168">
        <v>45887</v>
      </c>
      <c r="H3" s="166">
        <v>45894</v>
      </c>
      <c r="I3" s="169" t="s">
        <v>129</v>
      </c>
      <c r="J3" s="516"/>
      <c r="K3" s="518"/>
    </row>
    <row r="4" spans="1:11" ht="15.75" customHeight="1" x14ac:dyDescent="0.25">
      <c r="A4" s="160" t="s">
        <v>421</v>
      </c>
      <c r="B4" s="88">
        <v>300</v>
      </c>
      <c r="C4" s="88">
        <v>40</v>
      </c>
      <c r="D4" s="162">
        <f>B4+C4</f>
        <v>340</v>
      </c>
      <c r="E4" s="88">
        <v>60</v>
      </c>
      <c r="F4" s="88">
        <v>0</v>
      </c>
      <c r="G4" s="88">
        <v>0</v>
      </c>
      <c r="H4" s="88">
        <v>0</v>
      </c>
      <c r="I4" s="162">
        <f>E4+F4+G4+H4</f>
        <v>60</v>
      </c>
      <c r="J4" s="170">
        <f>E4+F4</f>
        <v>60</v>
      </c>
      <c r="K4" s="171">
        <f>D4+I4</f>
        <v>400</v>
      </c>
    </row>
    <row r="5" spans="1:11" ht="15.75" customHeight="1" x14ac:dyDescent="0.25">
      <c r="A5" s="113" t="s">
        <v>224</v>
      </c>
      <c r="B5" s="88">
        <v>400</v>
      </c>
      <c r="C5" s="88">
        <v>0</v>
      </c>
      <c r="D5" s="162">
        <f>B5+C5</f>
        <v>400</v>
      </c>
      <c r="E5" s="88">
        <v>200</v>
      </c>
      <c r="F5" s="88">
        <v>0</v>
      </c>
      <c r="G5" s="88">
        <v>0</v>
      </c>
      <c r="H5" s="88">
        <v>0</v>
      </c>
      <c r="I5" s="162">
        <f>E5+F5+G5+H5</f>
        <v>200</v>
      </c>
      <c r="J5" s="170">
        <f>E5+F5</f>
        <v>200</v>
      </c>
      <c r="K5" s="171">
        <f>D5+I5</f>
        <v>600</v>
      </c>
    </row>
    <row r="6" spans="1:11" ht="15.75" customHeight="1" x14ac:dyDescent="0.25">
      <c r="A6" s="113" t="s">
        <v>147</v>
      </c>
      <c r="B6" s="88">
        <v>101</v>
      </c>
      <c r="C6" s="88">
        <v>0</v>
      </c>
      <c r="D6" s="162">
        <f>B6+C6</f>
        <v>101</v>
      </c>
      <c r="E6" s="88">
        <v>0</v>
      </c>
      <c r="F6" s="88">
        <v>364</v>
      </c>
      <c r="G6" s="88">
        <v>0</v>
      </c>
      <c r="H6" s="88">
        <v>0</v>
      </c>
      <c r="I6" s="162">
        <f>E6+F6+G6+H6</f>
        <v>364</v>
      </c>
      <c r="J6" s="170">
        <f>E6+F6</f>
        <v>364</v>
      </c>
      <c r="K6" s="171">
        <f>D6+I6</f>
        <v>465</v>
      </c>
    </row>
    <row r="7" spans="1:11" ht="15.75" customHeight="1" x14ac:dyDescent="0.25">
      <c r="A7" s="107" t="s">
        <v>401</v>
      </c>
      <c r="B7" s="108">
        <f t="shared" ref="B7:J7" si="0">B4</f>
        <v>300</v>
      </c>
      <c r="C7" s="108">
        <f t="shared" si="0"/>
        <v>40</v>
      </c>
      <c r="D7" s="108">
        <f t="shared" si="0"/>
        <v>340</v>
      </c>
      <c r="E7" s="108">
        <f t="shared" si="0"/>
        <v>60</v>
      </c>
      <c r="F7" s="108">
        <f t="shared" si="0"/>
        <v>0</v>
      </c>
      <c r="G7" s="108">
        <f t="shared" si="0"/>
        <v>0</v>
      </c>
      <c r="H7" s="108">
        <f t="shared" si="0"/>
        <v>0</v>
      </c>
      <c r="I7" s="108">
        <f t="shared" si="0"/>
        <v>60</v>
      </c>
      <c r="J7" s="172">
        <f t="shared" si="0"/>
        <v>60</v>
      </c>
      <c r="K7" s="173">
        <f>D4+I4</f>
        <v>400</v>
      </c>
    </row>
    <row r="9" spans="1:11" ht="18" customHeight="1" x14ac:dyDescent="0.25">
      <c r="A9" s="519" t="s">
        <v>565</v>
      </c>
      <c r="B9" s="520"/>
      <c r="C9" s="520"/>
      <c r="D9" s="520"/>
      <c r="E9" s="520"/>
      <c r="F9" s="520"/>
      <c r="G9" s="520"/>
      <c r="H9" s="520"/>
      <c r="I9" s="520"/>
      <c r="J9" s="520"/>
      <c r="K9" s="521"/>
    </row>
    <row r="10" spans="1:11" ht="20.25" customHeight="1" x14ac:dyDescent="0.25">
      <c r="A10" s="522" t="s">
        <v>181</v>
      </c>
      <c r="B10" s="514" t="s">
        <v>544</v>
      </c>
      <c r="C10" s="467"/>
      <c r="D10" s="469"/>
      <c r="E10" s="514" t="s">
        <v>545</v>
      </c>
      <c r="F10" s="467"/>
      <c r="G10" s="467"/>
      <c r="H10" s="467"/>
      <c r="I10" s="469"/>
      <c r="J10" s="515" t="s">
        <v>566</v>
      </c>
      <c r="K10" s="517" t="s">
        <v>416</v>
      </c>
    </row>
    <row r="11" spans="1:11" ht="15.75" customHeight="1" x14ac:dyDescent="0.25">
      <c r="A11" s="523"/>
      <c r="B11" s="166">
        <v>45859</v>
      </c>
      <c r="C11" s="166">
        <v>45866</v>
      </c>
      <c r="D11" s="167" t="s">
        <v>129</v>
      </c>
      <c r="E11" s="166">
        <v>45873</v>
      </c>
      <c r="F11" s="168">
        <v>45880</v>
      </c>
      <c r="G11" s="168">
        <v>45887</v>
      </c>
      <c r="H11" s="166">
        <v>45894</v>
      </c>
      <c r="I11" s="169" t="s">
        <v>129</v>
      </c>
      <c r="J11" s="516"/>
      <c r="K11" s="518"/>
    </row>
    <row r="12" spans="1:11" ht="15.75" customHeight="1" x14ac:dyDescent="0.25">
      <c r="A12" s="160" t="s">
        <v>421</v>
      </c>
      <c r="B12" s="88">
        <v>140</v>
      </c>
      <c r="C12" s="88">
        <v>20</v>
      </c>
      <c r="D12" s="162">
        <f>B12+C12</f>
        <v>160</v>
      </c>
      <c r="E12" s="88">
        <v>100</v>
      </c>
      <c r="F12" s="88">
        <v>140</v>
      </c>
      <c r="G12" s="88">
        <v>0</v>
      </c>
      <c r="H12" s="88">
        <v>0</v>
      </c>
      <c r="I12" s="162">
        <f>E12+F12+G12+H12</f>
        <v>240</v>
      </c>
      <c r="J12" s="170">
        <f>E12+F12</f>
        <v>240</v>
      </c>
      <c r="K12" s="171">
        <f>D12+I12</f>
        <v>400</v>
      </c>
    </row>
    <row r="13" spans="1:11" ht="15.75" customHeight="1" x14ac:dyDescent="0.25">
      <c r="A13" s="113" t="s">
        <v>224</v>
      </c>
      <c r="B13" s="88">
        <v>0</v>
      </c>
      <c r="C13" s="88">
        <v>0</v>
      </c>
      <c r="D13" s="162">
        <f>B13+C13</f>
        <v>0</v>
      </c>
      <c r="E13" s="88">
        <v>0</v>
      </c>
      <c r="F13" s="88">
        <v>600</v>
      </c>
      <c r="G13" s="88">
        <v>0</v>
      </c>
      <c r="H13" s="88">
        <v>0</v>
      </c>
      <c r="I13" s="162">
        <f>E13+F13+G13+H13</f>
        <v>600</v>
      </c>
      <c r="J13" s="170">
        <f>E13+F13</f>
        <v>600</v>
      </c>
      <c r="K13" s="171">
        <f>D13+I13</f>
        <v>600</v>
      </c>
    </row>
    <row r="14" spans="1:11" ht="15.75" customHeight="1" x14ac:dyDescent="0.25">
      <c r="A14" s="113" t="s">
        <v>147</v>
      </c>
      <c r="B14" s="88">
        <v>0</v>
      </c>
      <c r="C14" s="88">
        <v>0</v>
      </c>
      <c r="D14" s="162">
        <f>B14+C14</f>
        <v>0</v>
      </c>
      <c r="E14" s="88">
        <v>100</v>
      </c>
      <c r="F14" s="88">
        <v>200</v>
      </c>
      <c r="G14" s="88">
        <v>0</v>
      </c>
      <c r="H14" s="88">
        <v>0</v>
      </c>
      <c r="I14" s="162">
        <f>E14+F14+G14+H14</f>
        <v>300</v>
      </c>
      <c r="J14" s="170">
        <f>E14+F14</f>
        <v>300</v>
      </c>
      <c r="K14" s="171">
        <f>D14+I14</f>
        <v>300</v>
      </c>
    </row>
    <row r="15" spans="1:11" ht="15.75" customHeight="1" x14ac:dyDescent="0.25">
      <c r="A15" s="107" t="s">
        <v>401</v>
      </c>
      <c r="B15" s="108">
        <f t="shared" ref="B15:J15" si="1">B12</f>
        <v>140</v>
      </c>
      <c r="C15" s="108">
        <f t="shared" si="1"/>
        <v>20</v>
      </c>
      <c r="D15" s="108">
        <f t="shared" si="1"/>
        <v>160</v>
      </c>
      <c r="E15" s="108">
        <f t="shared" si="1"/>
        <v>100</v>
      </c>
      <c r="F15" s="108">
        <f t="shared" si="1"/>
        <v>140</v>
      </c>
      <c r="G15" s="108">
        <f t="shared" si="1"/>
        <v>0</v>
      </c>
      <c r="H15" s="108">
        <f t="shared" si="1"/>
        <v>0</v>
      </c>
      <c r="I15" s="108">
        <f t="shared" si="1"/>
        <v>240</v>
      </c>
      <c r="J15" s="172">
        <f t="shared" si="1"/>
        <v>240</v>
      </c>
      <c r="K15" s="173">
        <f>D12+I12</f>
        <v>400</v>
      </c>
    </row>
    <row r="17" spans="1:11" ht="15.75" customHeight="1" x14ac:dyDescent="0.25">
      <c r="A17" s="519" t="s">
        <v>565</v>
      </c>
      <c r="B17" s="520"/>
      <c r="C17" s="520"/>
      <c r="D17" s="520"/>
      <c r="E17" s="520"/>
      <c r="F17" s="520"/>
      <c r="G17" s="520"/>
      <c r="H17" s="520"/>
      <c r="I17" s="520"/>
      <c r="J17" s="520"/>
      <c r="K17" s="521"/>
    </row>
    <row r="18" spans="1:11" ht="15.75" customHeight="1" x14ac:dyDescent="0.25">
      <c r="A18" s="522" t="s">
        <v>209</v>
      </c>
      <c r="B18" s="514" t="s">
        <v>544</v>
      </c>
      <c r="C18" s="467"/>
      <c r="D18" s="469"/>
      <c r="E18" s="514" t="s">
        <v>545</v>
      </c>
      <c r="F18" s="467"/>
      <c r="G18" s="467"/>
      <c r="H18" s="467"/>
      <c r="I18" s="469"/>
      <c r="J18" s="515" t="s">
        <v>566</v>
      </c>
      <c r="K18" s="517" t="s">
        <v>416</v>
      </c>
    </row>
    <row r="19" spans="1:11" ht="15.75" customHeight="1" x14ac:dyDescent="0.25">
      <c r="A19" s="523"/>
      <c r="B19" s="166">
        <v>45859</v>
      </c>
      <c r="C19" s="166">
        <v>45866</v>
      </c>
      <c r="D19" s="167" t="s">
        <v>129</v>
      </c>
      <c r="E19" s="166">
        <v>45873</v>
      </c>
      <c r="F19" s="168">
        <v>45880</v>
      </c>
      <c r="G19" s="168">
        <v>45887</v>
      </c>
      <c r="H19" s="166">
        <v>45894</v>
      </c>
      <c r="I19" s="169" t="s">
        <v>129</v>
      </c>
      <c r="J19" s="516"/>
      <c r="K19" s="518"/>
    </row>
    <row r="20" spans="1:11" ht="15.75" customHeight="1" x14ac:dyDescent="0.25">
      <c r="A20" s="160" t="s">
        <v>421</v>
      </c>
      <c r="B20" s="88">
        <v>0</v>
      </c>
      <c r="C20" s="88">
        <v>100</v>
      </c>
      <c r="D20" s="162">
        <f>B20+C20</f>
        <v>100</v>
      </c>
      <c r="E20" s="88">
        <v>60</v>
      </c>
      <c r="F20" s="88">
        <v>300</v>
      </c>
      <c r="G20" s="88">
        <v>60</v>
      </c>
      <c r="H20" s="88">
        <v>80</v>
      </c>
      <c r="I20" s="162">
        <f>E20+F20+G20+H20</f>
        <v>500</v>
      </c>
      <c r="J20" s="170">
        <f>E20+F20</f>
        <v>360</v>
      </c>
      <c r="K20" s="171">
        <f>D20+I20</f>
        <v>600</v>
      </c>
    </row>
    <row r="21" spans="1:11" ht="15.75" customHeight="1" x14ac:dyDescent="0.25">
      <c r="A21" s="113" t="s">
        <v>224</v>
      </c>
      <c r="B21" s="88">
        <v>400</v>
      </c>
      <c r="C21" s="88">
        <v>200</v>
      </c>
      <c r="D21" s="162">
        <f>B21+C21</f>
        <v>600</v>
      </c>
      <c r="E21" s="88">
        <v>0</v>
      </c>
      <c r="F21" s="88">
        <v>400</v>
      </c>
      <c r="G21" s="88">
        <v>0</v>
      </c>
      <c r="H21" s="88">
        <v>0</v>
      </c>
      <c r="I21" s="162">
        <f>E21+F21+G21+H21</f>
        <v>400</v>
      </c>
      <c r="J21" s="170">
        <f>E21+F21</f>
        <v>400</v>
      </c>
      <c r="K21" s="171">
        <f>D21+I21</f>
        <v>1000</v>
      </c>
    </row>
    <row r="22" spans="1:11" ht="15.75" customHeight="1" x14ac:dyDescent="0.25">
      <c r="A22" s="113" t="s">
        <v>147</v>
      </c>
      <c r="B22" s="88">
        <v>0</v>
      </c>
      <c r="C22" s="88">
        <v>0</v>
      </c>
      <c r="D22" s="162">
        <f>B22+C22</f>
        <v>0</v>
      </c>
      <c r="E22" s="88">
        <v>300</v>
      </c>
      <c r="F22" s="88">
        <v>0</v>
      </c>
      <c r="G22" s="88">
        <v>0</v>
      </c>
      <c r="H22" s="88">
        <v>0</v>
      </c>
      <c r="I22" s="162">
        <f>E22+F22+G22+H22</f>
        <v>300</v>
      </c>
      <c r="J22" s="170">
        <f>E22+F22</f>
        <v>300</v>
      </c>
      <c r="K22" s="171">
        <f>D22+I22</f>
        <v>300</v>
      </c>
    </row>
    <row r="23" spans="1:11" ht="15.75" customHeight="1" x14ac:dyDescent="0.25">
      <c r="A23" s="107" t="s">
        <v>401</v>
      </c>
      <c r="B23" s="108">
        <f t="shared" ref="B23:J23" si="2">B20</f>
        <v>0</v>
      </c>
      <c r="C23" s="108">
        <f t="shared" si="2"/>
        <v>100</v>
      </c>
      <c r="D23" s="108">
        <f t="shared" si="2"/>
        <v>100</v>
      </c>
      <c r="E23" s="108">
        <f t="shared" si="2"/>
        <v>60</v>
      </c>
      <c r="F23" s="108">
        <f t="shared" si="2"/>
        <v>300</v>
      </c>
      <c r="G23" s="108">
        <f t="shared" si="2"/>
        <v>60</v>
      </c>
      <c r="H23" s="108">
        <f t="shared" si="2"/>
        <v>80</v>
      </c>
      <c r="I23" s="108">
        <f t="shared" si="2"/>
        <v>500</v>
      </c>
      <c r="J23" s="172">
        <f t="shared" si="2"/>
        <v>360</v>
      </c>
      <c r="K23" s="173">
        <f>D20+I20</f>
        <v>600</v>
      </c>
    </row>
    <row r="25" spans="1:11" ht="15.75" customHeight="1" x14ac:dyDescent="0.25">
      <c r="A25" s="519" t="s">
        <v>565</v>
      </c>
      <c r="B25" s="520"/>
      <c r="C25" s="520"/>
      <c r="D25" s="520"/>
      <c r="E25" s="520"/>
      <c r="F25" s="520"/>
      <c r="G25" s="520"/>
      <c r="H25" s="520"/>
      <c r="I25" s="520"/>
      <c r="J25" s="520"/>
      <c r="K25" s="521"/>
    </row>
    <row r="26" spans="1:11" ht="15.75" customHeight="1" x14ac:dyDescent="0.25">
      <c r="A26" s="522" t="s">
        <v>222</v>
      </c>
      <c r="B26" s="514" t="s">
        <v>544</v>
      </c>
      <c r="C26" s="467"/>
      <c r="D26" s="469"/>
      <c r="E26" s="514" t="s">
        <v>545</v>
      </c>
      <c r="F26" s="467"/>
      <c r="G26" s="467"/>
      <c r="H26" s="467"/>
      <c r="I26" s="469"/>
      <c r="J26" s="515" t="s">
        <v>566</v>
      </c>
      <c r="K26" s="517" t="s">
        <v>416</v>
      </c>
    </row>
    <row r="27" spans="1:11" ht="15.75" customHeight="1" x14ac:dyDescent="0.25">
      <c r="A27" s="523"/>
      <c r="B27" s="166">
        <v>45859</v>
      </c>
      <c r="C27" s="166">
        <v>45866</v>
      </c>
      <c r="D27" s="167" t="s">
        <v>129</v>
      </c>
      <c r="E27" s="166">
        <v>45873</v>
      </c>
      <c r="F27" s="168">
        <v>45880</v>
      </c>
      <c r="G27" s="168">
        <v>45887</v>
      </c>
      <c r="H27" s="166">
        <v>45894</v>
      </c>
      <c r="I27" s="169" t="s">
        <v>129</v>
      </c>
      <c r="J27" s="516"/>
      <c r="K27" s="518"/>
    </row>
    <row r="28" spans="1:11" ht="15.75" customHeight="1" x14ac:dyDescent="0.25">
      <c r="A28" s="160" t="s">
        <v>421</v>
      </c>
      <c r="B28" s="88">
        <v>65</v>
      </c>
      <c r="C28" s="88">
        <v>30</v>
      </c>
      <c r="D28" s="162">
        <f>B28+C28</f>
        <v>95</v>
      </c>
      <c r="E28" s="88">
        <v>105</v>
      </c>
      <c r="F28" s="88">
        <v>170</v>
      </c>
      <c r="G28" s="88">
        <v>30</v>
      </c>
      <c r="H28" s="88">
        <v>0</v>
      </c>
      <c r="I28" s="162">
        <f>E28+F28+G28+H28</f>
        <v>305</v>
      </c>
      <c r="J28" s="170">
        <f>E28+F28</f>
        <v>275</v>
      </c>
      <c r="K28" s="171">
        <f>D28+I28</f>
        <v>400</v>
      </c>
    </row>
    <row r="29" spans="1:11" ht="15.75" customHeight="1" x14ac:dyDescent="0.25">
      <c r="A29" s="113" t="s">
        <v>224</v>
      </c>
      <c r="B29" s="88">
        <v>0</v>
      </c>
      <c r="C29" s="88">
        <v>400</v>
      </c>
      <c r="D29" s="162">
        <f>B29+C29</f>
        <v>400</v>
      </c>
      <c r="E29" s="88">
        <v>200</v>
      </c>
      <c r="F29" s="88">
        <v>200</v>
      </c>
      <c r="G29" s="88">
        <v>200</v>
      </c>
      <c r="H29" s="88">
        <v>0</v>
      </c>
      <c r="I29" s="162">
        <f>E29+F29+G29+H29</f>
        <v>600</v>
      </c>
      <c r="J29" s="170">
        <f>E29+F29</f>
        <v>400</v>
      </c>
      <c r="K29" s="171">
        <f>D29+I29</f>
        <v>1000</v>
      </c>
    </row>
    <row r="30" spans="1:11" ht="15.75" customHeight="1" x14ac:dyDescent="0.25">
      <c r="A30" s="113" t="s">
        <v>147</v>
      </c>
      <c r="B30" s="88">
        <v>0</v>
      </c>
      <c r="C30" s="88">
        <v>0</v>
      </c>
      <c r="D30" s="162">
        <f>B30+C30</f>
        <v>0</v>
      </c>
      <c r="E30" s="88">
        <v>300</v>
      </c>
      <c r="F30" s="88">
        <v>0</v>
      </c>
      <c r="G30" s="88">
        <v>0</v>
      </c>
      <c r="H30" s="88">
        <v>0</v>
      </c>
      <c r="I30" s="162">
        <f>E30+F30+G30+H30</f>
        <v>300</v>
      </c>
      <c r="J30" s="170">
        <f>E30+F30</f>
        <v>300</v>
      </c>
      <c r="K30" s="171">
        <f>D30+I30</f>
        <v>300</v>
      </c>
    </row>
    <row r="31" spans="1:11" ht="15.75" customHeight="1" x14ac:dyDescent="0.25">
      <c r="A31" s="107" t="s">
        <v>401</v>
      </c>
      <c r="B31" s="108">
        <f t="shared" ref="B31:J31" si="3">B28</f>
        <v>65</v>
      </c>
      <c r="C31" s="108">
        <f t="shared" si="3"/>
        <v>30</v>
      </c>
      <c r="D31" s="108">
        <f t="shared" si="3"/>
        <v>95</v>
      </c>
      <c r="E31" s="108">
        <f t="shared" si="3"/>
        <v>105</v>
      </c>
      <c r="F31" s="108">
        <f t="shared" si="3"/>
        <v>170</v>
      </c>
      <c r="G31" s="108">
        <f t="shared" si="3"/>
        <v>30</v>
      </c>
      <c r="H31" s="108">
        <f t="shared" si="3"/>
        <v>0</v>
      </c>
      <c r="I31" s="108">
        <f t="shared" si="3"/>
        <v>305</v>
      </c>
      <c r="J31" s="172">
        <f t="shared" si="3"/>
        <v>275</v>
      </c>
      <c r="K31" s="173">
        <f>D28+I28</f>
        <v>400</v>
      </c>
    </row>
    <row r="33" spans="1:11" ht="15.75" customHeight="1" x14ac:dyDescent="0.25">
      <c r="A33" s="519" t="s">
        <v>565</v>
      </c>
      <c r="B33" s="520"/>
      <c r="C33" s="520"/>
      <c r="D33" s="520"/>
      <c r="E33" s="520"/>
      <c r="F33" s="520"/>
      <c r="G33" s="520"/>
      <c r="H33" s="520"/>
      <c r="I33" s="520"/>
      <c r="J33" s="520"/>
      <c r="K33" s="521"/>
    </row>
    <row r="34" spans="1:11" ht="15.75" customHeight="1" x14ac:dyDescent="0.25">
      <c r="A34" s="522" t="s">
        <v>402</v>
      </c>
      <c r="B34" s="514" t="s">
        <v>544</v>
      </c>
      <c r="C34" s="467"/>
      <c r="D34" s="469"/>
      <c r="E34" s="514" t="s">
        <v>545</v>
      </c>
      <c r="F34" s="467"/>
      <c r="G34" s="467"/>
      <c r="H34" s="467"/>
      <c r="I34" s="469"/>
      <c r="J34" s="515" t="s">
        <v>566</v>
      </c>
      <c r="K34" s="517" t="s">
        <v>416</v>
      </c>
    </row>
    <row r="35" spans="1:11" ht="15.75" customHeight="1" x14ac:dyDescent="0.25">
      <c r="A35" s="523"/>
      <c r="B35" s="166">
        <v>45859</v>
      </c>
      <c r="C35" s="166">
        <v>45866</v>
      </c>
      <c r="D35" s="167" t="s">
        <v>129</v>
      </c>
      <c r="E35" s="166">
        <v>45873</v>
      </c>
      <c r="F35" s="168">
        <v>45880</v>
      </c>
      <c r="G35" s="168">
        <v>45887</v>
      </c>
      <c r="H35" s="166">
        <v>45894</v>
      </c>
      <c r="I35" s="169" t="s">
        <v>129</v>
      </c>
      <c r="J35" s="516"/>
      <c r="K35" s="518"/>
    </row>
    <row r="36" spans="1:11" ht="15.75" customHeight="1" x14ac:dyDescent="0.25">
      <c r="A36" s="160" t="s">
        <v>421</v>
      </c>
      <c r="B36" s="88">
        <v>5</v>
      </c>
      <c r="C36" s="88">
        <v>195</v>
      </c>
      <c r="D36" s="162">
        <f>B36+C36</f>
        <v>200</v>
      </c>
      <c r="E36" s="88">
        <v>141</v>
      </c>
      <c r="F36" s="88">
        <v>454</v>
      </c>
      <c r="G36" s="88">
        <v>0</v>
      </c>
      <c r="H36" s="88">
        <v>0</v>
      </c>
      <c r="I36" s="162">
        <f>E36+F36+G36+H36</f>
        <v>595</v>
      </c>
      <c r="J36" s="170">
        <f>E36+F36</f>
        <v>595</v>
      </c>
      <c r="K36" s="171">
        <f>D36+I36</f>
        <v>795</v>
      </c>
    </row>
    <row r="37" spans="1:11" ht="15.75" customHeight="1" x14ac:dyDescent="0.25">
      <c r="A37" s="113" t="s">
        <v>224</v>
      </c>
      <c r="B37" s="88">
        <v>400</v>
      </c>
      <c r="C37" s="88">
        <v>0</v>
      </c>
      <c r="D37" s="162">
        <f>B37+C37</f>
        <v>400</v>
      </c>
      <c r="E37" s="88">
        <v>200</v>
      </c>
      <c r="F37" s="88">
        <v>0</v>
      </c>
      <c r="G37" s="88">
        <v>0</v>
      </c>
      <c r="H37" s="88">
        <v>0</v>
      </c>
      <c r="I37" s="162">
        <f>E37+F37+G37+H37</f>
        <v>200</v>
      </c>
      <c r="J37" s="170">
        <f>E37+F37</f>
        <v>200</v>
      </c>
      <c r="K37" s="171">
        <f>D37+I37</f>
        <v>600</v>
      </c>
    </row>
    <row r="38" spans="1:11" ht="15.75" customHeight="1" x14ac:dyDescent="0.25">
      <c r="A38" s="113" t="s">
        <v>147</v>
      </c>
      <c r="B38" s="88">
        <v>0</v>
      </c>
      <c r="C38" s="88">
        <v>300</v>
      </c>
      <c r="D38" s="162">
        <f>B38+C38</f>
        <v>300</v>
      </c>
      <c r="E38" s="88">
        <v>0</v>
      </c>
      <c r="F38" s="88">
        <v>0</v>
      </c>
      <c r="G38" s="88">
        <v>0</v>
      </c>
      <c r="H38" s="88">
        <v>0</v>
      </c>
      <c r="I38" s="162">
        <f>E38+F38+G38+H38</f>
        <v>0</v>
      </c>
      <c r="J38" s="170">
        <f>E38+F38</f>
        <v>0</v>
      </c>
      <c r="K38" s="171">
        <f>D38+I38</f>
        <v>300</v>
      </c>
    </row>
    <row r="39" spans="1:11" ht="15.75" customHeight="1" x14ac:dyDescent="0.25">
      <c r="A39" s="107" t="s">
        <v>401</v>
      </c>
      <c r="B39" s="108">
        <f t="shared" ref="B39:J39" si="4">B36</f>
        <v>5</v>
      </c>
      <c r="C39" s="108">
        <f t="shared" si="4"/>
        <v>195</v>
      </c>
      <c r="D39" s="108">
        <f t="shared" si="4"/>
        <v>200</v>
      </c>
      <c r="E39" s="108">
        <f t="shared" si="4"/>
        <v>141</v>
      </c>
      <c r="F39" s="108">
        <f t="shared" si="4"/>
        <v>454</v>
      </c>
      <c r="G39" s="108">
        <f t="shared" si="4"/>
        <v>0</v>
      </c>
      <c r="H39" s="108">
        <f t="shared" si="4"/>
        <v>0</v>
      </c>
      <c r="I39" s="108">
        <f t="shared" si="4"/>
        <v>595</v>
      </c>
      <c r="J39" s="172">
        <f t="shared" si="4"/>
        <v>595</v>
      </c>
      <c r="K39" s="173">
        <f>D36+I36</f>
        <v>795</v>
      </c>
    </row>
    <row r="41" spans="1:11" ht="15.75" customHeight="1" x14ac:dyDescent="0.25">
      <c r="A41" s="519" t="s">
        <v>565</v>
      </c>
      <c r="B41" s="520"/>
      <c r="C41" s="520"/>
      <c r="D41" s="520"/>
      <c r="E41" s="520"/>
      <c r="F41" s="520"/>
      <c r="G41" s="520"/>
      <c r="H41" s="520"/>
      <c r="I41" s="520"/>
      <c r="J41" s="520"/>
      <c r="K41" s="521"/>
    </row>
    <row r="42" spans="1:11" ht="15.75" customHeight="1" x14ac:dyDescent="0.25">
      <c r="A42" s="522" t="s">
        <v>244</v>
      </c>
      <c r="B42" s="514" t="s">
        <v>544</v>
      </c>
      <c r="C42" s="467"/>
      <c r="D42" s="469"/>
      <c r="E42" s="514" t="s">
        <v>545</v>
      </c>
      <c r="F42" s="467"/>
      <c r="G42" s="467"/>
      <c r="H42" s="467"/>
      <c r="I42" s="469"/>
      <c r="J42" s="515" t="s">
        <v>566</v>
      </c>
      <c r="K42" s="517" t="s">
        <v>416</v>
      </c>
    </row>
    <row r="43" spans="1:11" ht="15.75" customHeight="1" x14ac:dyDescent="0.25">
      <c r="A43" s="523"/>
      <c r="B43" s="166">
        <v>45859</v>
      </c>
      <c r="C43" s="166">
        <v>45866</v>
      </c>
      <c r="D43" s="167" t="s">
        <v>129</v>
      </c>
      <c r="E43" s="166">
        <v>45873</v>
      </c>
      <c r="F43" s="168">
        <v>45880</v>
      </c>
      <c r="G43" s="168">
        <v>45887</v>
      </c>
      <c r="H43" s="166">
        <v>45894</v>
      </c>
      <c r="I43" s="169" t="s">
        <v>129</v>
      </c>
      <c r="J43" s="516"/>
      <c r="K43" s="518"/>
    </row>
    <row r="44" spans="1:11" ht="15.75" customHeight="1" x14ac:dyDescent="0.25">
      <c r="A44" s="160" t="s">
        <v>421</v>
      </c>
      <c r="B44" s="88">
        <v>60</v>
      </c>
      <c r="C44" s="88">
        <v>100</v>
      </c>
      <c r="D44" s="162">
        <f>B44+C44</f>
        <v>160</v>
      </c>
      <c r="E44" s="88">
        <v>0</v>
      </c>
      <c r="F44" s="88">
        <v>40</v>
      </c>
      <c r="G44" s="88">
        <v>0</v>
      </c>
      <c r="H44" s="88">
        <v>0</v>
      </c>
      <c r="I44" s="162">
        <f>E44+F44+G44+H44</f>
        <v>40</v>
      </c>
      <c r="J44" s="170">
        <f>E44+F44</f>
        <v>40</v>
      </c>
      <c r="K44" s="171">
        <f>D44+I44</f>
        <v>200</v>
      </c>
    </row>
    <row r="45" spans="1:11" ht="15.75" customHeight="1" x14ac:dyDescent="0.25">
      <c r="A45" s="113" t="s">
        <v>224</v>
      </c>
      <c r="B45" s="88">
        <v>200</v>
      </c>
      <c r="C45" s="88">
        <v>0</v>
      </c>
      <c r="D45" s="162">
        <f>B45+C45</f>
        <v>200</v>
      </c>
      <c r="E45" s="88">
        <v>200</v>
      </c>
      <c r="F45" s="88">
        <v>200</v>
      </c>
      <c r="G45" s="88">
        <v>0</v>
      </c>
      <c r="H45" s="88">
        <v>0</v>
      </c>
      <c r="I45" s="162">
        <f>E45+F45+G45+H45</f>
        <v>400</v>
      </c>
      <c r="J45" s="170">
        <f>E45+F45</f>
        <v>400</v>
      </c>
      <c r="K45" s="171">
        <f>D45+I45</f>
        <v>600</v>
      </c>
    </row>
    <row r="46" spans="1:11" ht="15.75" customHeight="1" x14ac:dyDescent="0.25">
      <c r="A46" s="113" t="s">
        <v>147</v>
      </c>
      <c r="B46" s="88">
        <v>0</v>
      </c>
      <c r="C46" s="88">
        <v>0</v>
      </c>
      <c r="D46" s="162">
        <f>B46+C46</f>
        <v>0</v>
      </c>
      <c r="E46" s="88">
        <v>0</v>
      </c>
      <c r="F46" s="88">
        <v>130</v>
      </c>
      <c r="G46" s="88">
        <v>0</v>
      </c>
      <c r="H46" s="88">
        <v>0</v>
      </c>
      <c r="I46" s="162">
        <f>E46+F46+G46+H46</f>
        <v>130</v>
      </c>
      <c r="J46" s="170">
        <f>E46+F46</f>
        <v>130</v>
      </c>
      <c r="K46" s="171">
        <f>D46+I46</f>
        <v>130</v>
      </c>
    </row>
    <row r="47" spans="1:11" ht="15.75" customHeight="1" x14ac:dyDescent="0.25">
      <c r="A47" s="107" t="s">
        <v>401</v>
      </c>
      <c r="B47" s="108">
        <f t="shared" ref="B47:J47" si="5">B44</f>
        <v>60</v>
      </c>
      <c r="C47" s="108">
        <f t="shared" si="5"/>
        <v>100</v>
      </c>
      <c r="D47" s="108">
        <f t="shared" si="5"/>
        <v>160</v>
      </c>
      <c r="E47" s="108">
        <f t="shared" si="5"/>
        <v>0</v>
      </c>
      <c r="F47" s="108">
        <f t="shared" si="5"/>
        <v>40</v>
      </c>
      <c r="G47" s="108">
        <f t="shared" si="5"/>
        <v>0</v>
      </c>
      <c r="H47" s="108">
        <f t="shared" si="5"/>
        <v>0</v>
      </c>
      <c r="I47" s="108">
        <f t="shared" si="5"/>
        <v>40</v>
      </c>
      <c r="J47" s="172">
        <f t="shared" si="5"/>
        <v>40</v>
      </c>
      <c r="K47" s="173">
        <f>D44+I44</f>
        <v>200</v>
      </c>
    </row>
    <row r="49" spans="1:11" ht="15.75" customHeight="1" x14ac:dyDescent="0.25">
      <c r="A49" s="519" t="s">
        <v>565</v>
      </c>
      <c r="B49" s="520"/>
      <c r="C49" s="520"/>
      <c r="D49" s="520"/>
      <c r="E49" s="520"/>
      <c r="F49" s="520"/>
      <c r="G49" s="520"/>
      <c r="H49" s="520"/>
      <c r="I49" s="520"/>
      <c r="J49" s="520"/>
      <c r="K49" s="521"/>
    </row>
    <row r="50" spans="1:11" ht="15.75" customHeight="1" x14ac:dyDescent="0.25">
      <c r="A50" s="522" t="s">
        <v>248</v>
      </c>
      <c r="B50" s="514" t="s">
        <v>544</v>
      </c>
      <c r="C50" s="467"/>
      <c r="D50" s="469"/>
      <c r="E50" s="514" t="s">
        <v>545</v>
      </c>
      <c r="F50" s="467"/>
      <c r="G50" s="467"/>
      <c r="H50" s="467"/>
      <c r="I50" s="469"/>
      <c r="J50" s="515" t="s">
        <v>566</v>
      </c>
      <c r="K50" s="517" t="s">
        <v>416</v>
      </c>
    </row>
    <row r="51" spans="1:11" ht="15.75" customHeight="1" x14ac:dyDescent="0.25">
      <c r="A51" s="523"/>
      <c r="B51" s="166">
        <v>45859</v>
      </c>
      <c r="C51" s="166">
        <v>45866</v>
      </c>
      <c r="D51" s="167" t="s">
        <v>129</v>
      </c>
      <c r="E51" s="166">
        <v>45873</v>
      </c>
      <c r="F51" s="168">
        <v>45880</v>
      </c>
      <c r="G51" s="168">
        <v>45887</v>
      </c>
      <c r="H51" s="166">
        <v>45894</v>
      </c>
      <c r="I51" s="169" t="s">
        <v>129</v>
      </c>
      <c r="J51" s="516"/>
      <c r="K51" s="518"/>
    </row>
    <row r="52" spans="1:11" ht="15.75" customHeight="1" x14ac:dyDescent="0.25">
      <c r="A52" s="160" t="s">
        <v>421</v>
      </c>
      <c r="B52" s="88">
        <v>0</v>
      </c>
      <c r="C52" s="88">
        <v>50</v>
      </c>
      <c r="D52" s="162">
        <f>B52+C52</f>
        <v>50</v>
      </c>
      <c r="E52" s="88">
        <v>50</v>
      </c>
      <c r="F52" s="88">
        <v>100</v>
      </c>
      <c r="G52" s="88">
        <v>0</v>
      </c>
      <c r="H52" s="88">
        <v>0</v>
      </c>
      <c r="I52" s="162">
        <f>E52+F52+G52+H52</f>
        <v>150</v>
      </c>
      <c r="J52" s="170">
        <f>E52+F52</f>
        <v>150</v>
      </c>
      <c r="K52" s="171">
        <f>D52+I52</f>
        <v>200</v>
      </c>
    </row>
    <row r="53" spans="1:11" ht="15.75" customHeight="1" x14ac:dyDescent="0.25">
      <c r="A53" s="113" t="s">
        <v>224</v>
      </c>
      <c r="B53" s="88">
        <v>200</v>
      </c>
      <c r="C53" s="88">
        <v>200</v>
      </c>
      <c r="D53" s="162">
        <f>B53+C53</f>
        <v>400</v>
      </c>
      <c r="E53" s="88">
        <v>200</v>
      </c>
      <c r="F53" s="88">
        <v>0</v>
      </c>
      <c r="G53" s="88">
        <v>0</v>
      </c>
      <c r="H53" s="88">
        <v>0</v>
      </c>
      <c r="I53" s="162">
        <f>E53+F53+G53+H53</f>
        <v>200</v>
      </c>
      <c r="J53" s="170">
        <f>E53+F53</f>
        <v>200</v>
      </c>
      <c r="K53" s="171">
        <f>D53+I53</f>
        <v>600</v>
      </c>
    </row>
    <row r="54" spans="1:11" ht="15.75" customHeight="1" x14ac:dyDescent="0.25">
      <c r="A54" s="113" t="s">
        <v>147</v>
      </c>
      <c r="B54" s="88">
        <v>0</v>
      </c>
      <c r="C54" s="88">
        <v>0</v>
      </c>
      <c r="D54" s="162">
        <f>B54+C54</f>
        <v>0</v>
      </c>
      <c r="E54" s="88">
        <v>50</v>
      </c>
      <c r="F54" s="88">
        <v>0</v>
      </c>
      <c r="G54" s="88">
        <v>0</v>
      </c>
      <c r="H54" s="88">
        <v>0</v>
      </c>
      <c r="I54" s="162">
        <f>E54+F54+G54+H54</f>
        <v>50</v>
      </c>
      <c r="J54" s="170">
        <f>E54+F54</f>
        <v>50</v>
      </c>
      <c r="K54" s="171">
        <f>D54+I54</f>
        <v>50</v>
      </c>
    </row>
    <row r="55" spans="1:11" ht="15.75" customHeight="1" x14ac:dyDescent="0.25">
      <c r="A55" s="107" t="s">
        <v>401</v>
      </c>
      <c r="B55" s="108">
        <f t="shared" ref="B55:J55" si="6">B52</f>
        <v>0</v>
      </c>
      <c r="C55" s="108">
        <f t="shared" si="6"/>
        <v>50</v>
      </c>
      <c r="D55" s="108">
        <f t="shared" si="6"/>
        <v>50</v>
      </c>
      <c r="E55" s="108">
        <f t="shared" si="6"/>
        <v>50</v>
      </c>
      <c r="F55" s="108">
        <f t="shared" si="6"/>
        <v>100</v>
      </c>
      <c r="G55" s="108">
        <f t="shared" si="6"/>
        <v>0</v>
      </c>
      <c r="H55" s="108">
        <f t="shared" si="6"/>
        <v>0</v>
      </c>
      <c r="I55" s="108">
        <f t="shared" si="6"/>
        <v>150</v>
      </c>
      <c r="J55" s="172">
        <f t="shared" si="6"/>
        <v>150</v>
      </c>
      <c r="K55" s="173">
        <f>D52+I52</f>
        <v>200</v>
      </c>
    </row>
    <row r="57" spans="1:11" ht="15.75" customHeight="1" x14ac:dyDescent="0.25">
      <c r="A57" s="519" t="s">
        <v>565</v>
      </c>
      <c r="B57" s="520"/>
      <c r="C57" s="520"/>
      <c r="D57" s="520"/>
      <c r="E57" s="520"/>
      <c r="F57" s="520"/>
      <c r="G57" s="520"/>
      <c r="H57" s="520"/>
      <c r="I57" s="520"/>
      <c r="J57" s="520"/>
      <c r="K57" s="521"/>
    </row>
    <row r="58" spans="1:11" ht="15.75" customHeight="1" x14ac:dyDescent="0.25">
      <c r="A58" s="522" t="s">
        <v>323</v>
      </c>
      <c r="B58" s="514" t="s">
        <v>544</v>
      </c>
      <c r="C58" s="467"/>
      <c r="D58" s="469"/>
      <c r="E58" s="514" t="s">
        <v>545</v>
      </c>
      <c r="F58" s="467"/>
      <c r="G58" s="467"/>
      <c r="H58" s="467"/>
      <c r="I58" s="469"/>
      <c r="J58" s="515" t="s">
        <v>566</v>
      </c>
      <c r="K58" s="517" t="s">
        <v>416</v>
      </c>
    </row>
    <row r="59" spans="1:11" ht="15.75" customHeight="1" x14ac:dyDescent="0.25">
      <c r="A59" s="523"/>
      <c r="B59" s="166">
        <v>45859</v>
      </c>
      <c r="C59" s="166">
        <v>45866</v>
      </c>
      <c r="D59" s="167" t="s">
        <v>129</v>
      </c>
      <c r="E59" s="166">
        <v>45873</v>
      </c>
      <c r="F59" s="168">
        <v>45880</v>
      </c>
      <c r="G59" s="168">
        <v>45887</v>
      </c>
      <c r="H59" s="166">
        <v>45894</v>
      </c>
      <c r="I59" s="169" t="s">
        <v>129</v>
      </c>
      <c r="J59" s="516"/>
      <c r="K59" s="518"/>
    </row>
    <row r="60" spans="1:11" ht="15.75" customHeight="1" x14ac:dyDescent="0.25">
      <c r="A60" s="160" t="s">
        <v>421</v>
      </c>
      <c r="B60" s="88">
        <v>0</v>
      </c>
      <c r="C60" s="88">
        <v>40</v>
      </c>
      <c r="D60" s="162">
        <f>B60+C60</f>
        <v>40</v>
      </c>
      <c r="E60" s="88">
        <v>20</v>
      </c>
      <c r="F60" s="88">
        <v>110</v>
      </c>
      <c r="G60" s="88">
        <v>30</v>
      </c>
      <c r="H60" s="88">
        <v>0</v>
      </c>
      <c r="I60" s="162">
        <f>E60+F60+G60+H60</f>
        <v>160</v>
      </c>
      <c r="J60" s="170">
        <f>E60+F60</f>
        <v>130</v>
      </c>
      <c r="K60" s="171">
        <f>D60+I60</f>
        <v>200</v>
      </c>
    </row>
    <row r="61" spans="1:11" ht="15.75" customHeight="1" x14ac:dyDescent="0.25">
      <c r="A61" s="113" t="s">
        <v>224</v>
      </c>
      <c r="B61" s="88">
        <v>0</v>
      </c>
      <c r="C61" s="88">
        <v>200</v>
      </c>
      <c r="D61" s="162">
        <f>B61+C61</f>
        <v>200</v>
      </c>
      <c r="E61" s="88">
        <v>0</v>
      </c>
      <c r="F61" s="88">
        <v>200</v>
      </c>
      <c r="G61" s="88">
        <v>0</v>
      </c>
      <c r="H61" s="88">
        <v>0</v>
      </c>
      <c r="I61" s="162">
        <f>E61+F61+G61+H61</f>
        <v>200</v>
      </c>
      <c r="J61" s="170">
        <f>E61+F61</f>
        <v>200</v>
      </c>
      <c r="K61" s="171">
        <f>D61+I61</f>
        <v>400</v>
      </c>
    </row>
    <row r="62" spans="1:11" ht="15.75" customHeight="1" x14ac:dyDescent="0.25">
      <c r="A62" s="113" t="s">
        <v>147</v>
      </c>
      <c r="B62" s="88">
        <v>0</v>
      </c>
      <c r="C62" s="88">
        <v>0</v>
      </c>
      <c r="D62" s="162">
        <f>B62+C62</f>
        <v>0</v>
      </c>
      <c r="E62" s="88">
        <v>145</v>
      </c>
      <c r="F62" s="88">
        <v>0</v>
      </c>
      <c r="G62" s="88">
        <v>0</v>
      </c>
      <c r="H62" s="88">
        <v>0</v>
      </c>
      <c r="I62" s="162">
        <f>E62+F62+G62+H62</f>
        <v>145</v>
      </c>
      <c r="J62" s="170">
        <f>E62+F62</f>
        <v>145</v>
      </c>
      <c r="K62" s="171">
        <f>D62+I62</f>
        <v>145</v>
      </c>
    </row>
    <row r="63" spans="1:11" ht="15.75" customHeight="1" x14ac:dyDescent="0.25">
      <c r="A63" s="107" t="s">
        <v>401</v>
      </c>
      <c r="B63" s="108">
        <f t="shared" ref="B63:J63" si="7">B60</f>
        <v>0</v>
      </c>
      <c r="C63" s="108">
        <f t="shared" si="7"/>
        <v>40</v>
      </c>
      <c r="D63" s="108">
        <f t="shared" si="7"/>
        <v>40</v>
      </c>
      <c r="E63" s="108">
        <f t="shared" si="7"/>
        <v>20</v>
      </c>
      <c r="F63" s="108">
        <f t="shared" si="7"/>
        <v>110</v>
      </c>
      <c r="G63" s="108">
        <f t="shared" si="7"/>
        <v>30</v>
      </c>
      <c r="H63" s="108">
        <f t="shared" si="7"/>
        <v>0</v>
      </c>
      <c r="I63" s="108">
        <f t="shared" si="7"/>
        <v>160</v>
      </c>
      <c r="J63" s="172">
        <f t="shared" si="7"/>
        <v>130</v>
      </c>
      <c r="K63" s="173">
        <f>D60+I60</f>
        <v>200</v>
      </c>
    </row>
    <row r="65" spans="1:11" ht="15.75" customHeight="1" x14ac:dyDescent="0.25">
      <c r="A65" s="519" t="s">
        <v>565</v>
      </c>
      <c r="B65" s="520"/>
      <c r="C65" s="520"/>
      <c r="D65" s="520"/>
      <c r="E65" s="520"/>
      <c r="F65" s="520"/>
      <c r="G65" s="520"/>
      <c r="H65" s="520"/>
      <c r="I65" s="520"/>
      <c r="J65" s="520"/>
      <c r="K65" s="521"/>
    </row>
    <row r="66" spans="1:11" ht="15.75" customHeight="1" x14ac:dyDescent="0.25">
      <c r="A66" s="522" t="s">
        <v>338</v>
      </c>
      <c r="B66" s="514" t="s">
        <v>544</v>
      </c>
      <c r="C66" s="467"/>
      <c r="D66" s="469"/>
      <c r="E66" s="514" t="s">
        <v>545</v>
      </c>
      <c r="F66" s="467"/>
      <c r="G66" s="467"/>
      <c r="H66" s="467"/>
      <c r="I66" s="469"/>
      <c r="J66" s="515" t="s">
        <v>566</v>
      </c>
      <c r="K66" s="517" t="s">
        <v>416</v>
      </c>
    </row>
    <row r="67" spans="1:11" ht="15.75" customHeight="1" x14ac:dyDescent="0.25">
      <c r="A67" s="523"/>
      <c r="B67" s="166">
        <v>45859</v>
      </c>
      <c r="C67" s="166">
        <v>45866</v>
      </c>
      <c r="D67" s="167" t="s">
        <v>129</v>
      </c>
      <c r="E67" s="166">
        <v>45873</v>
      </c>
      <c r="F67" s="168">
        <v>45880</v>
      </c>
      <c r="G67" s="168">
        <v>45887</v>
      </c>
      <c r="H67" s="166">
        <v>45894</v>
      </c>
      <c r="I67" s="169" t="s">
        <v>129</v>
      </c>
      <c r="J67" s="516"/>
      <c r="K67" s="518"/>
    </row>
    <row r="68" spans="1:11" ht="15.75" customHeight="1" x14ac:dyDescent="0.25">
      <c r="A68" s="160" t="s">
        <v>421</v>
      </c>
      <c r="B68" s="88">
        <v>0</v>
      </c>
      <c r="C68" s="88">
        <v>40</v>
      </c>
      <c r="D68" s="162">
        <f>B68+C68</f>
        <v>40</v>
      </c>
      <c r="E68" s="88">
        <v>100</v>
      </c>
      <c r="F68" s="88">
        <v>0</v>
      </c>
      <c r="G68" s="88">
        <v>60</v>
      </c>
      <c r="H68" s="88">
        <v>0</v>
      </c>
      <c r="I68" s="162">
        <f>E68+F68+G68+H68</f>
        <v>160</v>
      </c>
      <c r="J68" s="170">
        <f>E68+F68</f>
        <v>100</v>
      </c>
      <c r="K68" s="171">
        <f>D68+I68</f>
        <v>200</v>
      </c>
    </row>
    <row r="69" spans="1:11" ht="15.75" customHeight="1" x14ac:dyDescent="0.25">
      <c r="A69" s="113" t="s">
        <v>224</v>
      </c>
      <c r="B69" s="88">
        <v>0</v>
      </c>
      <c r="C69" s="88">
        <v>200</v>
      </c>
      <c r="D69" s="162">
        <f>B69+C69</f>
        <v>200</v>
      </c>
      <c r="E69" s="88">
        <v>200</v>
      </c>
      <c r="F69" s="88">
        <v>0</v>
      </c>
      <c r="G69" s="88">
        <v>200</v>
      </c>
      <c r="H69" s="88">
        <v>0</v>
      </c>
      <c r="I69" s="162">
        <f>E69+F69+G69+H69</f>
        <v>400</v>
      </c>
      <c r="J69" s="170">
        <f>E69+F69</f>
        <v>200</v>
      </c>
      <c r="K69" s="171">
        <f>D69+I69</f>
        <v>600</v>
      </c>
    </row>
    <row r="70" spans="1:11" ht="15.75" customHeight="1" x14ac:dyDescent="0.25">
      <c r="A70" s="113" t="s">
        <v>147</v>
      </c>
      <c r="B70" s="88">
        <v>0</v>
      </c>
      <c r="C70" s="88">
        <v>0</v>
      </c>
      <c r="D70" s="162">
        <f>B70+C70</f>
        <v>0</v>
      </c>
      <c r="E70" s="88">
        <v>300</v>
      </c>
      <c r="F70" s="88">
        <v>0</v>
      </c>
      <c r="G70" s="88">
        <v>0</v>
      </c>
      <c r="H70" s="88">
        <v>0</v>
      </c>
      <c r="I70" s="162">
        <f>E70+F70+G70+H70</f>
        <v>300</v>
      </c>
      <c r="J70" s="170">
        <f>E70+F70</f>
        <v>300</v>
      </c>
      <c r="K70" s="171">
        <f>D70+I70</f>
        <v>300</v>
      </c>
    </row>
    <row r="71" spans="1:11" ht="15.75" customHeight="1" x14ac:dyDescent="0.25">
      <c r="A71" s="107" t="s">
        <v>401</v>
      </c>
      <c r="B71" s="108">
        <f t="shared" ref="B71:J71" si="8">B68</f>
        <v>0</v>
      </c>
      <c r="C71" s="108">
        <f t="shared" si="8"/>
        <v>40</v>
      </c>
      <c r="D71" s="108">
        <f t="shared" si="8"/>
        <v>40</v>
      </c>
      <c r="E71" s="108">
        <f t="shared" si="8"/>
        <v>100</v>
      </c>
      <c r="F71" s="108">
        <f t="shared" si="8"/>
        <v>0</v>
      </c>
      <c r="G71" s="108">
        <f t="shared" si="8"/>
        <v>60</v>
      </c>
      <c r="H71" s="108">
        <f t="shared" si="8"/>
        <v>0</v>
      </c>
      <c r="I71" s="108">
        <f t="shared" si="8"/>
        <v>160</v>
      </c>
      <c r="J71" s="172">
        <f t="shared" si="8"/>
        <v>100</v>
      </c>
      <c r="K71" s="173">
        <f>D68+I68</f>
        <v>200</v>
      </c>
    </row>
    <row r="73" spans="1:11" ht="15.75" customHeight="1" x14ac:dyDescent="0.25">
      <c r="A73" s="519" t="s">
        <v>565</v>
      </c>
      <c r="B73" s="520"/>
      <c r="C73" s="520"/>
      <c r="D73" s="520"/>
      <c r="E73" s="520"/>
      <c r="F73" s="520"/>
      <c r="G73" s="520"/>
      <c r="H73" s="520"/>
      <c r="I73" s="520"/>
      <c r="J73" s="520"/>
      <c r="K73" s="521"/>
    </row>
    <row r="74" spans="1:11" ht="15.75" customHeight="1" x14ac:dyDescent="0.25">
      <c r="A74" s="522" t="s">
        <v>423</v>
      </c>
      <c r="B74" s="514" t="s">
        <v>544</v>
      </c>
      <c r="C74" s="467"/>
      <c r="D74" s="469"/>
      <c r="E74" s="514" t="s">
        <v>545</v>
      </c>
      <c r="F74" s="467"/>
      <c r="G74" s="467"/>
      <c r="H74" s="467"/>
      <c r="I74" s="469"/>
      <c r="J74" s="515" t="s">
        <v>566</v>
      </c>
      <c r="K74" s="517" t="s">
        <v>416</v>
      </c>
    </row>
    <row r="75" spans="1:11" ht="15.75" customHeight="1" x14ac:dyDescent="0.25">
      <c r="A75" s="523"/>
      <c r="B75" s="166">
        <v>45859</v>
      </c>
      <c r="C75" s="166">
        <v>45866</v>
      </c>
      <c r="D75" s="167" t="s">
        <v>129</v>
      </c>
      <c r="E75" s="166">
        <v>45873</v>
      </c>
      <c r="F75" s="168">
        <v>45880</v>
      </c>
      <c r="G75" s="168">
        <v>45887</v>
      </c>
      <c r="H75" s="166">
        <v>45894</v>
      </c>
      <c r="I75" s="169" t="s">
        <v>129</v>
      </c>
      <c r="J75" s="516"/>
      <c r="K75" s="518"/>
    </row>
    <row r="76" spans="1:11" ht="15.75" customHeight="1" x14ac:dyDescent="0.25">
      <c r="A76" s="160" t="s">
        <v>421</v>
      </c>
      <c r="B76" s="88">
        <v>0</v>
      </c>
      <c r="C76" s="88">
        <v>200</v>
      </c>
      <c r="D76" s="162">
        <f>B76+C76</f>
        <v>200</v>
      </c>
      <c r="E76" s="88">
        <v>200</v>
      </c>
      <c r="F76" s="88">
        <v>400</v>
      </c>
      <c r="G76" s="88">
        <v>0</v>
      </c>
      <c r="H76" s="88">
        <v>0</v>
      </c>
      <c r="I76" s="162">
        <f>E76+F76+G76+H76</f>
        <v>600</v>
      </c>
      <c r="J76" s="170">
        <f>E76+F76</f>
        <v>600</v>
      </c>
      <c r="K76" s="171">
        <f>D76+I76</f>
        <v>800</v>
      </c>
    </row>
    <row r="77" spans="1:11" ht="15.75" customHeight="1" x14ac:dyDescent="0.25">
      <c r="A77" s="113" t="s">
        <v>224</v>
      </c>
      <c r="B77" s="88">
        <v>0</v>
      </c>
      <c r="C77" s="88">
        <v>0</v>
      </c>
      <c r="D77" s="162">
        <f>B77+C77</f>
        <v>0</v>
      </c>
      <c r="E77" s="88">
        <v>0</v>
      </c>
      <c r="F77" s="88">
        <v>0</v>
      </c>
      <c r="G77" s="88">
        <v>0</v>
      </c>
      <c r="H77" s="88">
        <v>0</v>
      </c>
      <c r="I77" s="162">
        <f>E77+F77+G77+H77</f>
        <v>0</v>
      </c>
      <c r="J77" s="170">
        <f>E77+F77</f>
        <v>0</v>
      </c>
      <c r="K77" s="171">
        <f>D77+I77</f>
        <v>0</v>
      </c>
    </row>
    <row r="78" spans="1:11" ht="15.75" customHeight="1" x14ac:dyDescent="0.25">
      <c r="A78" s="113" t="s">
        <v>147</v>
      </c>
      <c r="B78" s="88">
        <v>0</v>
      </c>
      <c r="C78" s="88">
        <v>0</v>
      </c>
      <c r="D78" s="162">
        <f>B78+C78</f>
        <v>0</v>
      </c>
      <c r="E78" s="88">
        <v>0</v>
      </c>
      <c r="F78" s="88">
        <v>0</v>
      </c>
      <c r="G78" s="88">
        <v>0</v>
      </c>
      <c r="H78" s="88">
        <v>0</v>
      </c>
      <c r="I78" s="162">
        <f>E78+F78+G78+H78</f>
        <v>0</v>
      </c>
      <c r="J78" s="170">
        <f>E78+F78</f>
        <v>0</v>
      </c>
      <c r="K78" s="171">
        <f>D78+I78</f>
        <v>0</v>
      </c>
    </row>
    <row r="79" spans="1:11" ht="15.75" customHeight="1" x14ac:dyDescent="0.25">
      <c r="A79" s="107" t="s">
        <v>401</v>
      </c>
      <c r="B79" s="108">
        <f t="shared" ref="B79:J79" si="9">B76</f>
        <v>0</v>
      </c>
      <c r="C79" s="108">
        <f t="shared" si="9"/>
        <v>200</v>
      </c>
      <c r="D79" s="108">
        <f t="shared" si="9"/>
        <v>200</v>
      </c>
      <c r="E79" s="108">
        <f t="shared" si="9"/>
        <v>200</v>
      </c>
      <c r="F79" s="108">
        <f t="shared" si="9"/>
        <v>400</v>
      </c>
      <c r="G79" s="108">
        <f t="shared" si="9"/>
        <v>0</v>
      </c>
      <c r="H79" s="108">
        <f t="shared" si="9"/>
        <v>0</v>
      </c>
      <c r="I79" s="108">
        <f t="shared" si="9"/>
        <v>600</v>
      </c>
      <c r="J79" s="172">
        <f t="shared" si="9"/>
        <v>600</v>
      </c>
      <c r="K79" s="173">
        <f>D76+I76</f>
        <v>800</v>
      </c>
    </row>
    <row r="81" spans="1:11" ht="15.75" customHeight="1" x14ac:dyDescent="0.25">
      <c r="A81" s="519" t="s">
        <v>565</v>
      </c>
      <c r="B81" s="520"/>
      <c r="C81" s="520"/>
      <c r="D81" s="520"/>
      <c r="E81" s="520"/>
      <c r="F81" s="520"/>
      <c r="G81" s="520"/>
      <c r="H81" s="520"/>
      <c r="I81" s="520"/>
      <c r="J81" s="520"/>
      <c r="K81" s="521"/>
    </row>
    <row r="82" spans="1:11" ht="15.75" customHeight="1" x14ac:dyDescent="0.25">
      <c r="A82" s="522" t="s">
        <v>424</v>
      </c>
      <c r="B82" s="514" t="s">
        <v>544</v>
      </c>
      <c r="C82" s="467"/>
      <c r="D82" s="469"/>
      <c r="E82" s="514" t="s">
        <v>545</v>
      </c>
      <c r="F82" s="467"/>
      <c r="G82" s="467"/>
      <c r="H82" s="467"/>
      <c r="I82" s="469"/>
      <c r="J82" s="515" t="s">
        <v>566</v>
      </c>
      <c r="K82" s="517" t="s">
        <v>416</v>
      </c>
    </row>
    <row r="83" spans="1:11" ht="15.75" customHeight="1" x14ac:dyDescent="0.25">
      <c r="A83" s="523"/>
      <c r="B83" s="166">
        <v>45859</v>
      </c>
      <c r="C83" s="166">
        <v>45866</v>
      </c>
      <c r="D83" s="167" t="s">
        <v>129</v>
      </c>
      <c r="E83" s="166">
        <v>45873</v>
      </c>
      <c r="F83" s="168">
        <v>45880</v>
      </c>
      <c r="G83" s="168">
        <v>45887</v>
      </c>
      <c r="H83" s="166">
        <v>45894</v>
      </c>
      <c r="I83" s="169" t="s">
        <v>129</v>
      </c>
      <c r="J83" s="516"/>
      <c r="K83" s="518"/>
    </row>
    <row r="84" spans="1:11" ht="15.75" customHeight="1" x14ac:dyDescent="0.25">
      <c r="A84" s="160" t="s">
        <v>421</v>
      </c>
      <c r="B84" s="88">
        <v>200</v>
      </c>
      <c r="C84" s="88">
        <v>200</v>
      </c>
      <c r="D84" s="162">
        <f>B84+C84</f>
        <v>400</v>
      </c>
      <c r="E84" s="88">
        <v>200</v>
      </c>
      <c r="F84" s="88">
        <v>200</v>
      </c>
      <c r="G84" s="88">
        <v>0</v>
      </c>
      <c r="H84" s="88">
        <v>0</v>
      </c>
      <c r="I84" s="162">
        <f>E84+F84+G84+H84</f>
        <v>400</v>
      </c>
      <c r="J84" s="170">
        <f>E84+F84</f>
        <v>400</v>
      </c>
      <c r="K84" s="171">
        <f>D84+I84</f>
        <v>800</v>
      </c>
    </row>
    <row r="85" spans="1:11" ht="15.75" customHeight="1" x14ac:dyDescent="0.25">
      <c r="A85" s="113" t="s">
        <v>224</v>
      </c>
      <c r="B85" s="88">
        <v>0</v>
      </c>
      <c r="C85" s="88">
        <v>0</v>
      </c>
      <c r="D85" s="162">
        <f>B85+C85</f>
        <v>0</v>
      </c>
      <c r="E85" s="88">
        <v>0</v>
      </c>
      <c r="F85" s="88">
        <v>0</v>
      </c>
      <c r="G85" s="88">
        <v>0</v>
      </c>
      <c r="H85" s="88">
        <v>0</v>
      </c>
      <c r="I85" s="162">
        <f>E85+F85+G85+H85</f>
        <v>0</v>
      </c>
      <c r="J85" s="170">
        <f>E85+F85</f>
        <v>0</v>
      </c>
      <c r="K85" s="171">
        <f>D85+I85</f>
        <v>0</v>
      </c>
    </row>
    <row r="86" spans="1:11" ht="15.75" customHeight="1" x14ac:dyDescent="0.25">
      <c r="A86" s="113" t="s">
        <v>147</v>
      </c>
      <c r="B86" s="88">
        <v>0</v>
      </c>
      <c r="C86" s="88">
        <v>0</v>
      </c>
      <c r="D86" s="162">
        <f>B86+C86</f>
        <v>0</v>
      </c>
      <c r="E86" s="88">
        <v>0</v>
      </c>
      <c r="F86" s="88">
        <v>0</v>
      </c>
      <c r="G86" s="88">
        <v>0</v>
      </c>
      <c r="H86" s="88">
        <v>0</v>
      </c>
      <c r="I86" s="162">
        <f>E86+F86+G86+H86</f>
        <v>0</v>
      </c>
      <c r="J86" s="170">
        <f>E86+F86</f>
        <v>0</v>
      </c>
      <c r="K86" s="171">
        <f>D86+I86</f>
        <v>0</v>
      </c>
    </row>
    <row r="87" spans="1:11" ht="15.75" customHeight="1" x14ac:dyDescent="0.25">
      <c r="A87" s="107" t="s">
        <v>401</v>
      </c>
      <c r="B87" s="108">
        <f t="shared" ref="B87:J87" si="10">B84</f>
        <v>200</v>
      </c>
      <c r="C87" s="108">
        <f t="shared" si="10"/>
        <v>200</v>
      </c>
      <c r="D87" s="108">
        <f t="shared" si="10"/>
        <v>400</v>
      </c>
      <c r="E87" s="108">
        <f t="shared" si="10"/>
        <v>200</v>
      </c>
      <c r="F87" s="108">
        <f t="shared" si="10"/>
        <v>200</v>
      </c>
      <c r="G87" s="108">
        <f t="shared" si="10"/>
        <v>0</v>
      </c>
      <c r="H87" s="108">
        <f t="shared" si="10"/>
        <v>0</v>
      </c>
      <c r="I87" s="108">
        <f t="shared" si="10"/>
        <v>400</v>
      </c>
      <c r="J87" s="172">
        <f t="shared" si="10"/>
        <v>400</v>
      </c>
      <c r="K87" s="173">
        <f>D84+I84</f>
        <v>800</v>
      </c>
    </row>
    <row r="94" spans="1:11" ht="15.75" customHeight="1" x14ac:dyDescent="0.25"/>
    <row r="106" ht="15.75" customHeight="1" x14ac:dyDescent="0.25"/>
  </sheetData>
  <mergeCells count="66">
    <mergeCell ref="A82:A83"/>
    <mergeCell ref="B2:D2"/>
    <mergeCell ref="E58:I58"/>
    <mergeCell ref="J10:J11"/>
    <mergeCell ref="B66:D66"/>
    <mergeCell ref="A34:A35"/>
    <mergeCell ref="A81:K81"/>
    <mergeCell ref="B18:D18"/>
    <mergeCell ref="J42:J43"/>
    <mergeCell ref="B58:D58"/>
    <mergeCell ref="E66:I66"/>
    <mergeCell ref="K74:K75"/>
    <mergeCell ref="A58:A59"/>
    <mergeCell ref="E26:I26"/>
    <mergeCell ref="K10:K11"/>
    <mergeCell ref="K34:K35"/>
    <mergeCell ref="J58:J59"/>
    <mergeCell ref="A9:K9"/>
    <mergeCell ref="E34:I34"/>
    <mergeCell ref="J66:J67"/>
    <mergeCell ref="J18:J19"/>
    <mergeCell ref="A42:A43"/>
    <mergeCell ref="E2:I2"/>
    <mergeCell ref="B50:D50"/>
    <mergeCell ref="B26:D26"/>
    <mergeCell ref="A33:K33"/>
    <mergeCell ref="K42:K43"/>
    <mergeCell ref="J50:J51"/>
    <mergeCell ref="A57:K57"/>
    <mergeCell ref="K66:K67"/>
    <mergeCell ref="A10:A11"/>
    <mergeCell ref="E18:I18"/>
    <mergeCell ref="A17:K17"/>
    <mergeCell ref="J2:J3"/>
    <mergeCell ref="A1:K1"/>
    <mergeCell ref="A66:A67"/>
    <mergeCell ref="K50:K51"/>
    <mergeCell ref="B34:D34"/>
    <mergeCell ref="B10:D10"/>
    <mergeCell ref="A26:A27"/>
    <mergeCell ref="E10:I10"/>
    <mergeCell ref="A25:K25"/>
    <mergeCell ref="A41:K41"/>
    <mergeCell ref="A65:K65"/>
    <mergeCell ref="A2:A3"/>
    <mergeCell ref="A18:A19"/>
    <mergeCell ref="K2:K3"/>
    <mergeCell ref="K18:K19"/>
    <mergeCell ref="J26:J27"/>
    <mergeCell ref="K58:K59"/>
    <mergeCell ref="B42:D42"/>
    <mergeCell ref="J82:J83"/>
    <mergeCell ref="E50:I50"/>
    <mergeCell ref="K26:K27"/>
    <mergeCell ref="E42:I42"/>
    <mergeCell ref="J34:J35"/>
    <mergeCell ref="A73:K73"/>
    <mergeCell ref="A49:K49"/>
    <mergeCell ref="J74:J75"/>
    <mergeCell ref="B82:D82"/>
    <mergeCell ref="A50:A51"/>
    <mergeCell ref="E82:I82"/>
    <mergeCell ref="A74:A75"/>
    <mergeCell ref="B74:D74"/>
    <mergeCell ref="K82:K83"/>
    <mergeCell ref="E74:I74"/>
  </mergeCells>
  <pageMargins left="0.511811024" right="0.511811024" top="0.78740157499999996" bottom="0.78740157499999996" header="0.31496062000000002" footer="0.31496062000000002"/>
  <pageSetup paperSize="9" orientation="portrait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Planilha20">
    <tabColor theme="4" tint="-0.499984740745262"/>
  </sheetPr>
  <dimension ref="A1:K87"/>
  <sheetViews>
    <sheetView topLeftCell="A10" zoomScale="85" zoomScaleNormal="85" workbookViewId="0">
      <pane xSplit="1" topLeftCell="B1" activePane="topRight" state="frozen"/>
      <selection pane="topRight" activeCell="B87" sqref="B87"/>
    </sheetView>
  </sheetViews>
  <sheetFormatPr defaultRowHeight="15" x14ac:dyDescent="0.25"/>
  <cols>
    <col min="1" max="1" width="32.85546875" customWidth="1"/>
    <col min="10" max="10" width="17.5703125" bestFit="1" customWidth="1"/>
    <col min="11" max="11" width="14.42578125" bestFit="1" customWidth="1"/>
  </cols>
  <sheetData>
    <row r="1" spans="1:11" ht="18" customHeight="1" x14ac:dyDescent="0.25">
      <c r="A1" s="524" t="s">
        <v>567</v>
      </c>
      <c r="B1" s="467"/>
      <c r="C1" s="467"/>
      <c r="D1" s="467"/>
      <c r="E1" s="467"/>
      <c r="F1" s="467"/>
      <c r="G1" s="467"/>
      <c r="H1" s="467"/>
      <c r="I1" s="467"/>
      <c r="J1" s="467"/>
      <c r="K1" s="469"/>
    </row>
    <row r="2" spans="1:11" ht="18" customHeight="1" x14ac:dyDescent="0.25">
      <c r="A2" s="524" t="s">
        <v>119</v>
      </c>
      <c r="B2" s="524" t="s">
        <v>546</v>
      </c>
      <c r="C2" s="467"/>
      <c r="D2" s="469"/>
      <c r="E2" s="524" t="s">
        <v>547</v>
      </c>
      <c r="F2" s="467"/>
      <c r="G2" s="467"/>
      <c r="H2" s="467"/>
      <c r="I2" s="469"/>
      <c r="J2" s="525" t="s">
        <v>568</v>
      </c>
      <c r="K2" s="525" t="s">
        <v>416</v>
      </c>
    </row>
    <row r="3" spans="1:11" ht="15.75" customHeight="1" x14ac:dyDescent="0.25">
      <c r="A3" s="461"/>
      <c r="B3" s="259">
        <v>45922</v>
      </c>
      <c r="C3" s="259">
        <v>45929</v>
      </c>
      <c r="D3" s="260" t="s">
        <v>129</v>
      </c>
      <c r="E3" s="259">
        <v>45936</v>
      </c>
      <c r="F3" s="261">
        <v>45943</v>
      </c>
      <c r="G3" s="261">
        <v>45950</v>
      </c>
      <c r="H3" s="259">
        <v>45957</v>
      </c>
      <c r="I3" s="262" t="s">
        <v>129</v>
      </c>
      <c r="J3" s="461"/>
      <c r="K3" s="461"/>
    </row>
    <row r="4" spans="1:11" ht="15.75" customHeight="1" x14ac:dyDescent="0.25">
      <c r="A4" s="160" t="s">
        <v>421</v>
      </c>
      <c r="B4" s="88">
        <v>0</v>
      </c>
      <c r="C4" s="88"/>
      <c r="D4" s="162">
        <f>B4+C4</f>
        <v>0</v>
      </c>
      <c r="E4" s="88"/>
      <c r="F4" s="88"/>
      <c r="G4" s="88"/>
      <c r="H4" s="88"/>
      <c r="I4" s="162">
        <f>E4+F4+G4+H4</f>
        <v>0</v>
      </c>
      <c r="J4" s="266">
        <f>B4+C4+E4+F4</f>
        <v>0</v>
      </c>
      <c r="K4" s="263">
        <f>D4+I4</f>
        <v>0</v>
      </c>
    </row>
    <row r="5" spans="1:11" ht="15.75" customHeight="1" x14ac:dyDescent="0.25">
      <c r="A5" s="160" t="s">
        <v>143</v>
      </c>
      <c r="B5" s="88">
        <v>0</v>
      </c>
      <c r="C5" s="88"/>
      <c r="D5" s="162">
        <f>B5+C5</f>
        <v>0</v>
      </c>
      <c r="E5" s="88"/>
      <c r="F5" s="88"/>
      <c r="G5" s="88"/>
      <c r="H5" s="88"/>
      <c r="I5" s="162">
        <f>E5+F5+G5+H5</f>
        <v>0</v>
      </c>
      <c r="J5" s="266">
        <f>B5+C5+E5+F5</f>
        <v>0</v>
      </c>
      <c r="K5" s="263">
        <f>D5+I5</f>
        <v>0</v>
      </c>
    </row>
    <row r="6" spans="1:11" ht="15.75" customHeight="1" x14ac:dyDescent="0.25">
      <c r="A6" s="113" t="s">
        <v>147</v>
      </c>
      <c r="B6" s="88">
        <v>0</v>
      </c>
      <c r="C6" s="88"/>
      <c r="D6" s="162">
        <f>B6+C6</f>
        <v>0</v>
      </c>
      <c r="E6" s="88"/>
      <c r="F6" s="88"/>
      <c r="G6" s="88"/>
      <c r="H6" s="88"/>
      <c r="I6" s="162">
        <f>E6+F6+G6+H6</f>
        <v>0</v>
      </c>
      <c r="J6" s="266">
        <f>B6+C6+E6+F6</f>
        <v>0</v>
      </c>
      <c r="K6" s="263">
        <f>D6+I6</f>
        <v>0</v>
      </c>
    </row>
    <row r="7" spans="1:11" ht="15.75" customHeight="1" x14ac:dyDescent="0.25">
      <c r="A7" s="107" t="s">
        <v>401</v>
      </c>
      <c r="B7" s="108">
        <f t="shared" ref="B7:J7" si="0">B4</f>
        <v>0</v>
      </c>
      <c r="C7" s="108">
        <f t="shared" si="0"/>
        <v>0</v>
      </c>
      <c r="D7" s="108">
        <f t="shared" si="0"/>
        <v>0</v>
      </c>
      <c r="E7" s="108">
        <f t="shared" si="0"/>
        <v>0</v>
      </c>
      <c r="F7" s="108">
        <f t="shared" si="0"/>
        <v>0</v>
      </c>
      <c r="G7" s="108">
        <f t="shared" si="0"/>
        <v>0</v>
      </c>
      <c r="H7" s="108">
        <f t="shared" si="0"/>
        <v>0</v>
      </c>
      <c r="I7" s="108">
        <f t="shared" si="0"/>
        <v>0</v>
      </c>
      <c r="J7" s="265">
        <f t="shared" si="0"/>
        <v>0</v>
      </c>
      <c r="K7" s="264">
        <f>D4+I4</f>
        <v>0</v>
      </c>
    </row>
    <row r="9" spans="1:11" ht="18" customHeight="1" x14ac:dyDescent="0.25">
      <c r="A9" s="524" t="s">
        <v>567</v>
      </c>
      <c r="B9" s="467"/>
      <c r="C9" s="467"/>
      <c r="D9" s="467"/>
      <c r="E9" s="467"/>
      <c r="F9" s="467"/>
      <c r="G9" s="467"/>
      <c r="H9" s="467"/>
      <c r="I9" s="467"/>
      <c r="J9" s="467"/>
      <c r="K9" s="469"/>
    </row>
    <row r="10" spans="1:11" ht="18" customHeight="1" x14ac:dyDescent="0.25">
      <c r="A10" s="524" t="s">
        <v>181</v>
      </c>
      <c r="B10" s="524" t="s">
        <v>546</v>
      </c>
      <c r="C10" s="467"/>
      <c r="D10" s="469"/>
      <c r="E10" s="524" t="s">
        <v>547</v>
      </c>
      <c r="F10" s="467"/>
      <c r="G10" s="467"/>
      <c r="H10" s="467"/>
      <c r="I10" s="469"/>
      <c r="J10" s="525" t="s">
        <v>568</v>
      </c>
      <c r="K10" s="525" t="s">
        <v>416</v>
      </c>
    </row>
    <row r="11" spans="1:11" ht="15.75" customHeight="1" x14ac:dyDescent="0.25">
      <c r="A11" s="461"/>
      <c r="B11" s="259">
        <v>45922</v>
      </c>
      <c r="C11" s="259">
        <v>45929</v>
      </c>
      <c r="D11" s="260" t="s">
        <v>129</v>
      </c>
      <c r="E11" s="259">
        <v>45936</v>
      </c>
      <c r="F11" s="261">
        <v>45943</v>
      </c>
      <c r="G11" s="261">
        <v>45950</v>
      </c>
      <c r="H11" s="259">
        <v>45957</v>
      </c>
      <c r="I11" s="262" t="s">
        <v>129</v>
      </c>
      <c r="J11" s="461"/>
      <c r="K11" s="461"/>
    </row>
    <row r="12" spans="1:11" ht="15.75" customHeight="1" x14ac:dyDescent="0.25">
      <c r="A12" s="160" t="s">
        <v>421</v>
      </c>
      <c r="B12" s="88">
        <v>0</v>
      </c>
      <c r="C12" s="88"/>
      <c r="D12" s="162">
        <f>B12+C12</f>
        <v>0</v>
      </c>
      <c r="E12" s="88"/>
      <c r="F12" s="88"/>
      <c r="G12" s="88"/>
      <c r="H12" s="88"/>
      <c r="I12" s="162">
        <f>E12+F12+G12+H12</f>
        <v>0</v>
      </c>
      <c r="J12" s="266">
        <f>B12+C12+E12+F12</f>
        <v>0</v>
      </c>
      <c r="K12" s="263">
        <f>D12+I12</f>
        <v>0</v>
      </c>
    </row>
    <row r="13" spans="1:11" ht="15.75" customHeight="1" x14ac:dyDescent="0.25">
      <c r="A13" s="160" t="s">
        <v>143</v>
      </c>
      <c r="B13" s="88">
        <v>0</v>
      </c>
      <c r="C13" s="88"/>
      <c r="D13" s="162">
        <f>B13+C13</f>
        <v>0</v>
      </c>
      <c r="E13" s="88"/>
      <c r="F13" s="88"/>
      <c r="G13" s="88"/>
      <c r="H13" s="88"/>
      <c r="I13" s="162">
        <f>E13+F13+G13+H13</f>
        <v>0</v>
      </c>
      <c r="J13" s="266">
        <f>B13+C13+E13+F13</f>
        <v>0</v>
      </c>
      <c r="K13" s="263">
        <f>D13+I13</f>
        <v>0</v>
      </c>
    </row>
    <row r="14" spans="1:11" ht="15.75" customHeight="1" x14ac:dyDescent="0.25">
      <c r="A14" s="113" t="s">
        <v>147</v>
      </c>
      <c r="B14" s="88">
        <v>0</v>
      </c>
      <c r="C14" s="88"/>
      <c r="D14" s="162">
        <f>B14+C14</f>
        <v>0</v>
      </c>
      <c r="E14" s="88"/>
      <c r="F14" s="88"/>
      <c r="G14" s="88"/>
      <c r="H14" s="88"/>
      <c r="I14" s="162">
        <f>E14+F14+G14+H14</f>
        <v>0</v>
      </c>
      <c r="J14" s="266">
        <f>B14+C14+E14+F14</f>
        <v>0</v>
      </c>
      <c r="K14" s="263">
        <f>D14+I14</f>
        <v>0</v>
      </c>
    </row>
    <row r="15" spans="1:11" ht="15.75" customHeight="1" x14ac:dyDescent="0.25">
      <c r="A15" s="107" t="s">
        <v>401</v>
      </c>
      <c r="B15" s="108">
        <f t="shared" ref="B15:J15" si="1">B12</f>
        <v>0</v>
      </c>
      <c r="C15" s="108">
        <f t="shared" si="1"/>
        <v>0</v>
      </c>
      <c r="D15" s="108">
        <f t="shared" si="1"/>
        <v>0</v>
      </c>
      <c r="E15" s="108">
        <f t="shared" si="1"/>
        <v>0</v>
      </c>
      <c r="F15" s="108">
        <f t="shared" si="1"/>
        <v>0</v>
      </c>
      <c r="G15" s="108">
        <f t="shared" si="1"/>
        <v>0</v>
      </c>
      <c r="H15" s="108">
        <f t="shared" si="1"/>
        <v>0</v>
      </c>
      <c r="I15" s="108">
        <f t="shared" si="1"/>
        <v>0</v>
      </c>
      <c r="J15" s="265">
        <f t="shared" si="1"/>
        <v>0</v>
      </c>
      <c r="K15" s="264">
        <f>D12+I12</f>
        <v>0</v>
      </c>
    </row>
    <row r="17" spans="1:11" ht="15.75" customHeight="1" x14ac:dyDescent="0.25">
      <c r="A17" s="524" t="s">
        <v>567</v>
      </c>
      <c r="B17" s="467"/>
      <c r="C17" s="467"/>
      <c r="D17" s="467"/>
      <c r="E17" s="467"/>
      <c r="F17" s="467"/>
      <c r="G17" s="467"/>
      <c r="H17" s="467"/>
      <c r="I17" s="467"/>
      <c r="J17" s="467"/>
      <c r="K17" s="469"/>
    </row>
    <row r="18" spans="1:11" ht="15.75" customHeight="1" x14ac:dyDescent="0.25">
      <c r="A18" s="524" t="s">
        <v>209</v>
      </c>
      <c r="B18" s="524" t="s">
        <v>546</v>
      </c>
      <c r="C18" s="467"/>
      <c r="D18" s="469"/>
      <c r="E18" s="524" t="s">
        <v>547</v>
      </c>
      <c r="F18" s="467"/>
      <c r="G18" s="467"/>
      <c r="H18" s="467"/>
      <c r="I18" s="469"/>
      <c r="J18" s="525" t="s">
        <v>568</v>
      </c>
      <c r="K18" s="525" t="s">
        <v>416</v>
      </c>
    </row>
    <row r="19" spans="1:11" ht="15.75" customHeight="1" x14ac:dyDescent="0.25">
      <c r="A19" s="461"/>
      <c r="B19" s="259">
        <v>45922</v>
      </c>
      <c r="C19" s="259">
        <v>45929</v>
      </c>
      <c r="D19" s="260" t="s">
        <v>129</v>
      </c>
      <c r="E19" s="259">
        <v>45936</v>
      </c>
      <c r="F19" s="261">
        <v>45943</v>
      </c>
      <c r="G19" s="261">
        <v>45950</v>
      </c>
      <c r="H19" s="259">
        <v>45957</v>
      </c>
      <c r="I19" s="262" t="s">
        <v>129</v>
      </c>
      <c r="J19" s="461"/>
      <c r="K19" s="461"/>
    </row>
    <row r="20" spans="1:11" ht="15.75" customHeight="1" x14ac:dyDescent="0.25">
      <c r="A20" s="160" t="s">
        <v>421</v>
      </c>
      <c r="B20" s="88">
        <v>0</v>
      </c>
      <c r="C20" s="88"/>
      <c r="D20" s="162">
        <f>B20+C20</f>
        <v>0</v>
      </c>
      <c r="E20" s="88"/>
      <c r="F20" s="88"/>
      <c r="G20" s="88"/>
      <c r="H20" s="88"/>
      <c r="I20" s="162">
        <f>E20+F20+G20+H20</f>
        <v>0</v>
      </c>
      <c r="J20" s="266">
        <f>B20+C20+E20+F20</f>
        <v>0</v>
      </c>
      <c r="K20" s="263">
        <f>D20+I20</f>
        <v>0</v>
      </c>
    </row>
    <row r="21" spans="1:11" ht="15.75" customHeight="1" x14ac:dyDescent="0.25">
      <c r="A21" s="160" t="s">
        <v>143</v>
      </c>
      <c r="B21" s="88">
        <v>0</v>
      </c>
      <c r="C21" s="88"/>
      <c r="D21" s="162">
        <f>B21+C21</f>
        <v>0</v>
      </c>
      <c r="E21" s="88"/>
      <c r="F21" s="88"/>
      <c r="G21" s="88"/>
      <c r="H21" s="88"/>
      <c r="I21" s="162">
        <f>E21+F21+G21+H21</f>
        <v>0</v>
      </c>
      <c r="J21" s="266">
        <f>B21+C21+E21+F21</f>
        <v>0</v>
      </c>
      <c r="K21" s="263">
        <f>D21+I21</f>
        <v>0</v>
      </c>
    </row>
    <row r="22" spans="1:11" ht="15.75" customHeight="1" x14ac:dyDescent="0.25">
      <c r="A22" s="113" t="s">
        <v>147</v>
      </c>
      <c r="B22" s="88">
        <v>0</v>
      </c>
      <c r="C22" s="88"/>
      <c r="D22" s="162">
        <f>B22+C22</f>
        <v>0</v>
      </c>
      <c r="E22" s="88"/>
      <c r="F22" s="88"/>
      <c r="G22" s="88"/>
      <c r="H22" s="88"/>
      <c r="I22" s="162">
        <f>E22+F22+G22+H22</f>
        <v>0</v>
      </c>
      <c r="J22" s="266">
        <f>B22+C22+E22+F22</f>
        <v>0</v>
      </c>
      <c r="K22" s="263">
        <f>D22+I22</f>
        <v>0</v>
      </c>
    </row>
    <row r="23" spans="1:11" ht="15.75" customHeight="1" x14ac:dyDescent="0.25">
      <c r="A23" s="107" t="s">
        <v>401</v>
      </c>
      <c r="B23" s="108">
        <f t="shared" ref="B23:J23" si="2">B20</f>
        <v>0</v>
      </c>
      <c r="C23" s="108">
        <f t="shared" si="2"/>
        <v>0</v>
      </c>
      <c r="D23" s="108">
        <f t="shared" si="2"/>
        <v>0</v>
      </c>
      <c r="E23" s="108">
        <f t="shared" si="2"/>
        <v>0</v>
      </c>
      <c r="F23" s="108">
        <f t="shared" si="2"/>
        <v>0</v>
      </c>
      <c r="G23" s="108">
        <f t="shared" si="2"/>
        <v>0</v>
      </c>
      <c r="H23" s="108">
        <f t="shared" si="2"/>
        <v>0</v>
      </c>
      <c r="I23" s="108">
        <f t="shared" si="2"/>
        <v>0</v>
      </c>
      <c r="J23" s="265">
        <f t="shared" si="2"/>
        <v>0</v>
      </c>
      <c r="K23" s="264">
        <f>D20+I20</f>
        <v>0</v>
      </c>
    </row>
    <row r="25" spans="1:11" ht="15.75" customHeight="1" x14ac:dyDescent="0.25">
      <c r="A25" s="524" t="s">
        <v>567</v>
      </c>
      <c r="B25" s="467"/>
      <c r="C25" s="467"/>
      <c r="D25" s="467"/>
      <c r="E25" s="467"/>
      <c r="F25" s="467"/>
      <c r="G25" s="467"/>
      <c r="H25" s="467"/>
      <c r="I25" s="467"/>
      <c r="J25" s="467"/>
      <c r="K25" s="469"/>
    </row>
    <row r="26" spans="1:11" ht="15.75" customHeight="1" x14ac:dyDescent="0.25">
      <c r="A26" s="524" t="s">
        <v>222</v>
      </c>
      <c r="B26" s="524" t="s">
        <v>546</v>
      </c>
      <c r="C26" s="467"/>
      <c r="D26" s="469"/>
      <c r="E26" s="524" t="s">
        <v>547</v>
      </c>
      <c r="F26" s="467"/>
      <c r="G26" s="467"/>
      <c r="H26" s="467"/>
      <c r="I26" s="469"/>
      <c r="J26" s="525" t="s">
        <v>568</v>
      </c>
      <c r="K26" s="525" t="s">
        <v>416</v>
      </c>
    </row>
    <row r="27" spans="1:11" ht="15.75" customHeight="1" x14ac:dyDescent="0.25">
      <c r="A27" s="461"/>
      <c r="B27" s="259">
        <v>45922</v>
      </c>
      <c r="C27" s="259">
        <v>45929</v>
      </c>
      <c r="D27" s="260" t="s">
        <v>129</v>
      </c>
      <c r="E27" s="259">
        <v>45936</v>
      </c>
      <c r="F27" s="261">
        <v>45943</v>
      </c>
      <c r="G27" s="261">
        <v>45950</v>
      </c>
      <c r="H27" s="259">
        <v>45957</v>
      </c>
      <c r="I27" s="262" t="s">
        <v>129</v>
      </c>
      <c r="J27" s="461"/>
      <c r="K27" s="461"/>
    </row>
    <row r="28" spans="1:11" ht="15.75" customHeight="1" x14ac:dyDescent="0.25">
      <c r="A28" s="160" t="s">
        <v>421</v>
      </c>
      <c r="B28" s="88">
        <v>0</v>
      </c>
      <c r="C28" s="88"/>
      <c r="D28" s="162">
        <f>B28+C28</f>
        <v>0</v>
      </c>
      <c r="E28" s="88"/>
      <c r="F28" s="88"/>
      <c r="G28" s="88"/>
      <c r="H28" s="88"/>
      <c r="I28" s="162">
        <f>E28+F28+G28+H28</f>
        <v>0</v>
      </c>
      <c r="J28" s="266">
        <f>B28+C28+E28+F28</f>
        <v>0</v>
      </c>
      <c r="K28" s="263">
        <f>D28+I28</f>
        <v>0</v>
      </c>
    </row>
    <row r="29" spans="1:11" ht="15.75" customHeight="1" x14ac:dyDescent="0.25">
      <c r="A29" s="160" t="s">
        <v>143</v>
      </c>
      <c r="B29" s="88">
        <v>0</v>
      </c>
      <c r="C29" s="88"/>
      <c r="D29" s="162">
        <f>B29+C29</f>
        <v>0</v>
      </c>
      <c r="E29" s="88"/>
      <c r="F29" s="88"/>
      <c r="G29" s="88"/>
      <c r="H29" s="88"/>
      <c r="I29" s="162">
        <f>E29+F29+G29+H29</f>
        <v>0</v>
      </c>
      <c r="J29" s="266">
        <f>B29+C29+E29+F29</f>
        <v>0</v>
      </c>
      <c r="K29" s="263">
        <f>D29+I29</f>
        <v>0</v>
      </c>
    </row>
    <row r="30" spans="1:11" ht="15.75" customHeight="1" x14ac:dyDescent="0.25">
      <c r="A30" s="113" t="s">
        <v>147</v>
      </c>
      <c r="B30" s="88">
        <v>0</v>
      </c>
      <c r="C30" s="88"/>
      <c r="D30" s="162">
        <f>B30+C30</f>
        <v>0</v>
      </c>
      <c r="E30" s="88"/>
      <c r="F30" s="88"/>
      <c r="G30" s="88"/>
      <c r="H30" s="88"/>
      <c r="I30" s="162">
        <f>E30+F30+G30+H30</f>
        <v>0</v>
      </c>
      <c r="J30" s="266">
        <f>B30+C30+E30+F30</f>
        <v>0</v>
      </c>
      <c r="K30" s="263">
        <f>D30+I30</f>
        <v>0</v>
      </c>
    </row>
    <row r="31" spans="1:11" ht="15.75" customHeight="1" x14ac:dyDescent="0.25">
      <c r="A31" s="107" t="s">
        <v>401</v>
      </c>
      <c r="B31" s="108">
        <f t="shared" ref="B31:J31" si="3">B28</f>
        <v>0</v>
      </c>
      <c r="C31" s="108">
        <f t="shared" si="3"/>
        <v>0</v>
      </c>
      <c r="D31" s="108">
        <f t="shared" si="3"/>
        <v>0</v>
      </c>
      <c r="E31" s="108">
        <f t="shared" si="3"/>
        <v>0</v>
      </c>
      <c r="F31" s="108">
        <f t="shared" si="3"/>
        <v>0</v>
      </c>
      <c r="G31" s="108">
        <f t="shared" si="3"/>
        <v>0</v>
      </c>
      <c r="H31" s="108">
        <f t="shared" si="3"/>
        <v>0</v>
      </c>
      <c r="I31" s="108">
        <f t="shared" si="3"/>
        <v>0</v>
      </c>
      <c r="J31" s="265">
        <f t="shared" si="3"/>
        <v>0</v>
      </c>
      <c r="K31" s="264">
        <f>D28+I28</f>
        <v>0</v>
      </c>
    </row>
    <row r="33" spans="1:11" ht="15.75" customHeight="1" x14ac:dyDescent="0.25">
      <c r="A33" s="524" t="s">
        <v>567</v>
      </c>
      <c r="B33" s="467"/>
      <c r="C33" s="467"/>
      <c r="D33" s="467"/>
      <c r="E33" s="467"/>
      <c r="F33" s="467"/>
      <c r="G33" s="467"/>
      <c r="H33" s="467"/>
      <c r="I33" s="467"/>
      <c r="J33" s="467"/>
      <c r="K33" s="469"/>
    </row>
    <row r="34" spans="1:11" ht="15.75" customHeight="1" x14ac:dyDescent="0.25">
      <c r="A34" s="524" t="s">
        <v>402</v>
      </c>
      <c r="B34" s="524" t="s">
        <v>546</v>
      </c>
      <c r="C34" s="467"/>
      <c r="D34" s="469"/>
      <c r="E34" s="524" t="s">
        <v>547</v>
      </c>
      <c r="F34" s="467"/>
      <c r="G34" s="467"/>
      <c r="H34" s="467"/>
      <c r="I34" s="469"/>
      <c r="J34" s="525" t="s">
        <v>568</v>
      </c>
      <c r="K34" s="525" t="s">
        <v>416</v>
      </c>
    </row>
    <row r="35" spans="1:11" ht="15.75" customHeight="1" x14ac:dyDescent="0.25">
      <c r="A35" s="461"/>
      <c r="B35" s="259">
        <v>45922</v>
      </c>
      <c r="C35" s="259">
        <v>45929</v>
      </c>
      <c r="D35" s="260" t="s">
        <v>129</v>
      </c>
      <c r="E35" s="259">
        <v>45936</v>
      </c>
      <c r="F35" s="261">
        <v>45943</v>
      </c>
      <c r="G35" s="261">
        <v>45950</v>
      </c>
      <c r="H35" s="259">
        <v>45957</v>
      </c>
      <c r="I35" s="262" t="s">
        <v>129</v>
      </c>
      <c r="J35" s="461"/>
      <c r="K35" s="461"/>
    </row>
    <row r="36" spans="1:11" ht="15.75" customHeight="1" x14ac:dyDescent="0.25">
      <c r="A36" s="160" t="s">
        <v>421</v>
      </c>
      <c r="B36" s="88">
        <v>0</v>
      </c>
      <c r="C36" s="88"/>
      <c r="D36" s="162">
        <f>B36+C36</f>
        <v>0</v>
      </c>
      <c r="E36" s="88"/>
      <c r="F36" s="88"/>
      <c r="G36" s="88"/>
      <c r="H36" s="88"/>
      <c r="I36" s="162">
        <f>E36+F36+G36+H36</f>
        <v>0</v>
      </c>
      <c r="J36" s="266">
        <f>B36+C36+E36+F36</f>
        <v>0</v>
      </c>
      <c r="K36" s="263">
        <f>D36+I36</f>
        <v>0</v>
      </c>
    </row>
    <row r="37" spans="1:11" ht="15.75" customHeight="1" x14ac:dyDescent="0.25">
      <c r="A37" s="160" t="s">
        <v>143</v>
      </c>
      <c r="B37" s="88">
        <v>0</v>
      </c>
      <c r="C37" s="88"/>
      <c r="D37" s="162">
        <f>B37+C37</f>
        <v>0</v>
      </c>
      <c r="E37" s="88"/>
      <c r="F37" s="88"/>
      <c r="G37" s="88"/>
      <c r="H37" s="88"/>
      <c r="I37" s="162">
        <f>E37+F37+G37+H37</f>
        <v>0</v>
      </c>
      <c r="J37" s="266">
        <f>B37+C37+E37+F37</f>
        <v>0</v>
      </c>
      <c r="K37" s="263">
        <f>D37+I37</f>
        <v>0</v>
      </c>
    </row>
    <row r="38" spans="1:11" ht="15.75" customHeight="1" x14ac:dyDescent="0.25">
      <c r="A38" s="113" t="s">
        <v>147</v>
      </c>
      <c r="B38" s="88">
        <v>0</v>
      </c>
      <c r="C38" s="88"/>
      <c r="D38" s="162">
        <f>B38+C38</f>
        <v>0</v>
      </c>
      <c r="E38" s="88"/>
      <c r="F38" s="88"/>
      <c r="G38" s="88"/>
      <c r="H38" s="88"/>
      <c r="I38" s="162">
        <f>E38+F38+G38+H38</f>
        <v>0</v>
      </c>
      <c r="J38" s="266">
        <f>B38+C38+E38+F38</f>
        <v>0</v>
      </c>
      <c r="K38" s="263">
        <f>D38+I38</f>
        <v>0</v>
      </c>
    </row>
    <row r="39" spans="1:11" ht="15.75" customHeight="1" x14ac:dyDescent="0.25">
      <c r="A39" s="107" t="s">
        <v>401</v>
      </c>
      <c r="B39" s="108">
        <f t="shared" ref="B39:J39" si="4">B36</f>
        <v>0</v>
      </c>
      <c r="C39" s="108">
        <f t="shared" si="4"/>
        <v>0</v>
      </c>
      <c r="D39" s="108">
        <f t="shared" si="4"/>
        <v>0</v>
      </c>
      <c r="E39" s="108">
        <f t="shared" si="4"/>
        <v>0</v>
      </c>
      <c r="F39" s="108">
        <f t="shared" si="4"/>
        <v>0</v>
      </c>
      <c r="G39" s="108">
        <f t="shared" si="4"/>
        <v>0</v>
      </c>
      <c r="H39" s="108">
        <f t="shared" si="4"/>
        <v>0</v>
      </c>
      <c r="I39" s="108">
        <f t="shared" si="4"/>
        <v>0</v>
      </c>
      <c r="J39" s="265">
        <f t="shared" si="4"/>
        <v>0</v>
      </c>
      <c r="K39" s="264">
        <f>D36+I36</f>
        <v>0</v>
      </c>
    </row>
    <row r="41" spans="1:11" ht="15.75" customHeight="1" x14ac:dyDescent="0.25">
      <c r="A41" s="524" t="s">
        <v>567</v>
      </c>
      <c r="B41" s="467"/>
      <c r="C41" s="467"/>
      <c r="D41" s="467"/>
      <c r="E41" s="467"/>
      <c r="F41" s="467"/>
      <c r="G41" s="467"/>
      <c r="H41" s="467"/>
      <c r="I41" s="467"/>
      <c r="J41" s="467"/>
      <c r="K41" s="469"/>
    </row>
    <row r="42" spans="1:11" ht="15.75" customHeight="1" x14ac:dyDescent="0.25">
      <c r="A42" s="524" t="s">
        <v>244</v>
      </c>
      <c r="B42" s="524" t="s">
        <v>546</v>
      </c>
      <c r="C42" s="467"/>
      <c r="D42" s="469"/>
      <c r="E42" s="524" t="s">
        <v>547</v>
      </c>
      <c r="F42" s="467"/>
      <c r="G42" s="467"/>
      <c r="H42" s="467"/>
      <c r="I42" s="469"/>
      <c r="J42" s="525" t="s">
        <v>568</v>
      </c>
      <c r="K42" s="525" t="s">
        <v>416</v>
      </c>
    </row>
    <row r="43" spans="1:11" ht="15.75" customHeight="1" x14ac:dyDescent="0.25">
      <c r="A43" s="461"/>
      <c r="B43" s="259">
        <v>45922</v>
      </c>
      <c r="C43" s="259">
        <v>45929</v>
      </c>
      <c r="D43" s="260" t="s">
        <v>129</v>
      </c>
      <c r="E43" s="259">
        <v>45936</v>
      </c>
      <c r="F43" s="261">
        <v>45943</v>
      </c>
      <c r="G43" s="261">
        <v>45950</v>
      </c>
      <c r="H43" s="259">
        <v>45957</v>
      </c>
      <c r="I43" s="262" t="s">
        <v>129</v>
      </c>
      <c r="J43" s="461"/>
      <c r="K43" s="461"/>
    </row>
    <row r="44" spans="1:11" ht="15.75" customHeight="1" x14ac:dyDescent="0.25">
      <c r="A44" s="160" t="s">
        <v>421</v>
      </c>
      <c r="B44" s="88">
        <v>0</v>
      </c>
      <c r="C44" s="88"/>
      <c r="D44" s="162">
        <f>B44+C44</f>
        <v>0</v>
      </c>
      <c r="E44" s="88"/>
      <c r="F44" s="88"/>
      <c r="G44" s="88"/>
      <c r="H44" s="88"/>
      <c r="I44" s="162">
        <f>E44+F44+G44+H44</f>
        <v>0</v>
      </c>
      <c r="J44" s="266">
        <f>B44+C44+E44+F44</f>
        <v>0</v>
      </c>
      <c r="K44" s="263">
        <f>D44+I44</f>
        <v>0</v>
      </c>
    </row>
    <row r="45" spans="1:11" ht="15.75" customHeight="1" x14ac:dyDescent="0.25">
      <c r="A45" s="160" t="s">
        <v>143</v>
      </c>
      <c r="B45" s="88">
        <v>0</v>
      </c>
      <c r="C45" s="88"/>
      <c r="D45" s="162">
        <f>B45+C45</f>
        <v>0</v>
      </c>
      <c r="E45" s="88"/>
      <c r="F45" s="88"/>
      <c r="G45" s="88"/>
      <c r="H45" s="88"/>
      <c r="I45" s="162">
        <f>E45+F45+G45+H45</f>
        <v>0</v>
      </c>
      <c r="J45" s="266">
        <f>B45+C45+E45+F45</f>
        <v>0</v>
      </c>
      <c r="K45" s="263">
        <f>D45+I45</f>
        <v>0</v>
      </c>
    </row>
    <row r="46" spans="1:11" ht="15.75" customHeight="1" x14ac:dyDescent="0.25">
      <c r="A46" s="113" t="s">
        <v>147</v>
      </c>
      <c r="B46" s="88">
        <v>0</v>
      </c>
      <c r="C46" s="88"/>
      <c r="D46" s="162">
        <f>B46+C46</f>
        <v>0</v>
      </c>
      <c r="E46" s="88"/>
      <c r="F46" s="88"/>
      <c r="G46" s="88"/>
      <c r="H46" s="88"/>
      <c r="I46" s="162">
        <f>E46+F46+G46+H46</f>
        <v>0</v>
      </c>
      <c r="J46" s="266">
        <f>B46+C46+E46+F46</f>
        <v>0</v>
      </c>
      <c r="K46" s="263">
        <f>D46+I46</f>
        <v>0</v>
      </c>
    </row>
    <row r="47" spans="1:11" ht="15.75" customHeight="1" x14ac:dyDescent="0.25">
      <c r="A47" s="107" t="s">
        <v>401</v>
      </c>
      <c r="B47" s="108">
        <f t="shared" ref="B47:J47" si="5">B44</f>
        <v>0</v>
      </c>
      <c r="C47" s="108">
        <f t="shared" si="5"/>
        <v>0</v>
      </c>
      <c r="D47" s="108">
        <f t="shared" si="5"/>
        <v>0</v>
      </c>
      <c r="E47" s="108">
        <f t="shared" si="5"/>
        <v>0</v>
      </c>
      <c r="F47" s="108">
        <f t="shared" si="5"/>
        <v>0</v>
      </c>
      <c r="G47" s="108">
        <f t="shared" si="5"/>
        <v>0</v>
      </c>
      <c r="H47" s="108">
        <f t="shared" si="5"/>
        <v>0</v>
      </c>
      <c r="I47" s="108">
        <f t="shared" si="5"/>
        <v>0</v>
      </c>
      <c r="J47" s="265">
        <f t="shared" si="5"/>
        <v>0</v>
      </c>
      <c r="K47" s="264">
        <f>D44+I44</f>
        <v>0</v>
      </c>
    </row>
    <row r="49" spans="1:11" ht="15.75" customHeight="1" x14ac:dyDescent="0.25">
      <c r="A49" s="524" t="s">
        <v>567</v>
      </c>
      <c r="B49" s="467"/>
      <c r="C49" s="467"/>
      <c r="D49" s="467"/>
      <c r="E49" s="467"/>
      <c r="F49" s="467"/>
      <c r="G49" s="467"/>
      <c r="H49" s="467"/>
      <c r="I49" s="467"/>
      <c r="J49" s="467"/>
      <c r="K49" s="469"/>
    </row>
    <row r="50" spans="1:11" ht="15.75" customHeight="1" x14ac:dyDescent="0.25">
      <c r="A50" s="524" t="s">
        <v>248</v>
      </c>
      <c r="B50" s="524" t="s">
        <v>546</v>
      </c>
      <c r="C50" s="467"/>
      <c r="D50" s="469"/>
      <c r="E50" s="524" t="s">
        <v>547</v>
      </c>
      <c r="F50" s="467"/>
      <c r="G50" s="467"/>
      <c r="H50" s="467"/>
      <c r="I50" s="469"/>
      <c r="J50" s="525" t="s">
        <v>568</v>
      </c>
      <c r="K50" s="525" t="s">
        <v>416</v>
      </c>
    </row>
    <row r="51" spans="1:11" ht="15.75" customHeight="1" x14ac:dyDescent="0.25">
      <c r="A51" s="461"/>
      <c r="B51" s="259">
        <v>45922</v>
      </c>
      <c r="C51" s="259">
        <v>45929</v>
      </c>
      <c r="D51" s="260" t="s">
        <v>129</v>
      </c>
      <c r="E51" s="259">
        <v>45936</v>
      </c>
      <c r="F51" s="261">
        <v>45943</v>
      </c>
      <c r="G51" s="261">
        <v>45950</v>
      </c>
      <c r="H51" s="259">
        <v>45957</v>
      </c>
      <c r="I51" s="262" t="s">
        <v>129</v>
      </c>
      <c r="J51" s="461"/>
      <c r="K51" s="461"/>
    </row>
    <row r="52" spans="1:11" ht="15.75" customHeight="1" x14ac:dyDescent="0.25">
      <c r="A52" s="160" t="s">
        <v>421</v>
      </c>
      <c r="B52" s="88">
        <v>0</v>
      </c>
      <c r="C52" s="88"/>
      <c r="D52" s="162">
        <f>B52+C52</f>
        <v>0</v>
      </c>
      <c r="E52" s="88"/>
      <c r="F52" s="88"/>
      <c r="G52" s="88"/>
      <c r="H52" s="88"/>
      <c r="I52" s="162">
        <f>E52+F52+G52+H52</f>
        <v>0</v>
      </c>
      <c r="J52" s="266">
        <f>B52+C52+E52+F52</f>
        <v>0</v>
      </c>
      <c r="K52" s="263">
        <f>D52+I52</f>
        <v>0</v>
      </c>
    </row>
    <row r="53" spans="1:11" ht="15.75" customHeight="1" x14ac:dyDescent="0.25">
      <c r="A53" s="160" t="s">
        <v>143</v>
      </c>
      <c r="B53" s="88">
        <v>0</v>
      </c>
      <c r="C53" s="88"/>
      <c r="D53" s="162">
        <f>B53+C53</f>
        <v>0</v>
      </c>
      <c r="E53" s="88"/>
      <c r="F53" s="88"/>
      <c r="G53" s="88"/>
      <c r="H53" s="88"/>
      <c r="I53" s="162">
        <f>E53+F53+G53+H53</f>
        <v>0</v>
      </c>
      <c r="J53" s="266">
        <f>B53+C53+E53+F53</f>
        <v>0</v>
      </c>
      <c r="K53" s="263">
        <f>D53+I53</f>
        <v>0</v>
      </c>
    </row>
    <row r="54" spans="1:11" ht="15.75" customHeight="1" x14ac:dyDescent="0.25">
      <c r="A54" s="113" t="s">
        <v>147</v>
      </c>
      <c r="B54" s="88">
        <v>0</v>
      </c>
      <c r="C54" s="88"/>
      <c r="D54" s="162">
        <f>B54+C54</f>
        <v>0</v>
      </c>
      <c r="E54" s="88"/>
      <c r="F54" s="88"/>
      <c r="G54" s="88"/>
      <c r="H54" s="88"/>
      <c r="I54" s="162">
        <f>E54+F54+G54+H54</f>
        <v>0</v>
      </c>
      <c r="J54" s="266">
        <f>B54+C54+E54+F54</f>
        <v>0</v>
      </c>
      <c r="K54" s="263">
        <f>D54+I54</f>
        <v>0</v>
      </c>
    </row>
    <row r="55" spans="1:11" ht="15.75" customHeight="1" x14ac:dyDescent="0.25">
      <c r="A55" s="107" t="s">
        <v>401</v>
      </c>
      <c r="B55" s="108">
        <f t="shared" ref="B55:J55" si="6">B52</f>
        <v>0</v>
      </c>
      <c r="C55" s="108">
        <f t="shared" si="6"/>
        <v>0</v>
      </c>
      <c r="D55" s="108">
        <f t="shared" si="6"/>
        <v>0</v>
      </c>
      <c r="E55" s="108">
        <f t="shared" si="6"/>
        <v>0</v>
      </c>
      <c r="F55" s="108">
        <f t="shared" si="6"/>
        <v>0</v>
      </c>
      <c r="G55" s="108">
        <f t="shared" si="6"/>
        <v>0</v>
      </c>
      <c r="H55" s="108">
        <f t="shared" si="6"/>
        <v>0</v>
      </c>
      <c r="I55" s="108">
        <f t="shared" si="6"/>
        <v>0</v>
      </c>
      <c r="J55" s="265">
        <f t="shared" si="6"/>
        <v>0</v>
      </c>
      <c r="K55" s="264">
        <f>D52+I52</f>
        <v>0</v>
      </c>
    </row>
    <row r="57" spans="1:11" ht="15.75" customHeight="1" x14ac:dyDescent="0.25">
      <c r="A57" s="524" t="s">
        <v>567</v>
      </c>
      <c r="B57" s="467"/>
      <c r="C57" s="467"/>
      <c r="D57" s="467"/>
      <c r="E57" s="467"/>
      <c r="F57" s="467"/>
      <c r="G57" s="467"/>
      <c r="H57" s="467"/>
      <c r="I57" s="467"/>
      <c r="J57" s="467"/>
      <c r="K57" s="469"/>
    </row>
    <row r="58" spans="1:11" ht="15.75" customHeight="1" x14ac:dyDescent="0.25">
      <c r="A58" s="524" t="s">
        <v>323</v>
      </c>
      <c r="B58" s="524" t="s">
        <v>546</v>
      </c>
      <c r="C58" s="467"/>
      <c r="D58" s="469"/>
      <c r="E58" s="524" t="s">
        <v>547</v>
      </c>
      <c r="F58" s="467"/>
      <c r="G58" s="467"/>
      <c r="H58" s="467"/>
      <c r="I58" s="469"/>
      <c r="J58" s="525" t="s">
        <v>568</v>
      </c>
      <c r="K58" s="525" t="s">
        <v>416</v>
      </c>
    </row>
    <row r="59" spans="1:11" ht="15.75" customHeight="1" x14ac:dyDescent="0.25">
      <c r="A59" s="461"/>
      <c r="B59" s="259">
        <v>45922</v>
      </c>
      <c r="C59" s="259">
        <v>45929</v>
      </c>
      <c r="D59" s="260" t="s">
        <v>129</v>
      </c>
      <c r="E59" s="259">
        <v>45936</v>
      </c>
      <c r="F59" s="261">
        <v>45943</v>
      </c>
      <c r="G59" s="261">
        <v>45950</v>
      </c>
      <c r="H59" s="259">
        <v>45957</v>
      </c>
      <c r="I59" s="262" t="s">
        <v>129</v>
      </c>
      <c r="J59" s="461"/>
      <c r="K59" s="461"/>
    </row>
    <row r="60" spans="1:11" ht="15.75" customHeight="1" x14ac:dyDescent="0.25">
      <c r="A60" s="160" t="s">
        <v>421</v>
      </c>
      <c r="B60" s="88">
        <v>0</v>
      </c>
      <c r="C60" s="88"/>
      <c r="D60" s="162">
        <f>B60+C60</f>
        <v>0</v>
      </c>
      <c r="E60" s="88"/>
      <c r="F60" s="88"/>
      <c r="G60" s="88"/>
      <c r="H60" s="88"/>
      <c r="I60" s="162">
        <f>E60+F60+G60+H60</f>
        <v>0</v>
      </c>
      <c r="J60" s="266">
        <f>B60+C60+E60+F60</f>
        <v>0</v>
      </c>
      <c r="K60" s="263">
        <f>D60+I60</f>
        <v>0</v>
      </c>
    </row>
    <row r="61" spans="1:11" ht="15.75" customHeight="1" x14ac:dyDescent="0.25">
      <c r="A61" s="160" t="s">
        <v>143</v>
      </c>
      <c r="B61" s="88">
        <v>0</v>
      </c>
      <c r="C61" s="88"/>
      <c r="D61" s="162">
        <f>B61+C61</f>
        <v>0</v>
      </c>
      <c r="E61" s="88"/>
      <c r="F61" s="88"/>
      <c r="G61" s="88"/>
      <c r="H61" s="88"/>
      <c r="I61" s="162">
        <f>E61+F61+G61+H61</f>
        <v>0</v>
      </c>
      <c r="J61" s="266">
        <f>B61+C61+E61+F61</f>
        <v>0</v>
      </c>
      <c r="K61" s="263">
        <f>D61+I61</f>
        <v>0</v>
      </c>
    </row>
    <row r="62" spans="1:11" ht="15.75" customHeight="1" x14ac:dyDescent="0.25">
      <c r="A62" s="113" t="s">
        <v>147</v>
      </c>
      <c r="B62" s="88">
        <v>0</v>
      </c>
      <c r="C62" s="88"/>
      <c r="D62" s="162">
        <f>B62+C62</f>
        <v>0</v>
      </c>
      <c r="E62" s="88"/>
      <c r="F62" s="88"/>
      <c r="G62" s="88"/>
      <c r="H62" s="88"/>
      <c r="I62" s="162">
        <f>E62+F62+G62+H62</f>
        <v>0</v>
      </c>
      <c r="J62" s="266">
        <f>B62+C62+E62+F62</f>
        <v>0</v>
      </c>
      <c r="K62" s="263">
        <f>D62+I62</f>
        <v>0</v>
      </c>
    </row>
    <row r="63" spans="1:11" ht="15.75" customHeight="1" x14ac:dyDescent="0.25">
      <c r="A63" s="107" t="s">
        <v>401</v>
      </c>
      <c r="B63" s="108">
        <f t="shared" ref="B63:J63" si="7">B60</f>
        <v>0</v>
      </c>
      <c r="C63" s="108">
        <f t="shared" si="7"/>
        <v>0</v>
      </c>
      <c r="D63" s="108">
        <f t="shared" si="7"/>
        <v>0</v>
      </c>
      <c r="E63" s="108">
        <f t="shared" si="7"/>
        <v>0</v>
      </c>
      <c r="F63" s="108">
        <f t="shared" si="7"/>
        <v>0</v>
      </c>
      <c r="G63" s="108">
        <f t="shared" si="7"/>
        <v>0</v>
      </c>
      <c r="H63" s="108">
        <f t="shared" si="7"/>
        <v>0</v>
      </c>
      <c r="I63" s="108">
        <f t="shared" si="7"/>
        <v>0</v>
      </c>
      <c r="J63" s="265">
        <f t="shared" si="7"/>
        <v>0</v>
      </c>
      <c r="K63" s="264">
        <f>D60+I60</f>
        <v>0</v>
      </c>
    </row>
    <row r="65" spans="1:11" ht="15.75" customHeight="1" x14ac:dyDescent="0.25">
      <c r="A65" s="524" t="s">
        <v>567</v>
      </c>
      <c r="B65" s="467"/>
      <c r="C65" s="467"/>
      <c r="D65" s="467"/>
      <c r="E65" s="467"/>
      <c r="F65" s="467"/>
      <c r="G65" s="467"/>
      <c r="H65" s="467"/>
      <c r="I65" s="467"/>
      <c r="J65" s="467"/>
      <c r="K65" s="469"/>
    </row>
    <row r="66" spans="1:11" ht="15.75" customHeight="1" x14ac:dyDescent="0.25">
      <c r="A66" s="524" t="s">
        <v>338</v>
      </c>
      <c r="B66" s="524" t="s">
        <v>546</v>
      </c>
      <c r="C66" s="467"/>
      <c r="D66" s="469"/>
      <c r="E66" s="524" t="s">
        <v>547</v>
      </c>
      <c r="F66" s="467"/>
      <c r="G66" s="467"/>
      <c r="H66" s="467"/>
      <c r="I66" s="469"/>
      <c r="J66" s="525" t="s">
        <v>568</v>
      </c>
      <c r="K66" s="525" t="s">
        <v>416</v>
      </c>
    </row>
    <row r="67" spans="1:11" ht="15.75" customHeight="1" x14ac:dyDescent="0.25">
      <c r="A67" s="461"/>
      <c r="B67" s="259">
        <v>45922</v>
      </c>
      <c r="C67" s="259">
        <v>45929</v>
      </c>
      <c r="D67" s="260" t="s">
        <v>129</v>
      </c>
      <c r="E67" s="259">
        <v>45936</v>
      </c>
      <c r="F67" s="261">
        <v>45943</v>
      </c>
      <c r="G67" s="261">
        <v>45950</v>
      </c>
      <c r="H67" s="259">
        <v>45957</v>
      </c>
      <c r="I67" s="262" t="s">
        <v>129</v>
      </c>
      <c r="J67" s="461"/>
      <c r="K67" s="461"/>
    </row>
    <row r="68" spans="1:11" ht="15.75" customHeight="1" x14ac:dyDescent="0.25">
      <c r="A68" s="160" t="s">
        <v>421</v>
      </c>
      <c r="B68" s="88">
        <v>0</v>
      </c>
      <c r="C68" s="88"/>
      <c r="D68" s="162">
        <f>B68+C68</f>
        <v>0</v>
      </c>
      <c r="E68" s="88"/>
      <c r="F68" s="88"/>
      <c r="G68" s="88"/>
      <c r="H68" s="88"/>
      <c r="I68" s="162">
        <f>E68+F68+G68+H68</f>
        <v>0</v>
      </c>
      <c r="J68" s="266">
        <f>B68+C68+E68+F68</f>
        <v>0</v>
      </c>
      <c r="K68" s="263">
        <f>D68+I68</f>
        <v>0</v>
      </c>
    </row>
    <row r="69" spans="1:11" ht="15.75" customHeight="1" x14ac:dyDescent="0.25">
      <c r="A69" s="160" t="s">
        <v>143</v>
      </c>
      <c r="B69" s="88">
        <v>0</v>
      </c>
      <c r="C69" s="88"/>
      <c r="D69" s="162">
        <f>B69+C69</f>
        <v>0</v>
      </c>
      <c r="E69" s="88"/>
      <c r="F69" s="88"/>
      <c r="G69" s="88"/>
      <c r="H69" s="88"/>
      <c r="I69" s="162">
        <f>E69+F69+G69+H69</f>
        <v>0</v>
      </c>
      <c r="J69" s="266">
        <f>B69+C69+E69+F69</f>
        <v>0</v>
      </c>
      <c r="K69" s="263">
        <f>D69+I69</f>
        <v>0</v>
      </c>
    </row>
    <row r="70" spans="1:11" ht="15.75" customHeight="1" x14ac:dyDescent="0.25">
      <c r="A70" s="113" t="s">
        <v>147</v>
      </c>
      <c r="B70" s="88">
        <v>0</v>
      </c>
      <c r="C70" s="88"/>
      <c r="D70" s="162">
        <f>B70+C70</f>
        <v>0</v>
      </c>
      <c r="E70" s="88"/>
      <c r="F70" s="88"/>
      <c r="G70" s="88"/>
      <c r="H70" s="88"/>
      <c r="I70" s="162">
        <f>E70+F70+G70+H70</f>
        <v>0</v>
      </c>
      <c r="J70" s="266">
        <f>B70+C70+E70+F70</f>
        <v>0</v>
      </c>
      <c r="K70" s="263">
        <f>D70+I70</f>
        <v>0</v>
      </c>
    </row>
    <row r="71" spans="1:11" ht="15.75" customHeight="1" x14ac:dyDescent="0.25">
      <c r="A71" s="107" t="s">
        <v>401</v>
      </c>
      <c r="B71" s="108">
        <f t="shared" ref="B71:J71" si="8">B68</f>
        <v>0</v>
      </c>
      <c r="C71" s="108">
        <f t="shared" si="8"/>
        <v>0</v>
      </c>
      <c r="D71" s="108">
        <f t="shared" si="8"/>
        <v>0</v>
      </c>
      <c r="E71" s="108">
        <f t="shared" si="8"/>
        <v>0</v>
      </c>
      <c r="F71" s="108">
        <f t="shared" si="8"/>
        <v>0</v>
      </c>
      <c r="G71" s="108">
        <f t="shared" si="8"/>
        <v>0</v>
      </c>
      <c r="H71" s="108">
        <f t="shared" si="8"/>
        <v>0</v>
      </c>
      <c r="I71" s="108">
        <f t="shared" si="8"/>
        <v>0</v>
      </c>
      <c r="J71" s="265">
        <f t="shared" si="8"/>
        <v>0</v>
      </c>
      <c r="K71" s="264">
        <f>D68+I68</f>
        <v>0</v>
      </c>
    </row>
    <row r="73" spans="1:11" ht="15.75" customHeight="1" x14ac:dyDescent="0.25">
      <c r="A73" s="524" t="s">
        <v>567</v>
      </c>
      <c r="B73" s="467"/>
      <c r="C73" s="467"/>
      <c r="D73" s="467"/>
      <c r="E73" s="467"/>
      <c r="F73" s="467"/>
      <c r="G73" s="467"/>
      <c r="H73" s="467"/>
      <c r="I73" s="467"/>
      <c r="J73" s="467"/>
      <c r="K73" s="469"/>
    </row>
    <row r="74" spans="1:11" ht="15.75" customHeight="1" x14ac:dyDescent="0.25">
      <c r="A74" s="524" t="s">
        <v>423</v>
      </c>
      <c r="B74" s="524" t="s">
        <v>546</v>
      </c>
      <c r="C74" s="467"/>
      <c r="D74" s="469"/>
      <c r="E74" s="524" t="s">
        <v>547</v>
      </c>
      <c r="F74" s="467"/>
      <c r="G74" s="467"/>
      <c r="H74" s="467"/>
      <c r="I74" s="469"/>
      <c r="J74" s="525" t="s">
        <v>568</v>
      </c>
      <c r="K74" s="525" t="s">
        <v>416</v>
      </c>
    </row>
    <row r="75" spans="1:11" ht="15.75" customHeight="1" x14ac:dyDescent="0.25">
      <c r="A75" s="461"/>
      <c r="B75" s="259">
        <v>45922</v>
      </c>
      <c r="C75" s="259">
        <v>45929</v>
      </c>
      <c r="D75" s="260" t="s">
        <v>129</v>
      </c>
      <c r="E75" s="259">
        <v>45936</v>
      </c>
      <c r="F75" s="261">
        <v>45943</v>
      </c>
      <c r="G75" s="261">
        <v>45950</v>
      </c>
      <c r="H75" s="259">
        <v>45957</v>
      </c>
      <c r="I75" s="262" t="s">
        <v>129</v>
      </c>
      <c r="J75" s="461"/>
      <c r="K75" s="461"/>
    </row>
    <row r="76" spans="1:11" ht="15.75" customHeight="1" x14ac:dyDescent="0.25">
      <c r="A76" s="160" t="s">
        <v>421</v>
      </c>
      <c r="B76" s="88">
        <v>0</v>
      </c>
      <c r="C76" s="88"/>
      <c r="D76" s="162">
        <f>B76+C76</f>
        <v>0</v>
      </c>
      <c r="E76" s="88"/>
      <c r="F76" s="88"/>
      <c r="G76" s="88"/>
      <c r="H76" s="88"/>
      <c r="I76" s="162">
        <f>E76+F76+G76+H76</f>
        <v>0</v>
      </c>
      <c r="J76" s="266">
        <f>B76+C76+E76+F76</f>
        <v>0</v>
      </c>
      <c r="K76" s="263">
        <f>D76+I76</f>
        <v>0</v>
      </c>
    </row>
    <row r="77" spans="1:11" ht="15.75" customHeight="1" x14ac:dyDescent="0.25">
      <c r="A77" s="160" t="s">
        <v>143</v>
      </c>
      <c r="B77" s="88">
        <v>0</v>
      </c>
      <c r="C77" s="88"/>
      <c r="D77" s="162">
        <f>B77+C77</f>
        <v>0</v>
      </c>
      <c r="E77" s="88"/>
      <c r="F77" s="88"/>
      <c r="G77" s="88"/>
      <c r="H77" s="88"/>
      <c r="I77" s="162">
        <f>E77+F77+G77+H77</f>
        <v>0</v>
      </c>
      <c r="J77" s="266">
        <f>B77+C77+E77+F77</f>
        <v>0</v>
      </c>
      <c r="K77" s="263">
        <f>D77+I77</f>
        <v>0</v>
      </c>
    </row>
    <row r="78" spans="1:11" ht="15.75" customHeight="1" x14ac:dyDescent="0.25">
      <c r="A78" s="113" t="s">
        <v>147</v>
      </c>
      <c r="B78" s="88">
        <v>0</v>
      </c>
      <c r="C78" s="88"/>
      <c r="D78" s="162">
        <f>B78+C78</f>
        <v>0</v>
      </c>
      <c r="E78" s="88"/>
      <c r="F78" s="88"/>
      <c r="G78" s="88"/>
      <c r="H78" s="88"/>
      <c r="I78" s="162">
        <f>E78+F78+G78+H78</f>
        <v>0</v>
      </c>
      <c r="J78" s="266">
        <f>B78+C78+E78+F78</f>
        <v>0</v>
      </c>
      <c r="K78" s="263">
        <f>D78+I78</f>
        <v>0</v>
      </c>
    </row>
    <row r="79" spans="1:11" ht="15.75" customHeight="1" x14ac:dyDescent="0.25">
      <c r="A79" s="107" t="s">
        <v>401</v>
      </c>
      <c r="B79" s="108">
        <f t="shared" ref="B79:J79" si="9">B76</f>
        <v>0</v>
      </c>
      <c r="C79" s="108">
        <f t="shared" si="9"/>
        <v>0</v>
      </c>
      <c r="D79" s="108">
        <f t="shared" si="9"/>
        <v>0</v>
      </c>
      <c r="E79" s="108">
        <f t="shared" si="9"/>
        <v>0</v>
      </c>
      <c r="F79" s="108">
        <f t="shared" si="9"/>
        <v>0</v>
      </c>
      <c r="G79" s="108">
        <f t="shared" si="9"/>
        <v>0</v>
      </c>
      <c r="H79" s="108">
        <f t="shared" si="9"/>
        <v>0</v>
      </c>
      <c r="I79" s="108">
        <f t="shared" si="9"/>
        <v>0</v>
      </c>
      <c r="J79" s="265">
        <f t="shared" si="9"/>
        <v>0</v>
      </c>
      <c r="K79" s="264">
        <f>D76+I76</f>
        <v>0</v>
      </c>
    </row>
    <row r="81" spans="1:11" ht="15.75" customHeight="1" x14ac:dyDescent="0.25">
      <c r="A81" s="524" t="s">
        <v>567</v>
      </c>
      <c r="B81" s="467"/>
      <c r="C81" s="467"/>
      <c r="D81" s="467"/>
      <c r="E81" s="467"/>
      <c r="F81" s="467"/>
      <c r="G81" s="467"/>
      <c r="H81" s="467"/>
      <c r="I81" s="467"/>
      <c r="J81" s="467"/>
      <c r="K81" s="469"/>
    </row>
    <row r="82" spans="1:11" ht="15.75" customHeight="1" x14ac:dyDescent="0.25">
      <c r="A82" s="524" t="s">
        <v>424</v>
      </c>
      <c r="B82" s="524" t="s">
        <v>546</v>
      </c>
      <c r="C82" s="467"/>
      <c r="D82" s="469"/>
      <c r="E82" s="524" t="s">
        <v>547</v>
      </c>
      <c r="F82" s="467"/>
      <c r="G82" s="467"/>
      <c r="H82" s="467"/>
      <c r="I82" s="469"/>
      <c r="J82" s="525" t="s">
        <v>568</v>
      </c>
      <c r="K82" s="525" t="s">
        <v>416</v>
      </c>
    </row>
    <row r="83" spans="1:11" ht="15.75" customHeight="1" x14ac:dyDescent="0.25">
      <c r="A83" s="461"/>
      <c r="B83" s="259">
        <v>45922</v>
      </c>
      <c r="C83" s="259">
        <v>45929</v>
      </c>
      <c r="D83" s="260" t="s">
        <v>129</v>
      </c>
      <c r="E83" s="259">
        <v>45936</v>
      </c>
      <c r="F83" s="261">
        <v>45943</v>
      </c>
      <c r="G83" s="261">
        <v>45950</v>
      </c>
      <c r="H83" s="259">
        <v>45957</v>
      </c>
      <c r="I83" s="262" t="s">
        <v>129</v>
      </c>
      <c r="J83" s="461"/>
      <c r="K83" s="461"/>
    </row>
    <row r="84" spans="1:11" ht="15.75" customHeight="1" x14ac:dyDescent="0.25">
      <c r="A84" s="160" t="s">
        <v>421</v>
      </c>
      <c r="B84" s="88">
        <v>0</v>
      </c>
      <c r="C84" s="88"/>
      <c r="D84" s="162">
        <f>B84+C84</f>
        <v>0</v>
      </c>
      <c r="E84" s="88"/>
      <c r="F84" s="88"/>
      <c r="G84" s="88"/>
      <c r="H84" s="88"/>
      <c r="I84" s="162">
        <f>E84+F84+G84+H84</f>
        <v>0</v>
      </c>
      <c r="J84" s="266">
        <f>B84+C84+E84+F84</f>
        <v>0</v>
      </c>
      <c r="K84" s="263">
        <f>D84+I84</f>
        <v>0</v>
      </c>
    </row>
    <row r="85" spans="1:11" ht="15.75" customHeight="1" x14ac:dyDescent="0.25">
      <c r="A85" s="160" t="s">
        <v>143</v>
      </c>
      <c r="B85" s="88">
        <v>0</v>
      </c>
      <c r="C85" s="88"/>
      <c r="D85" s="162">
        <f>B85+C85</f>
        <v>0</v>
      </c>
      <c r="E85" s="88"/>
      <c r="F85" s="88"/>
      <c r="G85" s="88"/>
      <c r="H85" s="88"/>
      <c r="I85" s="162">
        <f>E85+F85+G85+H85</f>
        <v>0</v>
      </c>
      <c r="J85" s="266">
        <f>B85+C85+E85+F85</f>
        <v>0</v>
      </c>
      <c r="K85" s="263">
        <f>D85+I85</f>
        <v>0</v>
      </c>
    </row>
    <row r="86" spans="1:11" ht="15.75" customHeight="1" x14ac:dyDescent="0.25">
      <c r="A86" s="113" t="s">
        <v>147</v>
      </c>
      <c r="B86" s="88">
        <v>0</v>
      </c>
      <c r="C86" s="88"/>
      <c r="D86" s="162">
        <f>B86+C86</f>
        <v>0</v>
      </c>
      <c r="E86" s="88"/>
      <c r="F86" s="88"/>
      <c r="G86" s="88"/>
      <c r="H86" s="88"/>
      <c r="I86" s="162">
        <f>E86+F86+G86+H86</f>
        <v>0</v>
      </c>
      <c r="J86" s="266">
        <f>B86+C86+E86+F86</f>
        <v>0</v>
      </c>
      <c r="K86" s="263">
        <f>D86+I86</f>
        <v>0</v>
      </c>
    </row>
    <row r="87" spans="1:11" ht="15.75" customHeight="1" x14ac:dyDescent="0.25">
      <c r="A87" s="107" t="s">
        <v>401</v>
      </c>
      <c r="B87" s="108">
        <f t="shared" ref="B87:J87" si="10">B84</f>
        <v>0</v>
      </c>
      <c r="C87" s="108">
        <f t="shared" si="10"/>
        <v>0</v>
      </c>
      <c r="D87" s="108">
        <f t="shared" si="10"/>
        <v>0</v>
      </c>
      <c r="E87" s="108">
        <f t="shared" si="10"/>
        <v>0</v>
      </c>
      <c r="F87" s="108">
        <f t="shared" si="10"/>
        <v>0</v>
      </c>
      <c r="G87" s="108">
        <f t="shared" si="10"/>
        <v>0</v>
      </c>
      <c r="H87" s="108">
        <f t="shared" si="10"/>
        <v>0</v>
      </c>
      <c r="I87" s="108">
        <f t="shared" si="10"/>
        <v>0</v>
      </c>
      <c r="J87" s="265">
        <f t="shared" si="10"/>
        <v>0</v>
      </c>
      <c r="K87" s="264">
        <f>D84+I84</f>
        <v>0</v>
      </c>
    </row>
  </sheetData>
  <mergeCells count="66">
    <mergeCell ref="A82:A83"/>
    <mergeCell ref="B2:D2"/>
    <mergeCell ref="E58:I58"/>
    <mergeCell ref="J10:J11"/>
    <mergeCell ref="B66:D66"/>
    <mergeCell ref="A34:A35"/>
    <mergeCell ref="A81:K81"/>
    <mergeCell ref="B18:D18"/>
    <mergeCell ref="J42:J43"/>
    <mergeCell ref="B58:D58"/>
    <mergeCell ref="E66:I66"/>
    <mergeCell ref="K74:K75"/>
    <mergeCell ref="A58:A59"/>
    <mergeCell ref="E26:I26"/>
    <mergeCell ref="K10:K11"/>
    <mergeCell ref="K34:K35"/>
    <mergeCell ref="J58:J59"/>
    <mergeCell ref="A9:K9"/>
    <mergeCell ref="E34:I34"/>
    <mergeCell ref="J66:J67"/>
    <mergeCell ref="J18:J19"/>
    <mergeCell ref="A42:A43"/>
    <mergeCell ref="E2:I2"/>
    <mergeCell ref="B50:D50"/>
    <mergeCell ref="B26:D26"/>
    <mergeCell ref="A33:K33"/>
    <mergeCell ref="K42:K43"/>
    <mergeCell ref="J50:J51"/>
    <mergeCell ref="A57:K57"/>
    <mergeCell ref="K66:K67"/>
    <mergeCell ref="A10:A11"/>
    <mergeCell ref="E18:I18"/>
    <mergeCell ref="A17:K17"/>
    <mergeCell ref="J2:J3"/>
    <mergeCell ref="A1:K1"/>
    <mergeCell ref="A66:A67"/>
    <mergeCell ref="K50:K51"/>
    <mergeCell ref="B34:D34"/>
    <mergeCell ref="B10:D10"/>
    <mergeCell ref="A26:A27"/>
    <mergeCell ref="E10:I10"/>
    <mergeCell ref="A25:K25"/>
    <mergeCell ref="A41:K41"/>
    <mergeCell ref="A65:K65"/>
    <mergeCell ref="A2:A3"/>
    <mergeCell ref="A18:A19"/>
    <mergeCell ref="K2:K3"/>
    <mergeCell ref="K18:K19"/>
    <mergeCell ref="J26:J27"/>
    <mergeCell ref="K58:K59"/>
    <mergeCell ref="B42:D42"/>
    <mergeCell ref="J82:J83"/>
    <mergeCell ref="E50:I50"/>
    <mergeCell ref="K26:K27"/>
    <mergeCell ref="E42:I42"/>
    <mergeCell ref="J34:J35"/>
    <mergeCell ref="A73:K73"/>
    <mergeCell ref="A49:K49"/>
    <mergeCell ref="J74:J75"/>
    <mergeCell ref="B82:D82"/>
    <mergeCell ref="A50:A51"/>
    <mergeCell ref="E82:I82"/>
    <mergeCell ref="A74:A75"/>
    <mergeCell ref="B74:D74"/>
    <mergeCell ref="K82:K83"/>
    <mergeCell ref="E74:I74"/>
  </mergeCells>
  <pageMargins left="0.511811024" right="0.511811024" top="0.78740157499999996" bottom="0.78740157499999996" header="0.31496062000000002" footer="0.31496062000000002"/>
  <pageSetup paperSize="9" orientation="portrait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Planilha11">
    <tabColor theme="4"/>
    <pageSetUpPr fitToPage="1"/>
  </sheetPr>
  <dimension ref="A1:O56"/>
  <sheetViews>
    <sheetView zoomScale="90" zoomScaleNormal="90" workbookViewId="0">
      <selection activeCell="Q54" sqref="Q54"/>
    </sheetView>
  </sheetViews>
  <sheetFormatPr defaultRowHeight="15" x14ac:dyDescent="0.25"/>
  <cols>
    <col min="1" max="1" width="51.28515625" bestFit="1" customWidth="1"/>
    <col min="2" max="2" width="6.42578125" hidden="1" customWidth="1"/>
    <col min="3" max="3" width="13.42578125" hidden="1" customWidth="1"/>
    <col min="4" max="4" width="20.42578125" hidden="1" customWidth="1"/>
    <col min="5" max="13" width="10.7109375" customWidth="1"/>
  </cols>
  <sheetData>
    <row r="1" spans="1:13" ht="21.75" customHeight="1" x14ac:dyDescent="0.25"/>
    <row r="2" spans="1:13" ht="21.75" customHeight="1" x14ac:dyDescent="0.25"/>
    <row r="3" spans="1:13" ht="21.75" customHeight="1" thickBot="1" x14ac:dyDescent="0.3"/>
    <row r="4" spans="1:13" ht="21.75" customHeight="1" thickBot="1" x14ac:dyDescent="0.3">
      <c r="A4" s="42" t="s">
        <v>122</v>
      </c>
      <c r="B4" s="43" t="s">
        <v>569</v>
      </c>
      <c r="C4" s="44" t="s">
        <v>124</v>
      </c>
      <c r="E4" s="223" t="s">
        <v>570</v>
      </c>
      <c r="F4" s="224" t="s">
        <v>571</v>
      </c>
      <c r="G4" s="224" t="s">
        <v>572</v>
      </c>
      <c r="H4" s="224" t="s">
        <v>573</v>
      </c>
      <c r="I4" s="224" t="s">
        <v>574</v>
      </c>
      <c r="J4" s="224" t="s">
        <v>575</v>
      </c>
      <c r="K4" s="224" t="s">
        <v>576</v>
      </c>
      <c r="L4" s="224" t="s">
        <v>577</v>
      </c>
      <c r="M4" s="225" t="s">
        <v>578</v>
      </c>
    </row>
    <row r="5" spans="1:13" ht="21" customHeight="1" x14ac:dyDescent="0.25">
      <c r="A5" s="20" t="s">
        <v>579</v>
      </c>
      <c r="B5" s="4"/>
      <c r="C5" s="5"/>
      <c r="D5" s="12"/>
      <c r="E5" s="222">
        <v>11722</v>
      </c>
      <c r="F5" s="222">
        <v>12066</v>
      </c>
      <c r="G5" s="222">
        <v>14446</v>
      </c>
      <c r="H5" s="222">
        <v>14553</v>
      </c>
      <c r="I5" s="222">
        <v>3822</v>
      </c>
      <c r="J5" s="222">
        <v>4612</v>
      </c>
      <c r="K5" s="222">
        <v>6942</v>
      </c>
      <c r="L5" s="222">
        <v>6954</v>
      </c>
      <c r="M5" s="222">
        <v>7529</v>
      </c>
    </row>
    <row r="6" spans="1:13" ht="25.5" customHeight="1" x14ac:dyDescent="0.25">
      <c r="A6" s="21" t="s">
        <v>132</v>
      </c>
      <c r="B6" s="38"/>
      <c r="C6" s="79">
        <v>127.82</v>
      </c>
      <c r="D6" s="46" t="s">
        <v>580</v>
      </c>
      <c r="E6" s="39">
        <f>'JSH 11722'!AG8</f>
        <v>0</v>
      </c>
      <c r="F6" s="39">
        <f>'BB 12066'!AG8</f>
        <v>0</v>
      </c>
      <c r="G6" s="39">
        <f ca="1">'JD 14446'!AF8</f>
        <v>0</v>
      </c>
      <c r="H6" s="39">
        <f ca="1">'CONF 14553'!AF8</f>
        <v>0</v>
      </c>
      <c r="I6" s="39">
        <f>'JC 3822'!AG8</f>
        <v>0</v>
      </c>
      <c r="J6" s="39">
        <f ca="1">'SM 23048'!AF8</f>
        <v>0</v>
      </c>
      <c r="K6" s="39">
        <f ca="1">'IT 6942'!AF8</f>
        <v>0</v>
      </c>
      <c r="L6" s="39">
        <f>'BR 6954'!AG8</f>
        <v>0</v>
      </c>
      <c r="M6" s="39">
        <f ca="1">'DC 7529'!AF8</f>
        <v>0</v>
      </c>
    </row>
    <row r="7" spans="1:13" ht="25.5" customHeight="1" x14ac:dyDescent="0.25">
      <c r="A7" s="21" t="s">
        <v>549</v>
      </c>
      <c r="B7" s="38"/>
      <c r="C7" s="79">
        <v>118.73</v>
      </c>
      <c r="D7" s="48" t="s">
        <v>581</v>
      </c>
      <c r="E7" s="39">
        <f>'JSH 11722'!AG9</f>
        <v>0</v>
      </c>
      <c r="F7" s="39">
        <f>'BB 12066'!AG9</f>
        <v>0</v>
      </c>
      <c r="G7" s="39">
        <f ca="1">'JD 14446'!AF9</f>
        <v>0</v>
      </c>
      <c r="H7" s="39">
        <f ca="1">'CONF 14553'!AF9</f>
        <v>0</v>
      </c>
      <c r="I7" s="39">
        <f>'JC 3822'!AG9</f>
        <v>0</v>
      </c>
      <c r="J7" s="39">
        <f ca="1">'SM 23048'!AF9</f>
        <v>0</v>
      </c>
      <c r="K7" s="39">
        <f ca="1">'IT 6942'!AF9</f>
        <v>0</v>
      </c>
      <c r="L7" s="39">
        <f>'BR 6954'!AG9</f>
        <v>0</v>
      </c>
      <c r="M7" s="39">
        <f ca="1">'DC 7529'!AF9</f>
        <v>0</v>
      </c>
    </row>
    <row r="8" spans="1:13" ht="25.5" customHeight="1" x14ac:dyDescent="0.25">
      <c r="A8" s="21" t="s">
        <v>137</v>
      </c>
      <c r="B8" s="38"/>
      <c r="C8" s="79">
        <v>145.85</v>
      </c>
      <c r="D8" s="46" t="s">
        <v>582</v>
      </c>
      <c r="E8" s="39">
        <f>'JSH 11722'!AG10</f>
        <v>0</v>
      </c>
      <c r="F8" s="39">
        <f>'BB 12066'!AG10</f>
        <v>0</v>
      </c>
      <c r="G8" s="39">
        <f ca="1">'JD 14446'!AF10</f>
        <v>0</v>
      </c>
      <c r="H8" s="39">
        <f ca="1">'CONF 14553'!AF10</f>
        <v>0</v>
      </c>
      <c r="I8" s="39">
        <f>'JC 3822'!AG10</f>
        <v>0</v>
      </c>
      <c r="J8" s="39">
        <f ca="1">'SM 23048'!AF10</f>
        <v>0</v>
      </c>
      <c r="K8" s="39">
        <f ca="1">'IT 6942'!AF10</f>
        <v>0</v>
      </c>
      <c r="L8" s="39">
        <f>'BR 6954'!AG10</f>
        <v>0</v>
      </c>
      <c r="M8" s="39">
        <f ca="1">'DC 7529'!AF10</f>
        <v>0</v>
      </c>
    </row>
    <row r="9" spans="1:13" ht="25.5" customHeight="1" x14ac:dyDescent="0.25">
      <c r="A9" s="22" t="s">
        <v>550</v>
      </c>
      <c r="B9" s="38"/>
      <c r="C9" s="80">
        <v>139.57</v>
      </c>
      <c r="D9" s="50" t="s">
        <v>583</v>
      </c>
      <c r="E9" s="39">
        <f>'JSH 11722'!AG11</f>
        <v>0</v>
      </c>
      <c r="F9" s="39">
        <f>'BB 12066'!AG11</f>
        <v>0</v>
      </c>
      <c r="G9" s="39">
        <f ca="1">'JD 14446'!AF11</f>
        <v>0</v>
      </c>
      <c r="H9" s="39">
        <f ca="1">'CONF 14553'!AF11</f>
        <v>0</v>
      </c>
      <c r="I9" s="39">
        <f>'JC 3822'!AG11</f>
        <v>0</v>
      </c>
      <c r="J9" s="39">
        <f ca="1">'SM 23048'!AF11</f>
        <v>0</v>
      </c>
      <c r="K9" s="39">
        <f ca="1">'IT 6942'!AF11</f>
        <v>0</v>
      </c>
      <c r="L9" s="39">
        <f>'BR 6954'!AG11</f>
        <v>0</v>
      </c>
      <c r="M9" s="39">
        <f ca="1">'DC 7529'!AF11</f>
        <v>0</v>
      </c>
    </row>
    <row r="10" spans="1:13" ht="18.75" customHeight="1" x14ac:dyDescent="0.25">
      <c r="A10" s="51" t="s">
        <v>584</v>
      </c>
      <c r="B10" s="47"/>
      <c r="C10" s="57"/>
      <c r="D10" s="54"/>
      <c r="E10" s="53"/>
      <c r="F10" s="53"/>
      <c r="G10" s="53"/>
      <c r="H10" s="53"/>
      <c r="I10" s="53"/>
      <c r="J10" s="37"/>
      <c r="K10" s="53"/>
      <c r="L10" s="53"/>
      <c r="M10" s="37"/>
    </row>
    <row r="11" spans="1:13" ht="18.75" customHeight="1" x14ac:dyDescent="0.25">
      <c r="A11" s="25" t="s">
        <v>153</v>
      </c>
      <c r="B11" s="38">
        <v>100</v>
      </c>
      <c r="C11" s="55">
        <v>177.02</v>
      </c>
      <c r="D11" s="49" t="s">
        <v>585</v>
      </c>
      <c r="E11" s="346">
        <f>'JSH 11722'!AG20</f>
        <v>0</v>
      </c>
      <c r="F11" s="346">
        <f>'BB 12066'!AG20</f>
        <v>0</v>
      </c>
      <c r="G11" s="346">
        <f ca="1">'JD 14446'!AF20</f>
        <v>0</v>
      </c>
      <c r="H11" s="346">
        <f ca="1">'CONF 14553'!AF20</f>
        <v>0</v>
      </c>
      <c r="I11" s="346">
        <f>'JC 3822'!AG20</f>
        <v>0</v>
      </c>
      <c r="J11" s="346">
        <f ca="1">'SM 23048'!AF20</f>
        <v>0</v>
      </c>
      <c r="K11" s="346">
        <f ca="1">'IT 6942'!AF20</f>
        <v>0</v>
      </c>
      <c r="L11" s="346">
        <f>'BR 6954'!AG20</f>
        <v>0</v>
      </c>
      <c r="M11" s="346">
        <f ca="1">'DC 7529'!AF20</f>
        <v>0</v>
      </c>
    </row>
    <row r="12" spans="1:13" ht="18.75" customHeight="1" x14ac:dyDescent="0.25">
      <c r="A12" s="25" t="s">
        <v>155</v>
      </c>
      <c r="B12" s="50">
        <v>100</v>
      </c>
      <c r="C12" s="55">
        <v>232.14</v>
      </c>
      <c r="D12" s="45" t="s">
        <v>586</v>
      </c>
      <c r="E12" s="346">
        <f>'JSH 11722'!AG21</f>
        <v>0</v>
      </c>
      <c r="F12" s="346">
        <f>'BB 12066'!AG21</f>
        <v>0</v>
      </c>
      <c r="G12" s="346">
        <f ca="1">'JD 14446'!AF21</f>
        <v>0</v>
      </c>
      <c r="H12" s="346">
        <f ca="1">'CONF 14553'!AF21</f>
        <v>0</v>
      </c>
      <c r="I12" s="346">
        <f>'JC 3822'!AG21</f>
        <v>0</v>
      </c>
      <c r="J12" s="346">
        <f ca="1">'SM 23048'!AF21</f>
        <v>0</v>
      </c>
      <c r="K12" s="346">
        <f ca="1">'IT 6942'!AF21</f>
        <v>0</v>
      </c>
      <c r="L12" s="346">
        <f>'BR 6954'!AG21</f>
        <v>0</v>
      </c>
      <c r="M12" s="346">
        <f ca="1">'DC 7529'!AF21</f>
        <v>0</v>
      </c>
    </row>
    <row r="13" spans="1:13" ht="18.75" customHeight="1" x14ac:dyDescent="0.25">
      <c r="A13" s="58" t="s">
        <v>157</v>
      </c>
      <c r="B13" s="48">
        <v>50</v>
      </c>
      <c r="C13" s="55">
        <v>225.25</v>
      </c>
      <c r="D13" s="46" t="s">
        <v>587</v>
      </c>
      <c r="E13" s="346">
        <f>'JSH 11722'!AG22</f>
        <v>0</v>
      </c>
      <c r="F13" s="346">
        <f>'BB 12066'!AG22</f>
        <v>0</v>
      </c>
      <c r="G13" s="346">
        <f ca="1">'JD 14446'!AF22</f>
        <v>0</v>
      </c>
      <c r="H13" s="346">
        <f ca="1">'CONF 14553'!AF22</f>
        <v>0</v>
      </c>
      <c r="I13" s="346">
        <f>'JC 3822'!AG22</f>
        <v>0</v>
      </c>
      <c r="J13" s="346">
        <f ca="1">'SM 23048'!AF22</f>
        <v>0</v>
      </c>
      <c r="K13" s="346">
        <f ca="1">'IT 6942'!AF22</f>
        <v>0</v>
      </c>
      <c r="L13" s="346">
        <f>'BR 6954'!AG22</f>
        <v>0</v>
      </c>
      <c r="M13" s="346">
        <f ca="1">'DC 7529'!AF22</f>
        <v>0</v>
      </c>
    </row>
    <row r="14" spans="1:13" ht="18.75" customHeight="1" x14ac:dyDescent="0.25">
      <c r="A14" s="58" t="s">
        <v>159</v>
      </c>
      <c r="B14" s="276"/>
      <c r="C14" s="277"/>
      <c r="D14" s="278"/>
      <c r="E14" s="346">
        <f>'JSH 11722'!AG23</f>
        <v>0</v>
      </c>
      <c r="F14" s="346">
        <f>'BB 12066'!AG23</f>
        <v>0</v>
      </c>
      <c r="G14" s="346">
        <f ca="1">'JD 14446'!AF23</f>
        <v>0</v>
      </c>
      <c r="H14" s="346">
        <f ca="1">'CONF 14553'!AF23</f>
        <v>0</v>
      </c>
      <c r="I14" s="346">
        <f>'JC 3822'!AG23</f>
        <v>0</v>
      </c>
      <c r="J14" s="346">
        <f ca="1">'SM 23048'!AF23</f>
        <v>0</v>
      </c>
      <c r="K14" s="346">
        <f ca="1">'IT 6942'!AF23</f>
        <v>0</v>
      </c>
      <c r="L14" s="346">
        <f>'BR 6954'!AG23</f>
        <v>0</v>
      </c>
      <c r="M14" s="346">
        <f ca="1">'DC 7529'!AF23</f>
        <v>0</v>
      </c>
    </row>
    <row r="15" spans="1:13" ht="18.75" customHeight="1" x14ac:dyDescent="0.25">
      <c r="A15" s="51" t="s">
        <v>588</v>
      </c>
      <c r="B15" s="36"/>
      <c r="C15" s="52"/>
      <c r="D15" s="53"/>
      <c r="E15" s="53"/>
      <c r="F15" s="53"/>
      <c r="G15" s="53"/>
      <c r="H15" s="53"/>
      <c r="I15" s="53"/>
      <c r="J15" s="37"/>
      <c r="K15" s="53"/>
      <c r="L15" s="53"/>
      <c r="M15" s="37"/>
    </row>
    <row r="16" spans="1:13" ht="18.75" customHeight="1" x14ac:dyDescent="0.25">
      <c r="A16" s="25" t="s">
        <v>224</v>
      </c>
      <c r="B16" s="38">
        <v>500</v>
      </c>
      <c r="C16" s="55">
        <v>75.08</v>
      </c>
      <c r="D16" s="49" t="s">
        <v>589</v>
      </c>
      <c r="E16" s="410">
        <f>'JSH 11722'!AG14</f>
        <v>0</v>
      </c>
      <c r="F16" s="346">
        <f>'BB 12066'!AG14</f>
        <v>0</v>
      </c>
      <c r="G16" s="346">
        <f ca="1">'JD 14446'!AF14</f>
        <v>0</v>
      </c>
      <c r="H16" s="346">
        <f ca="1">'CONF 14553'!AF14</f>
        <v>0</v>
      </c>
      <c r="I16" s="346">
        <f>'JC 3822'!AG14</f>
        <v>0</v>
      </c>
      <c r="J16" s="346">
        <f ca="1">'SM 23048'!AF14</f>
        <v>0</v>
      </c>
      <c r="K16" s="346">
        <f ca="1">'IT 6942'!AF14</f>
        <v>0</v>
      </c>
      <c r="L16" s="346">
        <f>'BR 6954'!AG14</f>
        <v>0</v>
      </c>
      <c r="M16" s="346">
        <f ca="1">'DC 7529'!AF14</f>
        <v>0</v>
      </c>
    </row>
    <row r="17" spans="1:15" ht="18.75" customHeight="1" x14ac:dyDescent="0.25">
      <c r="A17" s="25" t="s">
        <v>590</v>
      </c>
      <c r="B17" s="50">
        <v>2000</v>
      </c>
      <c r="C17" s="56">
        <v>41.6</v>
      </c>
      <c r="D17" s="45" t="s">
        <v>591</v>
      </c>
      <c r="E17" s="410">
        <f>'JSH 11722'!AG15</f>
        <v>0</v>
      </c>
      <c r="F17" s="346">
        <f>'BB 12066'!AG15</f>
        <v>0</v>
      </c>
      <c r="G17" s="346">
        <f ca="1">'JD 14446'!AF15</f>
        <v>0</v>
      </c>
      <c r="H17" s="346">
        <f ca="1">'CONF 14553'!AF15</f>
        <v>0</v>
      </c>
      <c r="I17" s="346">
        <f>'JC 3822'!AG15</f>
        <v>0</v>
      </c>
      <c r="J17" s="346">
        <f ca="1">'SM 23048'!AF15</f>
        <v>0</v>
      </c>
      <c r="K17" s="346">
        <f ca="1">'IT 6942'!AF15</f>
        <v>0</v>
      </c>
      <c r="L17" s="346">
        <f>'BR 6954'!AG15</f>
        <v>0</v>
      </c>
      <c r="M17" s="346">
        <f ca="1">'DC 7529'!AF15</f>
        <v>0</v>
      </c>
    </row>
    <row r="18" spans="1:15" ht="18.75" customHeight="1" x14ac:dyDescent="0.25">
      <c r="A18" s="25" t="s">
        <v>147</v>
      </c>
      <c r="B18" s="50">
        <v>200</v>
      </c>
      <c r="C18" s="56">
        <v>7.72</v>
      </c>
      <c r="D18" s="45" t="s">
        <v>592</v>
      </c>
      <c r="E18" s="410">
        <f>'JSH 11722'!AG16</f>
        <v>0</v>
      </c>
      <c r="F18" s="346">
        <f>'BB 12066'!AG16</f>
        <v>0</v>
      </c>
      <c r="G18" s="346">
        <f ca="1">'JD 14446'!AF16</f>
        <v>0</v>
      </c>
      <c r="H18" s="346">
        <f ca="1">'CONF 14553'!AF16</f>
        <v>0</v>
      </c>
      <c r="I18" s="346">
        <f>'JC 3822'!AG16</f>
        <v>0</v>
      </c>
      <c r="J18" s="346">
        <f ca="1">'SM 23048'!AF16</f>
        <v>0</v>
      </c>
      <c r="K18" s="346">
        <f ca="1">'IT 6942'!AF16</f>
        <v>0</v>
      </c>
      <c r="L18" s="346">
        <f>'BR 6954'!AG16</f>
        <v>0</v>
      </c>
      <c r="M18" s="346">
        <f ca="1">'DC 7529'!AF16</f>
        <v>0</v>
      </c>
    </row>
    <row r="19" spans="1:15" ht="19.5" customHeight="1" thickBot="1" x14ac:dyDescent="0.3">
      <c r="A19" s="25" t="s">
        <v>148</v>
      </c>
      <c r="B19" s="50">
        <v>3000</v>
      </c>
      <c r="C19" s="56">
        <v>62.46</v>
      </c>
      <c r="D19" s="45" t="s">
        <v>593</v>
      </c>
      <c r="E19" s="410">
        <f>'JSH 11722'!AG17</f>
        <v>0</v>
      </c>
      <c r="F19" s="346">
        <f>'BB 12066'!AG17</f>
        <v>0</v>
      </c>
      <c r="G19" s="346">
        <f ca="1">'JD 14446'!AF17</f>
        <v>0</v>
      </c>
      <c r="H19" s="346">
        <f ca="1">'CONF 14553'!AF17</f>
        <v>0</v>
      </c>
      <c r="I19" s="346">
        <f>'JC 3822'!AG17</f>
        <v>0</v>
      </c>
      <c r="J19" s="346">
        <f ca="1">'SM 23048'!AF17</f>
        <v>0</v>
      </c>
      <c r="K19" s="346">
        <f ca="1">'IT 6942'!AF17</f>
        <v>0</v>
      </c>
      <c r="L19" s="346">
        <f>'BR 6954'!AG17</f>
        <v>0</v>
      </c>
      <c r="M19" s="346">
        <f ca="1">'DC 7529'!AF17</f>
        <v>0</v>
      </c>
    </row>
    <row r="20" spans="1:15" ht="18.75" customHeight="1" x14ac:dyDescent="0.25">
      <c r="A20" s="136"/>
      <c r="B20" s="137"/>
      <c r="C20" s="138"/>
      <c r="D20" s="138"/>
      <c r="E20" s="139"/>
      <c r="F20" s="139"/>
      <c r="G20" s="139"/>
      <c r="H20" s="139"/>
      <c r="I20" s="139"/>
      <c r="J20" s="139"/>
      <c r="K20" s="139"/>
      <c r="L20" s="139"/>
      <c r="M20" s="139"/>
    </row>
    <row r="21" spans="1:15" ht="18.75" customHeight="1" x14ac:dyDescent="0.25">
      <c r="A21" s="466" t="s">
        <v>594</v>
      </c>
      <c r="B21" s="467"/>
      <c r="C21" s="467"/>
      <c r="D21" s="467"/>
      <c r="E21" s="467"/>
      <c r="F21" s="467"/>
      <c r="G21" s="467"/>
      <c r="H21" s="467"/>
      <c r="I21" s="467"/>
      <c r="J21" s="467"/>
      <c r="K21" s="467"/>
      <c r="L21" s="467"/>
      <c r="M21" s="469"/>
    </row>
    <row r="22" spans="1:15" ht="19.5" customHeight="1" x14ac:dyDescent="0.25">
      <c r="A22" s="68" t="s">
        <v>426</v>
      </c>
      <c r="B22" s="5"/>
      <c r="C22" s="5"/>
      <c r="D22" s="287" t="s">
        <v>595</v>
      </c>
      <c r="E22" s="288">
        <v>23091</v>
      </c>
      <c r="F22" s="288">
        <v>22838</v>
      </c>
      <c r="G22" s="288">
        <v>24137</v>
      </c>
      <c r="I22" s="531" t="s">
        <v>596</v>
      </c>
      <c r="J22" s="467"/>
      <c r="K22" s="467"/>
      <c r="L22" s="467"/>
      <c r="M22" s="176">
        <v>23091</v>
      </c>
      <c r="N22" s="176">
        <v>22838</v>
      </c>
      <c r="O22" s="176">
        <v>24137</v>
      </c>
    </row>
    <row r="23" spans="1:15" ht="25.5" customHeight="1" x14ac:dyDescent="0.25">
      <c r="A23" s="25" t="s">
        <v>132</v>
      </c>
      <c r="B23" s="50"/>
      <c r="C23" s="289">
        <v>127.82</v>
      </c>
      <c r="D23" s="45" t="s">
        <v>597</v>
      </c>
      <c r="E23" s="39">
        <f>'CDJ 23091'!AG8</f>
        <v>0</v>
      </c>
      <c r="F23" s="39">
        <f>'ERJ 22838'!AH8</f>
        <v>0</v>
      </c>
      <c r="G23" s="39">
        <f>'ER SM 24137'!AH8</f>
        <v>0</v>
      </c>
      <c r="I23" s="528" t="str">
        <f>'[1]CDJ 23091'!A33</f>
        <v>SACOLA P OUI</v>
      </c>
      <c r="J23" s="467"/>
      <c r="K23" s="467"/>
      <c r="L23" s="469"/>
      <c r="M23" s="174">
        <f>'CDJ 23091'!AG33</f>
        <v>0</v>
      </c>
      <c r="N23" s="39">
        <f>'ERJ 22838'!AH46</f>
        <v>0</v>
      </c>
      <c r="O23" s="39">
        <f>'ER SM 24137'!AH41</f>
        <v>0</v>
      </c>
    </row>
    <row r="24" spans="1:15" ht="25.5" customHeight="1" x14ac:dyDescent="0.25">
      <c r="A24" s="25" t="s">
        <v>549</v>
      </c>
      <c r="B24" s="50"/>
      <c r="C24" s="289">
        <v>110.96</v>
      </c>
      <c r="D24" s="50" t="s">
        <v>598</v>
      </c>
      <c r="E24" s="39">
        <f>'CDJ 23091'!AG9</f>
        <v>0</v>
      </c>
      <c r="F24" s="39">
        <f>'ERJ 22838'!AH9</f>
        <v>0</v>
      </c>
      <c r="G24" s="39">
        <f>'ER SM 24137'!AH9</f>
        <v>0</v>
      </c>
      <c r="I24" s="528" t="str">
        <f>'[1]CDJ 23091'!A34</f>
        <v>SACOLA M OUI</v>
      </c>
      <c r="J24" s="467"/>
      <c r="K24" s="467"/>
      <c r="L24" s="469"/>
      <c r="M24" s="174">
        <f>'CDJ 23091'!AG34</f>
        <v>0</v>
      </c>
      <c r="N24" s="39">
        <f>'ERJ 22838'!AH47</f>
        <v>0</v>
      </c>
      <c r="O24" s="39">
        <f>'ER SM 24137'!AH42</f>
        <v>0</v>
      </c>
    </row>
    <row r="25" spans="1:15" ht="25.5" customHeight="1" x14ac:dyDescent="0.25">
      <c r="A25" s="25" t="s">
        <v>137</v>
      </c>
      <c r="B25" s="50"/>
      <c r="C25" s="289">
        <v>145.85</v>
      </c>
      <c r="D25" s="45" t="s">
        <v>599</v>
      </c>
      <c r="E25" s="39">
        <f>'CDJ 23091'!AG10</f>
        <v>0</v>
      </c>
      <c r="F25" s="39">
        <f>'ERJ 22838'!AH10</f>
        <v>0</v>
      </c>
      <c r="G25" s="39">
        <f>'ER SM 24137'!AH10</f>
        <v>0</v>
      </c>
      <c r="I25" s="528" t="str">
        <f>'[1]CDJ 23091'!A35</f>
        <v>SACOLA G OUI</v>
      </c>
      <c r="J25" s="467"/>
      <c r="K25" s="467"/>
      <c r="L25" s="469"/>
      <c r="M25" s="174">
        <f>'CDJ 23091'!AG35</f>
        <v>0</v>
      </c>
      <c r="N25" s="39">
        <f>'ERJ 22838'!AH48</f>
        <v>0</v>
      </c>
      <c r="O25" s="39">
        <f>'ER SM 24137'!AH43</f>
        <v>0</v>
      </c>
    </row>
    <row r="26" spans="1:15" ht="25.5" customHeight="1" x14ac:dyDescent="0.25">
      <c r="A26" s="25" t="s">
        <v>550</v>
      </c>
      <c r="B26" s="50"/>
      <c r="C26" s="289">
        <v>130.44</v>
      </c>
      <c r="D26" s="45" t="s">
        <v>600</v>
      </c>
      <c r="E26" s="39">
        <f>'CDJ 23091'!AG11</f>
        <v>0</v>
      </c>
      <c r="F26" s="39">
        <f>'ERJ 22838'!AH11</f>
        <v>0</v>
      </c>
      <c r="G26" s="39">
        <f>'ER SM 24137'!AH11</f>
        <v>0</v>
      </c>
      <c r="I26" s="528" t="str">
        <f>'[1]CDJ 23091'!A39</f>
        <v>KIT CAIXA P OUI</v>
      </c>
      <c r="J26" s="467"/>
      <c r="K26" s="467"/>
      <c r="L26" s="469"/>
      <c r="M26" s="174">
        <f>'CDJ 23091'!AG39</f>
        <v>0</v>
      </c>
      <c r="N26" s="39">
        <f>'ERJ 22838'!AH55</f>
        <v>0</v>
      </c>
      <c r="O26" s="39">
        <f>'ER SM 24137'!AH50</f>
        <v>0</v>
      </c>
    </row>
    <row r="27" spans="1:15" ht="25.5" customHeight="1" x14ac:dyDescent="0.25">
      <c r="A27" s="526" t="s">
        <v>601</v>
      </c>
      <c r="B27" s="467"/>
      <c r="C27" s="467"/>
      <c r="D27" s="467"/>
      <c r="E27" s="469"/>
      <c r="F27" s="24"/>
      <c r="G27" s="24"/>
      <c r="I27" s="528" t="str">
        <f>'[1]CDJ 23091'!A40</f>
        <v>KIT CAIXA M OUI</v>
      </c>
      <c r="J27" s="467"/>
      <c r="K27" s="467"/>
      <c r="L27" s="469"/>
      <c r="M27" s="174">
        <f>'CDJ 23091'!AG40</f>
        <v>0</v>
      </c>
      <c r="N27" s="39">
        <f>'ERJ 22838'!AH56</f>
        <v>0</v>
      </c>
      <c r="O27" s="39">
        <f>'ER SM 24137'!AH51</f>
        <v>0</v>
      </c>
    </row>
    <row r="28" spans="1:15" ht="25.5" customHeight="1" x14ac:dyDescent="0.25">
      <c r="A28" s="528" t="s">
        <v>499</v>
      </c>
      <c r="B28" s="467"/>
      <c r="C28" s="467"/>
      <c r="D28" s="469"/>
      <c r="E28" s="39">
        <v>0</v>
      </c>
      <c r="F28" s="39">
        <f>'ERJ 22838'!AH12</f>
        <v>0</v>
      </c>
      <c r="G28" s="39">
        <f>'ER SM 24137'!AH12</f>
        <v>0</v>
      </c>
      <c r="I28" s="528" t="str">
        <f>'[1]CDJ 23091'!A41</f>
        <v>KIT CAIXA G OUI</v>
      </c>
      <c r="J28" s="467"/>
      <c r="K28" s="467"/>
      <c r="L28" s="469"/>
      <c r="M28" s="174">
        <f>'CDJ 23091'!AG41</f>
        <v>0</v>
      </c>
      <c r="N28" s="39">
        <f>'ERJ 22838'!AH57</f>
        <v>0</v>
      </c>
      <c r="O28" s="39">
        <f>'ER SM 24137'!AH52</f>
        <v>0</v>
      </c>
    </row>
    <row r="29" spans="1:15" ht="25.5" customHeight="1" x14ac:dyDescent="0.25">
      <c r="A29" s="528" t="s">
        <v>500</v>
      </c>
      <c r="B29" s="467"/>
      <c r="C29" s="467"/>
      <c r="D29" s="469"/>
      <c r="E29" s="39">
        <v>0</v>
      </c>
      <c r="F29" s="39">
        <f>'ERJ 22838'!AH13</f>
        <v>0</v>
      </c>
      <c r="G29" s="39">
        <f>'ER SM 24137'!AH13</f>
        <v>0</v>
      </c>
      <c r="I29" s="528" t="s">
        <v>560</v>
      </c>
      <c r="J29" s="467"/>
      <c r="K29" s="467"/>
      <c r="L29" s="469"/>
      <c r="M29" s="174">
        <v>0</v>
      </c>
      <c r="N29" s="39">
        <f>'ERJ 22838'!AH49</f>
        <v>0</v>
      </c>
      <c r="O29" s="39">
        <f>'ER SM 24137'!AH44</f>
        <v>0</v>
      </c>
    </row>
    <row r="30" spans="1:15" ht="25.5" customHeight="1" x14ac:dyDescent="0.25">
      <c r="A30" s="24" t="s">
        <v>602</v>
      </c>
      <c r="B30" s="8"/>
      <c r="C30" s="8"/>
      <c r="D30" s="8"/>
      <c r="E30" s="175"/>
      <c r="F30" s="175"/>
      <c r="G30" s="175"/>
      <c r="I30" s="528" t="s">
        <v>561</v>
      </c>
      <c r="J30" s="467"/>
      <c r="K30" s="467"/>
      <c r="L30" s="469"/>
      <c r="M30" s="174">
        <v>0</v>
      </c>
      <c r="N30" s="39">
        <f>'ERJ 22838'!AH50</f>
        <v>0</v>
      </c>
      <c r="O30" s="39">
        <f>'ER SM 24137'!AH45</f>
        <v>0</v>
      </c>
    </row>
    <row r="31" spans="1:15" ht="25.5" customHeight="1" x14ac:dyDescent="0.25">
      <c r="A31" s="59" t="s">
        <v>143</v>
      </c>
      <c r="B31" s="50"/>
      <c r="C31" s="60">
        <v>432</v>
      </c>
      <c r="D31" s="45" t="s">
        <v>603</v>
      </c>
      <c r="E31" s="6">
        <v>0</v>
      </c>
      <c r="F31" s="39">
        <f>'ERJ 22838'!AH16</f>
        <v>0</v>
      </c>
      <c r="G31" s="6">
        <f>'ER SM 24137'!AH16</f>
        <v>0</v>
      </c>
      <c r="I31" s="528" t="s">
        <v>604</v>
      </c>
      <c r="J31" s="467"/>
      <c r="K31" s="467"/>
      <c r="L31" s="469"/>
      <c r="M31" s="174">
        <v>0</v>
      </c>
      <c r="N31" s="39">
        <f>'ERJ 22838'!AH51</f>
        <v>0</v>
      </c>
      <c r="O31" s="39">
        <f>'ER SM 24137'!AH46</f>
        <v>0</v>
      </c>
    </row>
    <row r="32" spans="1:15" ht="25.5" customHeight="1" x14ac:dyDescent="0.25">
      <c r="A32" s="59" t="s">
        <v>605</v>
      </c>
      <c r="B32" s="50"/>
      <c r="C32" s="60">
        <v>339</v>
      </c>
      <c r="D32" s="45" t="s">
        <v>606</v>
      </c>
      <c r="E32" s="6">
        <v>0</v>
      </c>
      <c r="F32" s="39">
        <f>'ERJ 22838'!AH17</f>
        <v>0</v>
      </c>
      <c r="G32" s="6">
        <f>'ER SM 24137'!AH17</f>
        <v>0</v>
      </c>
      <c r="I32" s="528" t="str">
        <f>'[1]CDJ 23091'!A36</f>
        <v>SACO M OUI (BRINDE)</v>
      </c>
      <c r="J32" s="467"/>
      <c r="K32" s="467"/>
      <c r="L32" s="469"/>
      <c r="M32" s="174">
        <f>'CDJ 23091'!AG36</f>
        <v>0</v>
      </c>
      <c r="N32" s="39">
        <f>'ERJ 22838'!AH52</f>
        <v>0</v>
      </c>
      <c r="O32" s="39">
        <f>'ER SM 24137'!AH47</f>
        <v>0</v>
      </c>
    </row>
    <row r="33" spans="1:15" ht="25.5" customHeight="1" x14ac:dyDescent="0.25">
      <c r="A33" s="59" t="s">
        <v>607</v>
      </c>
      <c r="B33" s="50"/>
      <c r="C33" s="60">
        <v>237.5</v>
      </c>
      <c r="D33" s="45" t="s">
        <v>608</v>
      </c>
      <c r="E33" s="6">
        <v>0</v>
      </c>
      <c r="F33" s="39">
        <f>'ERJ 22838'!AH18</f>
        <v>0</v>
      </c>
      <c r="G33" s="6">
        <f>'ER SM 24137'!AH18</f>
        <v>0</v>
      </c>
      <c r="I33" s="532" t="str">
        <f>'[1]CDJ 23091'!A43</f>
        <v>SACOLAS E CAIXAS QDB</v>
      </c>
      <c r="J33" s="467"/>
      <c r="K33" s="467"/>
      <c r="L33" s="469"/>
      <c r="M33" s="146">
        <v>23091</v>
      </c>
      <c r="N33" s="146">
        <v>22838</v>
      </c>
      <c r="O33" s="146">
        <v>24137</v>
      </c>
    </row>
    <row r="34" spans="1:15" ht="25.5" customHeight="1" x14ac:dyDescent="0.25">
      <c r="A34" s="59" t="s">
        <v>148</v>
      </c>
      <c r="B34" s="50">
        <v>500</v>
      </c>
      <c r="C34" s="60">
        <v>130</v>
      </c>
      <c r="D34" s="45" t="s">
        <v>609</v>
      </c>
      <c r="E34" s="6">
        <v>0</v>
      </c>
      <c r="F34" s="39">
        <f>'ERJ 22838'!AH19</f>
        <v>0</v>
      </c>
      <c r="G34" s="6">
        <f>'ER SM 24137'!AH19</f>
        <v>0</v>
      </c>
      <c r="I34" s="528" t="str">
        <f>'[1]CDJ 23091'!A44</f>
        <v>SACOLA P - QDB</v>
      </c>
      <c r="J34" s="467"/>
      <c r="K34" s="467"/>
      <c r="L34" s="469"/>
      <c r="M34" s="174">
        <v>0</v>
      </c>
      <c r="N34" s="174">
        <v>0</v>
      </c>
      <c r="O34" s="39">
        <v>0</v>
      </c>
    </row>
    <row r="35" spans="1:15" ht="25.5" customHeight="1" x14ac:dyDescent="0.25">
      <c r="A35" s="526" t="s">
        <v>610</v>
      </c>
      <c r="B35" s="467"/>
      <c r="C35" s="467"/>
      <c r="D35" s="467"/>
      <c r="E35" s="469"/>
      <c r="F35" s="24"/>
      <c r="G35" s="24"/>
      <c r="I35" s="528" t="str">
        <f>'[1]CDJ 23091'!A45</f>
        <v>SACOLA M - QDB</v>
      </c>
      <c r="J35" s="467"/>
      <c r="K35" s="467"/>
      <c r="L35" s="469"/>
      <c r="M35" s="174">
        <v>0</v>
      </c>
      <c r="N35" s="174">
        <v>0</v>
      </c>
      <c r="O35" s="39">
        <v>0</v>
      </c>
    </row>
    <row r="36" spans="1:15" ht="25.5" customHeight="1" x14ac:dyDescent="0.25">
      <c r="A36" s="25" t="s">
        <v>132</v>
      </c>
      <c r="B36" s="50"/>
      <c r="C36" s="289"/>
      <c r="D36" s="45"/>
      <c r="E36" s="39">
        <f>'CDJ 23091'!AG14</f>
        <v>0</v>
      </c>
      <c r="F36" s="39">
        <f>'ERJ 22838'!AH22</f>
        <v>0</v>
      </c>
      <c r="G36" s="39">
        <f>'ER SM 24137'!AH22</f>
        <v>0</v>
      </c>
      <c r="I36" s="528" t="str">
        <f>'[1]CDJ 23091'!A46</f>
        <v>SACOLA G - QDB</v>
      </c>
      <c r="J36" s="467"/>
      <c r="K36" s="467"/>
      <c r="L36" s="469"/>
      <c r="M36" s="174">
        <v>0</v>
      </c>
      <c r="N36" s="174">
        <v>0</v>
      </c>
      <c r="O36" s="39">
        <v>0</v>
      </c>
    </row>
    <row r="37" spans="1:15" ht="25.5" customHeight="1" x14ac:dyDescent="0.25">
      <c r="A37" s="25" t="s">
        <v>549</v>
      </c>
      <c r="B37" s="50"/>
      <c r="C37" s="289"/>
      <c r="D37" s="45"/>
      <c r="E37" s="39">
        <f>'CDJ 23091'!AG15</f>
        <v>0</v>
      </c>
      <c r="F37" s="39">
        <f>'ERJ 22838'!AH23</f>
        <v>0</v>
      </c>
      <c r="G37" s="39">
        <f>'ER SM 24137'!AH23</f>
        <v>0</v>
      </c>
      <c r="I37" s="528" t="s">
        <v>516</v>
      </c>
      <c r="J37" s="467"/>
      <c r="K37" s="467"/>
      <c r="L37" s="469"/>
      <c r="M37" s="39">
        <v>0</v>
      </c>
      <c r="N37" s="39">
        <v>0</v>
      </c>
      <c r="O37" s="39">
        <v>0</v>
      </c>
    </row>
    <row r="38" spans="1:15" ht="25.5" customHeight="1" x14ac:dyDescent="0.25">
      <c r="A38" s="25" t="s">
        <v>137</v>
      </c>
      <c r="B38" s="50"/>
      <c r="C38" s="289"/>
      <c r="D38" s="45"/>
      <c r="E38" s="39">
        <f>'CDJ 23091'!AG16</f>
        <v>0</v>
      </c>
      <c r="F38" s="39">
        <f>'ERJ 22838'!AH24</f>
        <v>0</v>
      </c>
      <c r="G38" s="39">
        <f>'ER SM 24137'!AH24</f>
        <v>0</v>
      </c>
      <c r="I38" s="528" t="s">
        <v>517</v>
      </c>
      <c r="J38" s="467"/>
      <c r="K38" s="467"/>
      <c r="L38" s="469"/>
      <c r="M38" s="174">
        <v>0</v>
      </c>
      <c r="N38" s="174">
        <v>0</v>
      </c>
      <c r="O38" s="39">
        <v>0</v>
      </c>
    </row>
    <row r="39" spans="1:15" ht="25.5" customHeight="1" x14ac:dyDescent="0.25">
      <c r="A39" s="526" t="s">
        <v>602</v>
      </c>
      <c r="B39" s="467"/>
      <c r="C39" s="467"/>
      <c r="D39" s="467"/>
      <c r="E39" s="469"/>
      <c r="F39" s="24"/>
      <c r="G39" s="24"/>
      <c r="I39" s="528" t="s">
        <v>518</v>
      </c>
      <c r="J39" s="467"/>
      <c r="K39" s="467"/>
      <c r="L39" s="469"/>
      <c r="M39" s="174">
        <v>0</v>
      </c>
      <c r="N39" s="174">
        <v>0</v>
      </c>
      <c r="O39" s="39">
        <v>0</v>
      </c>
    </row>
    <row r="40" spans="1:15" ht="25.5" customHeight="1" x14ac:dyDescent="0.25">
      <c r="A40" s="59" t="s">
        <v>611</v>
      </c>
      <c r="B40" s="50">
        <v>500</v>
      </c>
      <c r="C40" s="60">
        <v>75.08</v>
      </c>
      <c r="D40" s="45" t="s">
        <v>612</v>
      </c>
      <c r="E40" s="39">
        <f>'CDJ 23091'!AG19</f>
        <v>0</v>
      </c>
      <c r="F40" s="39">
        <f>'ERJ 22838'!AH32</f>
        <v>0</v>
      </c>
      <c r="G40" s="39">
        <f>'ER SM 24137'!AH27</f>
        <v>0</v>
      </c>
      <c r="I40" s="528" t="s">
        <v>613</v>
      </c>
      <c r="J40" s="467"/>
      <c r="K40" s="467"/>
      <c r="L40" s="469"/>
      <c r="M40" s="174">
        <v>0</v>
      </c>
      <c r="N40" s="174">
        <v>0</v>
      </c>
      <c r="O40" s="39">
        <v>0</v>
      </c>
    </row>
    <row r="41" spans="1:15" ht="25.5" customHeight="1" x14ac:dyDescent="0.25">
      <c r="A41" s="59" t="s">
        <v>614</v>
      </c>
      <c r="B41" s="50">
        <v>2500</v>
      </c>
      <c r="C41" s="60">
        <v>55.64</v>
      </c>
      <c r="D41" s="45" t="s">
        <v>615</v>
      </c>
      <c r="E41" s="39">
        <f>'CDJ 23091'!AG20</f>
        <v>0</v>
      </c>
      <c r="F41" s="39">
        <f>'ERJ 22838'!AH33</f>
        <v>0</v>
      </c>
      <c r="G41" s="39">
        <f>'ER SM 24137'!AH28</f>
        <v>0</v>
      </c>
      <c r="I41" s="528" t="str">
        <f>'[1]CDJ 23091'!A47</f>
        <v>CAIXA P QDB</v>
      </c>
      <c r="J41" s="467"/>
      <c r="K41" s="467"/>
      <c r="L41" s="469"/>
      <c r="M41" s="174">
        <v>0</v>
      </c>
      <c r="N41" s="174">
        <v>0</v>
      </c>
      <c r="O41" s="39">
        <v>0</v>
      </c>
    </row>
    <row r="42" spans="1:15" ht="25.5" customHeight="1" x14ac:dyDescent="0.25">
      <c r="A42" s="59" t="s">
        <v>616</v>
      </c>
      <c r="B42" s="50">
        <v>1050</v>
      </c>
      <c r="C42" s="60">
        <v>40.49</v>
      </c>
      <c r="D42" s="45" t="s">
        <v>617</v>
      </c>
      <c r="E42" s="39">
        <f>'CDJ 23091'!AG21</f>
        <v>0</v>
      </c>
      <c r="F42" s="39">
        <f>'ERJ 22838'!AH34</f>
        <v>0</v>
      </c>
      <c r="G42" s="39">
        <f>'ER SM 24137'!AH29</f>
        <v>0</v>
      </c>
      <c r="I42" s="528" t="str">
        <f>'[1]CDJ 23091'!A48</f>
        <v>CAIXA M QDB</v>
      </c>
      <c r="J42" s="467"/>
      <c r="K42" s="467"/>
      <c r="L42" s="469"/>
      <c r="M42" s="174">
        <v>0</v>
      </c>
      <c r="N42" s="174">
        <v>0</v>
      </c>
      <c r="O42" s="39">
        <v>0</v>
      </c>
    </row>
    <row r="43" spans="1:15" ht="25.5" customHeight="1" x14ac:dyDescent="0.25">
      <c r="A43" s="526" t="s">
        <v>618</v>
      </c>
      <c r="B43" s="467"/>
      <c r="C43" s="467"/>
      <c r="D43" s="467"/>
      <c r="E43" s="469"/>
      <c r="F43" s="24"/>
      <c r="G43" s="24"/>
      <c r="I43" s="528" t="str">
        <f>'[1]CDJ 23091'!A49</f>
        <v>CAIXA G QDB</v>
      </c>
      <c r="J43" s="467"/>
      <c r="K43" s="467"/>
      <c r="L43" s="469"/>
      <c r="M43" s="174">
        <v>0</v>
      </c>
      <c r="N43" s="174">
        <v>0</v>
      </c>
      <c r="O43" s="39">
        <v>0</v>
      </c>
    </row>
    <row r="44" spans="1:15" ht="18.75" customHeight="1" x14ac:dyDescent="0.25">
      <c r="A44" s="59" t="s">
        <v>619</v>
      </c>
      <c r="B44" s="50">
        <v>75</v>
      </c>
      <c r="C44" s="60">
        <v>203.31</v>
      </c>
      <c r="D44" s="45" t="s">
        <v>620</v>
      </c>
      <c r="E44" s="39">
        <f>'CDJ 23091'!AG24</f>
        <v>0</v>
      </c>
      <c r="F44" s="39">
        <f>'ERJ 22838'!AH37</f>
        <v>0</v>
      </c>
      <c r="G44" s="39">
        <f>'ER SM 24137'!AH32</f>
        <v>0</v>
      </c>
      <c r="I44" s="529" t="s">
        <v>458</v>
      </c>
      <c r="J44" s="530"/>
      <c r="K44" s="530"/>
      <c r="L44" s="530"/>
      <c r="M44" s="220">
        <v>23091</v>
      </c>
      <c r="N44" s="221">
        <v>22838</v>
      </c>
      <c r="O44" s="221">
        <v>24137</v>
      </c>
    </row>
    <row r="45" spans="1:15" ht="18.75" customHeight="1" x14ac:dyDescent="0.3">
      <c r="A45" s="59" t="s">
        <v>621</v>
      </c>
      <c r="B45" s="50">
        <v>75</v>
      </c>
      <c r="C45" s="60">
        <v>265.39999999999998</v>
      </c>
      <c r="D45" s="45" t="s">
        <v>622</v>
      </c>
      <c r="E45" s="39">
        <f>'CDJ 23091'!AG25</f>
        <v>0</v>
      </c>
      <c r="F45" s="39">
        <f>'ERJ 22838'!AH38</f>
        <v>0</v>
      </c>
      <c r="G45" s="39">
        <f>'ER SM 24137'!AH33</f>
        <v>0</v>
      </c>
      <c r="I45" s="527" t="s">
        <v>459</v>
      </c>
      <c r="J45" s="467"/>
      <c r="K45" s="467"/>
      <c r="L45" s="469"/>
      <c r="M45" s="174">
        <f>'CDJ 23091'!AG52</f>
        <v>0</v>
      </c>
      <c r="N45" s="39">
        <f>'ERJ 22838'!AH72</f>
        <v>0</v>
      </c>
      <c r="O45" s="39">
        <f>'ER SM 24137'!AH67</f>
        <v>0</v>
      </c>
    </row>
    <row r="46" spans="1:15" ht="18.75" customHeight="1" x14ac:dyDescent="0.3">
      <c r="A46" s="59" t="s">
        <v>623</v>
      </c>
      <c r="B46" s="50">
        <v>50</v>
      </c>
      <c r="C46" s="60">
        <v>292.02999999999997</v>
      </c>
      <c r="D46" s="45" t="s">
        <v>624</v>
      </c>
      <c r="E46" s="39">
        <f>'CDJ 23091'!AG26</f>
        <v>0</v>
      </c>
      <c r="F46" s="39">
        <f>'ERJ 22838'!AH39</f>
        <v>0</v>
      </c>
      <c r="G46" s="39">
        <f>'ER SM 24137'!AH34</f>
        <v>0</v>
      </c>
      <c r="I46" s="527" t="s">
        <v>461</v>
      </c>
      <c r="J46" s="467"/>
      <c r="K46" s="467"/>
      <c r="L46" s="469"/>
      <c r="M46" s="174">
        <f>'CDJ 23091'!AG53</f>
        <v>0</v>
      </c>
      <c r="N46" s="39">
        <f>'ERJ 22838'!AH73</f>
        <v>0</v>
      </c>
      <c r="O46" s="39">
        <f>'ER SM 24137'!AH68</f>
        <v>0</v>
      </c>
    </row>
    <row r="47" spans="1:15" ht="18.75" customHeight="1" x14ac:dyDescent="0.3">
      <c r="A47" s="526" t="s">
        <v>625</v>
      </c>
      <c r="B47" s="467"/>
      <c r="C47" s="467"/>
      <c r="D47" s="467"/>
      <c r="E47" s="469"/>
      <c r="F47" s="24"/>
      <c r="G47" s="24"/>
      <c r="I47" s="527" t="s">
        <v>462</v>
      </c>
      <c r="J47" s="467"/>
      <c r="K47" s="467"/>
      <c r="L47" s="469"/>
      <c r="M47" s="174">
        <f>'CDJ 23091'!AG54</f>
        <v>0</v>
      </c>
      <c r="N47" s="39">
        <f>'ERJ 22838'!AH74</f>
        <v>0</v>
      </c>
      <c r="O47" s="39">
        <f>'ER SM 24137'!AH69</f>
        <v>0</v>
      </c>
    </row>
    <row r="48" spans="1:15" ht="18.75" customHeight="1" x14ac:dyDescent="0.3">
      <c r="A48" s="528" t="s">
        <v>554</v>
      </c>
      <c r="B48" s="467"/>
      <c r="C48" s="467"/>
      <c r="D48" s="469"/>
      <c r="E48" s="39">
        <f>'CDJ 23091'!AG63</f>
        <v>0</v>
      </c>
      <c r="F48" s="72">
        <v>0</v>
      </c>
      <c r="G48" s="39">
        <v>0</v>
      </c>
      <c r="I48" s="527" t="s">
        <v>522</v>
      </c>
      <c r="J48" s="467"/>
      <c r="K48" s="467"/>
      <c r="L48" s="469"/>
      <c r="M48" s="174">
        <v>0</v>
      </c>
      <c r="N48" s="39">
        <f>'ERJ 22838'!AH75</f>
        <v>0</v>
      </c>
      <c r="O48" s="39">
        <f>'ER SM 24137'!AH70</f>
        <v>0</v>
      </c>
    </row>
    <row r="49" spans="1:15" ht="18.75" customHeight="1" x14ac:dyDescent="0.3">
      <c r="A49" s="528" t="s">
        <v>555</v>
      </c>
      <c r="B49" s="467"/>
      <c r="C49" s="467"/>
      <c r="D49" s="469"/>
      <c r="E49" s="39">
        <f>'CDJ 23091'!AG64</f>
        <v>0</v>
      </c>
      <c r="F49" s="72">
        <v>0</v>
      </c>
      <c r="G49" s="39">
        <v>0</v>
      </c>
      <c r="I49" s="527" t="s">
        <v>523</v>
      </c>
      <c r="J49" s="467"/>
      <c r="K49" s="467"/>
      <c r="L49" s="469"/>
      <c r="M49" s="174">
        <v>0</v>
      </c>
      <c r="N49" s="39">
        <f>'ERJ 22838'!AH76</f>
        <v>0</v>
      </c>
      <c r="O49" s="39">
        <f>'ER SM 24137'!AH71</f>
        <v>0</v>
      </c>
    </row>
    <row r="50" spans="1:15" ht="18.75" customHeight="1" x14ac:dyDescent="0.3">
      <c r="A50" s="59" t="s">
        <v>556</v>
      </c>
      <c r="B50" s="153"/>
      <c r="C50" s="153"/>
      <c r="D50" s="153"/>
      <c r="E50" s="39">
        <f>'CDJ 23091'!AG65</f>
        <v>0</v>
      </c>
      <c r="F50" s="72">
        <v>0</v>
      </c>
      <c r="G50" s="39">
        <v>0</v>
      </c>
      <c r="I50" s="527" t="s">
        <v>626</v>
      </c>
      <c r="J50" s="467"/>
      <c r="K50" s="467"/>
      <c r="L50" s="469"/>
      <c r="M50" s="174">
        <v>0</v>
      </c>
      <c r="N50" s="39">
        <f>'ERJ 22838'!AH77</f>
        <v>0</v>
      </c>
      <c r="O50" s="39">
        <f>'ER SM 24137'!AH72</f>
        <v>0</v>
      </c>
    </row>
    <row r="51" spans="1:15" ht="18.75" customHeight="1" x14ac:dyDescent="0.3">
      <c r="I51" s="527" t="s">
        <v>627</v>
      </c>
      <c r="J51" s="467"/>
      <c r="K51" s="467"/>
      <c r="L51" s="469"/>
      <c r="M51" s="174">
        <f>'CDJ 23091'!AG55</f>
        <v>0</v>
      </c>
      <c r="N51" s="39">
        <f>'ERJ 22838'!AH78</f>
        <v>0</v>
      </c>
      <c r="O51" s="39">
        <f>'ER SM 24137'!AH73</f>
        <v>0</v>
      </c>
    </row>
    <row r="52" spans="1:15" ht="18.75" customHeight="1" x14ac:dyDescent="0.3">
      <c r="I52" s="527" t="s">
        <v>628</v>
      </c>
      <c r="J52" s="467"/>
      <c r="K52" s="467"/>
      <c r="L52" s="469"/>
      <c r="M52" s="174">
        <f>'CDJ 23091'!AG56</f>
        <v>0</v>
      </c>
      <c r="N52" s="39">
        <f>'ERJ 22838'!AH79</f>
        <v>0</v>
      </c>
      <c r="O52" s="39">
        <f>'ER SM 24137'!AH74</f>
        <v>0</v>
      </c>
    </row>
    <row r="53" spans="1:15" ht="18.75" customHeight="1" x14ac:dyDescent="0.3">
      <c r="I53" s="527" t="s">
        <v>629</v>
      </c>
      <c r="J53" s="467"/>
      <c r="K53" s="467"/>
      <c r="L53" s="469"/>
      <c r="M53" s="174">
        <f>'CDJ 23091'!AG57</f>
        <v>0</v>
      </c>
      <c r="N53" s="39">
        <f>'ERJ 22838'!AH80</f>
        <v>0</v>
      </c>
      <c r="O53" s="39">
        <f>'ER SM 24137'!AH75</f>
        <v>0</v>
      </c>
    </row>
    <row r="54" spans="1:15" ht="18.75" customHeight="1" x14ac:dyDescent="0.3">
      <c r="I54" s="527" t="s">
        <v>630</v>
      </c>
      <c r="J54" s="467"/>
      <c r="K54" s="467"/>
      <c r="L54" s="469"/>
      <c r="M54" s="174">
        <f>'CDJ 23091'!AG58</f>
        <v>0</v>
      </c>
      <c r="N54" s="39">
        <f>'ERJ 22838'!AH81</f>
        <v>0</v>
      </c>
      <c r="O54" s="39">
        <f>'ER SM 24137'!AH76</f>
        <v>0</v>
      </c>
    </row>
    <row r="55" spans="1:15" ht="18.75" customHeight="1" x14ac:dyDescent="0.3">
      <c r="I55" s="527" t="s">
        <v>631</v>
      </c>
      <c r="J55" s="467"/>
      <c r="K55" s="467"/>
      <c r="L55" s="469"/>
      <c r="M55" s="174">
        <f>'CDJ 23091'!AG59</f>
        <v>0</v>
      </c>
      <c r="N55" s="39">
        <f>'ERJ 22838'!AH82</f>
        <v>0</v>
      </c>
      <c r="O55" s="39">
        <f>'ER SM 24137'!AH77</f>
        <v>0</v>
      </c>
    </row>
    <row r="56" spans="1:15" ht="18.75" customHeight="1" x14ac:dyDescent="0.3">
      <c r="I56" s="527" t="s">
        <v>632</v>
      </c>
      <c r="J56" s="467"/>
      <c r="K56" s="467"/>
      <c r="L56" s="469"/>
      <c r="M56" s="174">
        <f>'CDJ 23091'!AG60</f>
        <v>0</v>
      </c>
      <c r="N56" s="39">
        <f>'ERJ 22838'!AH83</f>
        <v>0</v>
      </c>
      <c r="O56" s="39">
        <f>'ER SM 24137'!AH78</f>
        <v>0</v>
      </c>
    </row>
  </sheetData>
  <mergeCells count="45">
    <mergeCell ref="A21:M21"/>
    <mergeCell ref="I55:L55"/>
    <mergeCell ref="I24:L24"/>
    <mergeCell ref="I33:L33"/>
    <mergeCell ref="I42:L42"/>
    <mergeCell ref="I23:L23"/>
    <mergeCell ref="I22:L22"/>
    <mergeCell ref="I28:L28"/>
    <mergeCell ref="A35:E35"/>
    <mergeCell ref="A43:E43"/>
    <mergeCell ref="I56:L56"/>
    <mergeCell ref="I53:L53"/>
    <mergeCell ref="I43:L43"/>
    <mergeCell ref="I54:L54"/>
    <mergeCell ref="I32:L32"/>
    <mergeCell ref="I25:L25"/>
    <mergeCell ref="I41:L41"/>
    <mergeCell ref="I37:L37"/>
    <mergeCell ref="A27:E27"/>
    <mergeCell ref="I27:L27"/>
    <mergeCell ref="I45:L45"/>
    <mergeCell ref="I36:L36"/>
    <mergeCell ref="I26:L26"/>
    <mergeCell ref="A28:D28"/>
    <mergeCell ref="I50:L50"/>
    <mergeCell ref="I40:L40"/>
    <mergeCell ref="I31:L31"/>
    <mergeCell ref="A48:D48"/>
    <mergeCell ref="I34:L34"/>
    <mergeCell ref="I30:L30"/>
    <mergeCell ref="I46:L46"/>
    <mergeCell ref="A49:D49"/>
    <mergeCell ref="I49:L49"/>
    <mergeCell ref="A47:E47"/>
    <mergeCell ref="I47:L47"/>
    <mergeCell ref="I35:L35"/>
    <mergeCell ref="I51:L51"/>
    <mergeCell ref="A29:D29"/>
    <mergeCell ref="I38:L38"/>
    <mergeCell ref="I29:L29"/>
    <mergeCell ref="A39:E39"/>
    <mergeCell ref="I52:L52"/>
    <mergeCell ref="I48:L48"/>
    <mergeCell ref="I39:L39"/>
    <mergeCell ref="I44:L44"/>
  </mergeCells>
  <conditionalFormatting sqref="E48:E50">
    <cfRule type="cellIs" dxfId="10" priority="10" operator="greaterThan">
      <formula>0</formula>
    </cfRule>
  </conditionalFormatting>
  <conditionalFormatting sqref="E23:G29">
    <cfRule type="cellIs" dxfId="9" priority="9" operator="greaterThan">
      <formula>0</formula>
    </cfRule>
  </conditionalFormatting>
  <conditionalFormatting sqref="E31:G34">
    <cfRule type="cellIs" dxfId="8" priority="8" operator="greaterThan">
      <formula>0</formula>
    </cfRule>
  </conditionalFormatting>
  <conditionalFormatting sqref="E36:G38">
    <cfRule type="cellIs" dxfId="7" priority="7" operator="greaterThan">
      <formula>0</formula>
    </cfRule>
  </conditionalFormatting>
  <conditionalFormatting sqref="E40:G42">
    <cfRule type="cellIs" dxfId="6" priority="6" operator="greaterThan">
      <formula>0</formula>
    </cfRule>
  </conditionalFormatting>
  <conditionalFormatting sqref="E44:G46">
    <cfRule type="cellIs" dxfId="5" priority="5" operator="greaterThan">
      <formula>0</formula>
    </cfRule>
  </conditionalFormatting>
  <conditionalFormatting sqref="E6:M19">
    <cfRule type="cellIs" dxfId="4" priority="11" operator="greaterThan">
      <formula>0</formula>
    </cfRule>
  </conditionalFormatting>
  <conditionalFormatting sqref="G48:G50">
    <cfRule type="cellIs" dxfId="3" priority="4" operator="greaterThan">
      <formula>0</formula>
    </cfRule>
  </conditionalFormatting>
  <conditionalFormatting sqref="M23:O32">
    <cfRule type="cellIs" dxfId="2" priority="3" operator="greaterThan">
      <formula>0</formula>
    </cfRule>
  </conditionalFormatting>
  <conditionalFormatting sqref="M34:O43">
    <cfRule type="cellIs" dxfId="1" priority="2" operator="greaterThan">
      <formula>0</formula>
    </cfRule>
  </conditionalFormatting>
  <conditionalFormatting sqref="M45:O56">
    <cfRule type="cellIs" dxfId="0" priority="1" operator="greaterThan">
      <formula>0</formula>
    </cfRule>
  </conditionalFormatting>
  <printOptions horizontalCentered="1"/>
  <pageMargins left="0.15748031496062989" right="0.15748031496062989" top="0.11811023622047249" bottom="0.11811023622047249" header="0.35433070866141742" footer="0.15748031496062989"/>
  <pageSetup paperSize="9" scale="68" fitToHeight="0" orientation="portrait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Planilha21">
    <tabColor theme="9" tint="-0.499984740745262"/>
  </sheetPr>
  <dimension ref="A1:S125"/>
  <sheetViews>
    <sheetView topLeftCell="A61" zoomScale="85" zoomScaleNormal="85" workbookViewId="0">
      <selection activeCell="P89" sqref="P89"/>
    </sheetView>
  </sheetViews>
  <sheetFormatPr defaultRowHeight="15" x14ac:dyDescent="0.25"/>
  <cols>
    <col min="1" max="1" width="32.85546875" customWidth="1"/>
    <col min="4" max="4" width="9.85546875" customWidth="1"/>
    <col min="9" max="9" width="10" customWidth="1"/>
    <col min="10" max="10" width="9.5703125" customWidth="1"/>
    <col min="13" max="13" width="11.85546875" customWidth="1"/>
    <col min="18" max="18" width="10.85546875" bestFit="1" customWidth="1"/>
  </cols>
  <sheetData>
    <row r="1" spans="1:19" ht="18" customHeight="1" x14ac:dyDescent="0.25">
      <c r="A1" s="534" t="s">
        <v>633</v>
      </c>
      <c r="B1" s="520"/>
      <c r="C1" s="520"/>
      <c r="D1" s="520"/>
      <c r="E1" s="520"/>
      <c r="F1" s="520"/>
      <c r="G1" s="520"/>
      <c r="H1" s="520"/>
      <c r="I1" s="520"/>
      <c r="J1" s="520"/>
      <c r="K1" s="520"/>
      <c r="L1" s="520"/>
      <c r="M1" s="520"/>
      <c r="N1" s="521"/>
      <c r="Q1" s="538" t="s">
        <v>417</v>
      </c>
      <c r="R1" s="469"/>
    </row>
    <row r="2" spans="1:19" ht="18" customHeight="1" x14ac:dyDescent="0.25">
      <c r="A2" s="537" t="s">
        <v>119</v>
      </c>
      <c r="B2" s="535" t="s">
        <v>548</v>
      </c>
      <c r="C2" s="467"/>
      <c r="D2" s="467"/>
      <c r="E2" s="467"/>
      <c r="F2" s="469"/>
      <c r="G2" s="535" t="s">
        <v>388</v>
      </c>
      <c r="H2" s="467"/>
      <c r="I2" s="467"/>
      <c r="J2" s="467"/>
      <c r="K2" s="467"/>
      <c r="L2" s="469"/>
      <c r="M2" s="536" t="s">
        <v>634</v>
      </c>
      <c r="N2" s="533" t="s">
        <v>416</v>
      </c>
      <c r="Q2" s="188" t="s">
        <v>420</v>
      </c>
      <c r="R2" s="187">
        <v>45964</v>
      </c>
      <c r="S2" s="539" t="s">
        <v>635</v>
      </c>
    </row>
    <row r="3" spans="1:19" ht="15.75" customHeight="1" x14ac:dyDescent="0.25">
      <c r="A3" s="523"/>
      <c r="B3" s="189">
        <v>45964</v>
      </c>
      <c r="C3" s="190">
        <v>45971</v>
      </c>
      <c r="D3" s="190">
        <v>45978</v>
      </c>
      <c r="E3" s="189">
        <v>45985</v>
      </c>
      <c r="F3" s="191" t="s">
        <v>129</v>
      </c>
      <c r="G3" s="189">
        <v>45992</v>
      </c>
      <c r="H3" s="190">
        <v>45999</v>
      </c>
      <c r="I3" s="190">
        <v>46006</v>
      </c>
      <c r="J3" s="190">
        <v>46013</v>
      </c>
      <c r="K3" s="189">
        <v>46020</v>
      </c>
      <c r="L3" s="191" t="s">
        <v>129</v>
      </c>
      <c r="M3" s="516"/>
      <c r="N3" s="518"/>
      <c r="Q3" s="188" t="s">
        <v>418</v>
      </c>
      <c r="R3" s="187">
        <v>45964</v>
      </c>
      <c r="S3" s="540"/>
    </row>
    <row r="4" spans="1:19" ht="15.75" customHeight="1" x14ac:dyDescent="0.25">
      <c r="A4" s="160" t="s">
        <v>419</v>
      </c>
      <c r="B4" s="88">
        <v>400</v>
      </c>
      <c r="C4" s="88">
        <v>200</v>
      </c>
      <c r="D4" s="88">
        <v>200</v>
      </c>
      <c r="E4" s="88">
        <v>160</v>
      </c>
      <c r="F4" s="162">
        <f>B4+C4+D4+E4</f>
        <v>960</v>
      </c>
      <c r="G4" s="88">
        <v>240</v>
      </c>
      <c r="H4" s="88">
        <v>0</v>
      </c>
      <c r="I4" s="88">
        <v>0</v>
      </c>
      <c r="J4" s="88">
        <v>0</v>
      </c>
      <c r="K4" s="88"/>
      <c r="L4" s="162">
        <f>G4+H4+I4+J4+K4</f>
        <v>240</v>
      </c>
      <c r="M4" s="194">
        <f>B4+C4+D4+E4+G4+H4+I4+J4</f>
        <v>1200</v>
      </c>
      <c r="N4" s="192">
        <f>F4+L4</f>
        <v>1200</v>
      </c>
    </row>
    <row r="5" spans="1:19" ht="15.75" customHeight="1" x14ac:dyDescent="0.25">
      <c r="A5" s="160" t="s">
        <v>421</v>
      </c>
      <c r="B5" s="88">
        <v>180</v>
      </c>
      <c r="C5" s="88">
        <v>60</v>
      </c>
      <c r="D5" s="88">
        <v>160</v>
      </c>
      <c r="E5" s="88">
        <v>0</v>
      </c>
      <c r="F5" s="162">
        <f>B5+C5+D5+E5</f>
        <v>400</v>
      </c>
      <c r="G5" s="88">
        <v>200</v>
      </c>
      <c r="H5" s="88">
        <v>120</v>
      </c>
      <c r="I5" s="88">
        <v>0</v>
      </c>
      <c r="J5" s="88">
        <v>80</v>
      </c>
      <c r="K5" s="88"/>
      <c r="L5" s="162">
        <f>G5+H5+I5+J5+K5</f>
        <v>400</v>
      </c>
      <c r="M5" s="194">
        <f>B5+C5+D5+E5+G5+H5+I5+J5</f>
        <v>800</v>
      </c>
      <c r="N5" s="192">
        <f>F5+L5</f>
        <v>800</v>
      </c>
    </row>
    <row r="6" spans="1:19" ht="15.75" customHeight="1" x14ac:dyDescent="0.25">
      <c r="A6" s="160" t="s">
        <v>422</v>
      </c>
      <c r="B6" s="88">
        <v>0</v>
      </c>
      <c r="C6" s="88">
        <v>200</v>
      </c>
      <c r="D6" s="88">
        <v>0</v>
      </c>
      <c r="E6" s="88">
        <v>0</v>
      </c>
      <c r="F6" s="162">
        <f>B6+C6+D6+E6</f>
        <v>200</v>
      </c>
      <c r="G6" s="88">
        <v>0</v>
      </c>
      <c r="H6" s="88">
        <v>0</v>
      </c>
      <c r="I6" s="88">
        <v>0</v>
      </c>
      <c r="J6" s="88">
        <v>0</v>
      </c>
      <c r="K6" s="88"/>
      <c r="L6" s="162">
        <f>G6+H6+I6+J6+K6</f>
        <v>0</v>
      </c>
      <c r="M6" s="194">
        <f>B6+C6+D6+E6+G6+H6+I6+J6</f>
        <v>200</v>
      </c>
      <c r="N6" s="192">
        <f>F6+L6</f>
        <v>200</v>
      </c>
    </row>
    <row r="7" spans="1:19" ht="15.75" customHeight="1" x14ac:dyDescent="0.25">
      <c r="A7" s="113" t="s">
        <v>224</v>
      </c>
      <c r="B7" s="88">
        <v>0</v>
      </c>
      <c r="C7" s="88">
        <v>3</v>
      </c>
      <c r="D7" s="88">
        <v>0</v>
      </c>
      <c r="E7" s="88">
        <v>0</v>
      </c>
      <c r="F7" s="162">
        <f>B7+C7+D7+E7</f>
        <v>3</v>
      </c>
      <c r="G7" s="88">
        <v>2</v>
      </c>
      <c r="H7" s="88">
        <v>2</v>
      </c>
      <c r="I7" s="88">
        <v>4</v>
      </c>
      <c r="J7" s="88">
        <v>3</v>
      </c>
      <c r="K7" s="88"/>
      <c r="L7" s="162">
        <f>G7+H7+I7+J7+K7</f>
        <v>11</v>
      </c>
      <c r="M7" s="194">
        <f>B7+C7+D7+E7+G7+H7+I7+J7</f>
        <v>14</v>
      </c>
      <c r="N7" s="192">
        <f>F7+L7</f>
        <v>14</v>
      </c>
    </row>
    <row r="8" spans="1:19" ht="15.75" customHeight="1" x14ac:dyDescent="0.25">
      <c r="A8" s="113" t="s">
        <v>147</v>
      </c>
      <c r="B8" s="88">
        <v>0</v>
      </c>
      <c r="C8" s="88">
        <v>1</v>
      </c>
      <c r="D8" s="88">
        <v>1</v>
      </c>
      <c r="E8" s="88">
        <v>0</v>
      </c>
      <c r="F8" s="162">
        <f>B8+C8+D8+E8</f>
        <v>2</v>
      </c>
      <c r="G8" s="88">
        <v>3</v>
      </c>
      <c r="H8" s="88">
        <v>0</v>
      </c>
      <c r="I8" s="88">
        <v>0</v>
      </c>
      <c r="J8" s="88">
        <v>0</v>
      </c>
      <c r="K8" s="88"/>
      <c r="L8" s="162">
        <f>G8+H8+I8+J8+K8</f>
        <v>3</v>
      </c>
      <c r="M8" s="194">
        <f>B8+C8+D8+E8+G8+H8+I8+J8</f>
        <v>5</v>
      </c>
      <c r="N8" s="192">
        <f>F8+L8</f>
        <v>5</v>
      </c>
    </row>
    <row r="9" spans="1:19" ht="15.75" customHeight="1" x14ac:dyDescent="0.25">
      <c r="A9" s="107" t="s">
        <v>401</v>
      </c>
      <c r="B9" s="108">
        <f t="shared" ref="B9:N9" si="0">B4+B5+B6</f>
        <v>580</v>
      </c>
      <c r="C9" s="108">
        <f t="shared" si="0"/>
        <v>460</v>
      </c>
      <c r="D9" s="108">
        <f t="shared" si="0"/>
        <v>360</v>
      </c>
      <c r="E9" s="108">
        <f t="shared" si="0"/>
        <v>160</v>
      </c>
      <c r="F9" s="108">
        <f t="shared" si="0"/>
        <v>1560</v>
      </c>
      <c r="G9" s="108">
        <f t="shared" si="0"/>
        <v>440</v>
      </c>
      <c r="H9" s="108">
        <f t="shared" si="0"/>
        <v>120</v>
      </c>
      <c r="I9" s="108">
        <f t="shared" si="0"/>
        <v>0</v>
      </c>
      <c r="J9" s="108">
        <f t="shared" si="0"/>
        <v>80</v>
      </c>
      <c r="K9" s="108">
        <f t="shared" si="0"/>
        <v>0</v>
      </c>
      <c r="L9" s="186">
        <f t="shared" si="0"/>
        <v>640</v>
      </c>
      <c r="M9" s="193">
        <f t="shared" si="0"/>
        <v>2200</v>
      </c>
      <c r="N9" s="193">
        <f t="shared" si="0"/>
        <v>2200</v>
      </c>
    </row>
    <row r="11" spans="1:19" ht="18" customHeight="1" x14ac:dyDescent="0.25">
      <c r="A11" s="534" t="s">
        <v>633</v>
      </c>
      <c r="B11" s="520"/>
      <c r="C11" s="520"/>
      <c r="D11" s="520"/>
      <c r="E11" s="520"/>
      <c r="F11" s="520"/>
      <c r="G11" s="520"/>
      <c r="H11" s="520"/>
      <c r="I11" s="520"/>
      <c r="J11" s="520"/>
      <c r="K11" s="520"/>
      <c r="L11" s="520"/>
      <c r="M11" s="520"/>
      <c r="N11" s="521"/>
    </row>
    <row r="12" spans="1:19" ht="20.25" customHeight="1" x14ac:dyDescent="0.25">
      <c r="A12" s="537" t="s">
        <v>181</v>
      </c>
      <c r="B12" s="535" t="s">
        <v>548</v>
      </c>
      <c r="C12" s="467"/>
      <c r="D12" s="467"/>
      <c r="E12" s="467"/>
      <c r="F12" s="469"/>
      <c r="G12" s="535" t="s">
        <v>388</v>
      </c>
      <c r="H12" s="467"/>
      <c r="I12" s="467"/>
      <c r="J12" s="467"/>
      <c r="K12" s="467"/>
      <c r="L12" s="469"/>
      <c r="M12" s="536" t="s">
        <v>634</v>
      </c>
      <c r="N12" s="533" t="s">
        <v>416</v>
      </c>
    </row>
    <row r="13" spans="1:19" ht="15.75" customHeight="1" x14ac:dyDescent="0.25">
      <c r="A13" s="523"/>
      <c r="B13" s="189">
        <v>45964</v>
      </c>
      <c r="C13" s="190">
        <v>45971</v>
      </c>
      <c r="D13" s="190">
        <v>45978</v>
      </c>
      <c r="E13" s="189">
        <v>45985</v>
      </c>
      <c r="F13" s="191" t="s">
        <v>129</v>
      </c>
      <c r="G13" s="189">
        <v>45992</v>
      </c>
      <c r="H13" s="190">
        <v>45999</v>
      </c>
      <c r="I13" s="190">
        <v>46006</v>
      </c>
      <c r="J13" s="190">
        <v>46013</v>
      </c>
      <c r="K13" s="189">
        <v>46020</v>
      </c>
      <c r="L13" s="191" t="s">
        <v>129</v>
      </c>
      <c r="M13" s="516"/>
      <c r="N13" s="518"/>
    </row>
    <row r="14" spans="1:19" ht="15.75" customHeight="1" x14ac:dyDescent="0.25">
      <c r="A14" s="160" t="s">
        <v>419</v>
      </c>
      <c r="B14" s="88">
        <v>100</v>
      </c>
      <c r="C14" s="88">
        <v>300</v>
      </c>
      <c r="D14" s="88">
        <v>0</v>
      </c>
      <c r="E14" s="88">
        <v>0</v>
      </c>
      <c r="F14" s="162">
        <f>B14+C14+D14+E14</f>
        <v>400</v>
      </c>
      <c r="G14" s="88">
        <v>320</v>
      </c>
      <c r="H14" s="88">
        <v>220</v>
      </c>
      <c r="I14" s="88">
        <v>200</v>
      </c>
      <c r="J14" s="88">
        <v>60</v>
      </c>
      <c r="K14" s="88"/>
      <c r="L14" s="162">
        <f>G14+H14+I14+J14+K14</f>
        <v>800</v>
      </c>
      <c r="M14" s="194">
        <f>B14+C14+D14+E14+G14+H14+I14+J14</f>
        <v>1200</v>
      </c>
      <c r="N14" s="192">
        <f>F14+L14</f>
        <v>1200</v>
      </c>
    </row>
    <row r="15" spans="1:19" ht="15.75" customHeight="1" x14ac:dyDescent="0.25">
      <c r="A15" s="160" t="s">
        <v>421</v>
      </c>
      <c r="B15" s="88">
        <v>40</v>
      </c>
      <c r="C15" s="88">
        <v>80</v>
      </c>
      <c r="D15" s="88">
        <v>80</v>
      </c>
      <c r="E15" s="88">
        <v>60</v>
      </c>
      <c r="F15" s="162">
        <f>B15+C15+D15+E15</f>
        <v>260</v>
      </c>
      <c r="G15" s="88">
        <v>140</v>
      </c>
      <c r="H15" s="88">
        <v>100</v>
      </c>
      <c r="I15" s="88">
        <v>200</v>
      </c>
      <c r="J15" s="88">
        <v>300</v>
      </c>
      <c r="K15" s="88"/>
      <c r="L15" s="162">
        <f>G15+H15+I15+J15+K15</f>
        <v>740</v>
      </c>
      <c r="M15" s="194">
        <f>B15+C15+D15+E15+G15+H15+I15+J15</f>
        <v>1000</v>
      </c>
      <c r="N15" s="192">
        <f>F15+L15</f>
        <v>1000</v>
      </c>
    </row>
    <row r="16" spans="1:19" ht="15.75" customHeight="1" x14ac:dyDescent="0.25">
      <c r="A16" s="160" t="s">
        <v>422</v>
      </c>
      <c r="B16" s="88">
        <v>40</v>
      </c>
      <c r="C16" s="88">
        <v>0</v>
      </c>
      <c r="D16" s="88">
        <v>0</v>
      </c>
      <c r="E16" s="88">
        <v>40</v>
      </c>
      <c r="F16" s="162">
        <f>B16+C16+D16+E16</f>
        <v>80</v>
      </c>
      <c r="G16" s="88">
        <v>60</v>
      </c>
      <c r="H16" s="88">
        <v>60</v>
      </c>
      <c r="I16" s="88">
        <v>0</v>
      </c>
      <c r="J16" s="88">
        <v>0</v>
      </c>
      <c r="K16" s="88"/>
      <c r="L16" s="162">
        <f>G16+H16+I16+J16+K16</f>
        <v>120</v>
      </c>
      <c r="M16" s="194">
        <f>B16+C16+D16+E16+G16+H16+I16+J16</f>
        <v>200</v>
      </c>
      <c r="N16" s="192">
        <f>F16+L16</f>
        <v>200</v>
      </c>
    </row>
    <row r="17" spans="1:14" ht="15.75" customHeight="1" x14ac:dyDescent="0.25">
      <c r="A17" s="113" t="s">
        <v>224</v>
      </c>
      <c r="B17" s="88">
        <v>2</v>
      </c>
      <c r="C17" s="88">
        <v>2</v>
      </c>
      <c r="D17" s="88">
        <v>1</v>
      </c>
      <c r="E17" s="88">
        <v>2</v>
      </c>
      <c r="F17" s="162">
        <f>B17+C17+D17+E17</f>
        <v>7</v>
      </c>
      <c r="G17" s="88">
        <v>2</v>
      </c>
      <c r="H17" s="88">
        <v>2</v>
      </c>
      <c r="I17" s="88">
        <v>2</v>
      </c>
      <c r="J17" s="88">
        <v>0</v>
      </c>
      <c r="K17" s="88"/>
      <c r="L17" s="162">
        <f>G17+H17+I17+J17+K17</f>
        <v>6</v>
      </c>
      <c r="M17" s="194">
        <f>B17+C17+D17+E17+G17+H17+I17+J17</f>
        <v>13</v>
      </c>
      <c r="N17" s="192">
        <f>F17+L17</f>
        <v>13</v>
      </c>
    </row>
    <row r="18" spans="1:14" ht="15.75" customHeight="1" x14ac:dyDescent="0.25">
      <c r="A18" s="113" t="s">
        <v>147</v>
      </c>
      <c r="B18" s="88">
        <v>0</v>
      </c>
      <c r="C18" s="88">
        <v>1</v>
      </c>
      <c r="D18" s="88">
        <v>0</v>
      </c>
      <c r="E18" s="88">
        <v>1</v>
      </c>
      <c r="F18" s="162">
        <f>B18+C18+D18+E18</f>
        <v>2</v>
      </c>
      <c r="G18" s="88">
        <v>0</v>
      </c>
      <c r="H18" s="88">
        <v>1</v>
      </c>
      <c r="I18" s="88">
        <v>2</v>
      </c>
      <c r="J18" s="88">
        <v>0</v>
      </c>
      <c r="K18" s="88"/>
      <c r="L18" s="162">
        <f>G18+H18+I18+J18+K18</f>
        <v>3</v>
      </c>
      <c r="M18" s="194">
        <f>B18+C18+D18+E18+G18+H18+I18+J18</f>
        <v>5</v>
      </c>
      <c r="N18" s="192">
        <f>F18+L18</f>
        <v>5</v>
      </c>
    </row>
    <row r="19" spans="1:14" ht="15.75" customHeight="1" x14ac:dyDescent="0.25">
      <c r="A19" s="107" t="s">
        <v>401</v>
      </c>
      <c r="B19" s="108">
        <f t="shared" ref="B19:N19" si="1">B14+B15+B16</f>
        <v>180</v>
      </c>
      <c r="C19" s="108">
        <f t="shared" si="1"/>
        <v>380</v>
      </c>
      <c r="D19" s="108">
        <f t="shared" si="1"/>
        <v>80</v>
      </c>
      <c r="E19" s="108">
        <f t="shared" si="1"/>
        <v>100</v>
      </c>
      <c r="F19" s="108">
        <f t="shared" si="1"/>
        <v>740</v>
      </c>
      <c r="G19" s="108">
        <f t="shared" si="1"/>
        <v>520</v>
      </c>
      <c r="H19" s="108">
        <f t="shared" si="1"/>
        <v>380</v>
      </c>
      <c r="I19" s="108">
        <f t="shared" si="1"/>
        <v>400</v>
      </c>
      <c r="J19" s="108">
        <f t="shared" si="1"/>
        <v>360</v>
      </c>
      <c r="K19" s="108">
        <f t="shared" si="1"/>
        <v>0</v>
      </c>
      <c r="L19" s="186">
        <f t="shared" si="1"/>
        <v>1660</v>
      </c>
      <c r="M19" s="193">
        <f t="shared" si="1"/>
        <v>2400</v>
      </c>
      <c r="N19" s="193">
        <f t="shared" si="1"/>
        <v>2400</v>
      </c>
    </row>
    <row r="21" spans="1:14" ht="15.75" customHeight="1" x14ac:dyDescent="0.25">
      <c r="A21" s="534" t="s">
        <v>633</v>
      </c>
      <c r="B21" s="520"/>
      <c r="C21" s="520"/>
      <c r="D21" s="520"/>
      <c r="E21" s="520"/>
      <c r="F21" s="520"/>
      <c r="G21" s="520"/>
      <c r="H21" s="520"/>
      <c r="I21" s="520"/>
      <c r="J21" s="520"/>
      <c r="K21" s="520"/>
      <c r="L21" s="520"/>
      <c r="M21" s="520"/>
      <c r="N21" s="521"/>
    </row>
    <row r="22" spans="1:14" ht="15.75" customHeight="1" x14ac:dyDescent="0.25">
      <c r="A22" s="537" t="s">
        <v>209</v>
      </c>
      <c r="B22" s="535" t="s">
        <v>548</v>
      </c>
      <c r="C22" s="467"/>
      <c r="D22" s="467"/>
      <c r="E22" s="467"/>
      <c r="F22" s="469"/>
      <c r="G22" s="535" t="s">
        <v>388</v>
      </c>
      <c r="H22" s="467"/>
      <c r="I22" s="467"/>
      <c r="J22" s="467"/>
      <c r="K22" s="467"/>
      <c r="L22" s="469"/>
      <c r="M22" s="536" t="s">
        <v>634</v>
      </c>
      <c r="N22" s="533" t="s">
        <v>416</v>
      </c>
    </row>
    <row r="23" spans="1:14" ht="15.75" customHeight="1" x14ac:dyDescent="0.25">
      <c r="A23" s="523"/>
      <c r="B23" s="189">
        <v>45964</v>
      </c>
      <c r="C23" s="190">
        <v>45971</v>
      </c>
      <c r="D23" s="190">
        <v>45978</v>
      </c>
      <c r="E23" s="189">
        <v>45985</v>
      </c>
      <c r="F23" s="191" t="s">
        <v>129</v>
      </c>
      <c r="G23" s="189">
        <v>45992</v>
      </c>
      <c r="H23" s="190">
        <v>45999</v>
      </c>
      <c r="I23" s="190">
        <v>46006</v>
      </c>
      <c r="J23" s="190">
        <v>46013</v>
      </c>
      <c r="K23" s="189">
        <v>46020</v>
      </c>
      <c r="L23" s="191" t="s">
        <v>129</v>
      </c>
      <c r="M23" s="516"/>
      <c r="N23" s="518"/>
    </row>
    <row r="24" spans="1:14" ht="15.75" customHeight="1" x14ac:dyDescent="0.25">
      <c r="A24" s="160" t="s">
        <v>419</v>
      </c>
      <c r="B24" s="88">
        <v>80</v>
      </c>
      <c r="C24" s="88">
        <v>260</v>
      </c>
      <c r="D24" s="88">
        <v>220</v>
      </c>
      <c r="E24" s="88">
        <v>280</v>
      </c>
      <c r="F24" s="162">
        <f>B24+C24+D24+E24</f>
        <v>840</v>
      </c>
      <c r="G24" s="88">
        <v>380</v>
      </c>
      <c r="H24" s="88">
        <v>180</v>
      </c>
      <c r="I24" s="88">
        <v>0</v>
      </c>
      <c r="J24" s="88">
        <v>0</v>
      </c>
      <c r="K24" s="88"/>
      <c r="L24" s="162">
        <f>G24+H24+I24+J24+K24</f>
        <v>560</v>
      </c>
      <c r="M24" s="194">
        <f>B24+C24+D24+E24+G24+H24+I24+J24</f>
        <v>1400</v>
      </c>
      <c r="N24" s="192">
        <f>F24+L24</f>
        <v>1400</v>
      </c>
    </row>
    <row r="25" spans="1:14" ht="15.75" customHeight="1" x14ac:dyDescent="0.25">
      <c r="A25" s="160" t="s">
        <v>421</v>
      </c>
      <c r="B25" s="88">
        <v>60</v>
      </c>
      <c r="C25" s="88">
        <v>120</v>
      </c>
      <c r="D25" s="88">
        <v>40</v>
      </c>
      <c r="E25" s="88">
        <v>120</v>
      </c>
      <c r="F25" s="162">
        <f>B25+C25+D25+E25</f>
        <v>340</v>
      </c>
      <c r="G25" s="88">
        <v>80</v>
      </c>
      <c r="H25" s="88">
        <v>180</v>
      </c>
      <c r="I25" s="88">
        <v>200</v>
      </c>
      <c r="J25" s="88">
        <v>0</v>
      </c>
      <c r="K25" s="88"/>
      <c r="L25" s="162">
        <f>G25+H25+I25+J25+K25</f>
        <v>460</v>
      </c>
      <c r="M25" s="194">
        <f>B25+C25+D25+E25+G25+H25+I25+J25</f>
        <v>800</v>
      </c>
      <c r="N25" s="192">
        <f>F25+L25</f>
        <v>800</v>
      </c>
    </row>
    <row r="26" spans="1:14" ht="15.75" customHeight="1" x14ac:dyDescent="0.25">
      <c r="A26" s="160" t="s">
        <v>422</v>
      </c>
      <c r="B26" s="88">
        <v>20</v>
      </c>
      <c r="C26" s="88">
        <v>40</v>
      </c>
      <c r="D26" s="88">
        <v>0</v>
      </c>
      <c r="E26" s="88">
        <v>20</v>
      </c>
      <c r="F26" s="162">
        <f>B26+C26+D26+E26</f>
        <v>80</v>
      </c>
      <c r="G26" s="88">
        <v>40</v>
      </c>
      <c r="H26" s="88">
        <v>40</v>
      </c>
      <c r="I26" s="88">
        <v>140</v>
      </c>
      <c r="J26" s="88">
        <v>0</v>
      </c>
      <c r="K26" s="88"/>
      <c r="L26" s="162">
        <f>G26+H26+I26+J26+K26</f>
        <v>220</v>
      </c>
      <c r="M26" s="194">
        <f>B26+C26+D26+E26+G26+H26+I26+J26</f>
        <v>300</v>
      </c>
      <c r="N26" s="192">
        <f>F26+L26</f>
        <v>300</v>
      </c>
    </row>
    <row r="27" spans="1:14" ht="15.75" customHeight="1" x14ac:dyDescent="0.25">
      <c r="A27" s="113" t="s">
        <v>224</v>
      </c>
      <c r="B27" s="88">
        <v>0</v>
      </c>
      <c r="C27" s="88">
        <v>3</v>
      </c>
      <c r="D27" s="88">
        <v>0</v>
      </c>
      <c r="E27" s="88">
        <v>1</v>
      </c>
      <c r="F27" s="162">
        <f>B27+C27+D27+E27</f>
        <v>4</v>
      </c>
      <c r="G27" s="88">
        <v>3</v>
      </c>
      <c r="H27" s="88">
        <v>3</v>
      </c>
      <c r="I27" s="88">
        <v>5</v>
      </c>
      <c r="J27" s="88">
        <v>2</v>
      </c>
      <c r="K27" s="88"/>
      <c r="L27" s="162">
        <f>G27+H27+I27+J27+K27</f>
        <v>13</v>
      </c>
      <c r="M27" s="194">
        <f>B27+C27+D27+E27+G27+H27+I27+J27</f>
        <v>17</v>
      </c>
      <c r="N27" s="192">
        <f>F27+L27</f>
        <v>17</v>
      </c>
    </row>
    <row r="28" spans="1:14" ht="15.75" customHeight="1" x14ac:dyDescent="0.25">
      <c r="A28" s="113" t="s">
        <v>147</v>
      </c>
      <c r="B28" s="88">
        <v>0</v>
      </c>
      <c r="C28" s="88">
        <v>2</v>
      </c>
      <c r="D28" s="88">
        <v>0</v>
      </c>
      <c r="E28" s="88">
        <v>0</v>
      </c>
      <c r="F28" s="162">
        <f>B28+C28+D28+E28</f>
        <v>2</v>
      </c>
      <c r="G28" s="88">
        <v>2</v>
      </c>
      <c r="H28" s="88">
        <v>1</v>
      </c>
      <c r="I28" s="88">
        <v>0</v>
      </c>
      <c r="J28" s="88">
        <v>0</v>
      </c>
      <c r="K28" s="88"/>
      <c r="L28" s="162">
        <f>G28+H28+I28+J28+K28</f>
        <v>3</v>
      </c>
      <c r="M28" s="194">
        <f>B28+C28+D28+E28+G28+H28+I28+J28</f>
        <v>5</v>
      </c>
      <c r="N28" s="192">
        <f>F28+L28</f>
        <v>5</v>
      </c>
    </row>
    <row r="29" spans="1:14" ht="15.75" customHeight="1" x14ac:dyDescent="0.25">
      <c r="A29" s="107" t="s">
        <v>401</v>
      </c>
      <c r="B29" s="108">
        <f t="shared" ref="B29:N29" si="2">B24+B25+B26</f>
        <v>160</v>
      </c>
      <c r="C29" s="108">
        <f t="shared" si="2"/>
        <v>420</v>
      </c>
      <c r="D29" s="108">
        <f t="shared" si="2"/>
        <v>260</v>
      </c>
      <c r="E29" s="108">
        <f t="shared" si="2"/>
        <v>420</v>
      </c>
      <c r="F29" s="108">
        <f t="shared" si="2"/>
        <v>1260</v>
      </c>
      <c r="G29" s="108">
        <f t="shared" si="2"/>
        <v>500</v>
      </c>
      <c r="H29" s="108">
        <f t="shared" si="2"/>
        <v>400</v>
      </c>
      <c r="I29" s="108">
        <f t="shared" si="2"/>
        <v>340</v>
      </c>
      <c r="J29" s="108">
        <f t="shared" si="2"/>
        <v>0</v>
      </c>
      <c r="K29" s="108">
        <f t="shared" si="2"/>
        <v>0</v>
      </c>
      <c r="L29" s="186">
        <f t="shared" si="2"/>
        <v>1240</v>
      </c>
      <c r="M29" s="193">
        <f t="shared" si="2"/>
        <v>2500</v>
      </c>
      <c r="N29" s="193">
        <f t="shared" si="2"/>
        <v>2500</v>
      </c>
    </row>
    <row r="31" spans="1:14" ht="15.75" customHeight="1" x14ac:dyDescent="0.25">
      <c r="A31" s="534" t="s">
        <v>633</v>
      </c>
      <c r="B31" s="520"/>
      <c r="C31" s="520"/>
      <c r="D31" s="520"/>
      <c r="E31" s="520"/>
      <c r="F31" s="520"/>
      <c r="G31" s="520"/>
      <c r="H31" s="520"/>
      <c r="I31" s="520"/>
      <c r="J31" s="520"/>
      <c r="K31" s="520"/>
      <c r="L31" s="520"/>
      <c r="M31" s="520"/>
      <c r="N31" s="521"/>
    </row>
    <row r="32" spans="1:14" ht="15.75" customHeight="1" x14ac:dyDescent="0.25">
      <c r="A32" s="537" t="s">
        <v>222</v>
      </c>
      <c r="B32" s="535" t="s">
        <v>548</v>
      </c>
      <c r="C32" s="467"/>
      <c r="D32" s="467"/>
      <c r="E32" s="467"/>
      <c r="F32" s="469"/>
      <c r="G32" s="535" t="s">
        <v>388</v>
      </c>
      <c r="H32" s="467"/>
      <c r="I32" s="467"/>
      <c r="J32" s="467"/>
      <c r="K32" s="467"/>
      <c r="L32" s="469"/>
      <c r="M32" s="536" t="s">
        <v>634</v>
      </c>
      <c r="N32" s="533" t="s">
        <v>416</v>
      </c>
    </row>
    <row r="33" spans="1:14" ht="15.75" customHeight="1" x14ac:dyDescent="0.25">
      <c r="A33" s="523"/>
      <c r="B33" s="189">
        <v>45964</v>
      </c>
      <c r="C33" s="190">
        <v>45971</v>
      </c>
      <c r="D33" s="190">
        <v>45978</v>
      </c>
      <c r="E33" s="189">
        <v>45985</v>
      </c>
      <c r="F33" s="191" t="s">
        <v>129</v>
      </c>
      <c r="G33" s="189">
        <v>45992</v>
      </c>
      <c r="H33" s="190">
        <v>45999</v>
      </c>
      <c r="I33" s="190">
        <v>46006</v>
      </c>
      <c r="J33" s="190">
        <v>46013</v>
      </c>
      <c r="K33" s="189">
        <v>46020</v>
      </c>
      <c r="L33" s="191" t="s">
        <v>129</v>
      </c>
      <c r="M33" s="516"/>
      <c r="N33" s="518"/>
    </row>
    <row r="34" spans="1:14" ht="15.75" customHeight="1" x14ac:dyDescent="0.25">
      <c r="A34" s="160" t="s">
        <v>419</v>
      </c>
      <c r="B34" s="88">
        <v>140</v>
      </c>
      <c r="C34" s="88">
        <v>200</v>
      </c>
      <c r="D34" s="88">
        <v>200</v>
      </c>
      <c r="E34" s="88">
        <v>140</v>
      </c>
      <c r="F34" s="162">
        <f>B34+C34+D34+E34</f>
        <v>680</v>
      </c>
      <c r="G34" s="88">
        <v>185</v>
      </c>
      <c r="H34" s="88">
        <v>135</v>
      </c>
      <c r="I34" s="88">
        <v>0</v>
      </c>
      <c r="J34" s="88">
        <v>0</v>
      </c>
      <c r="K34" s="88"/>
      <c r="L34" s="162">
        <f>G34+H34+I34+J34+K34</f>
        <v>320</v>
      </c>
      <c r="M34" s="194">
        <f>B34+C34+D34+E34+G34+H34+I34+J34</f>
        <v>1000</v>
      </c>
      <c r="N34" s="192">
        <f>F34+L34</f>
        <v>1000</v>
      </c>
    </row>
    <row r="35" spans="1:14" ht="15.75" customHeight="1" x14ac:dyDescent="0.25">
      <c r="A35" s="160" t="s">
        <v>421</v>
      </c>
      <c r="B35" s="88">
        <v>95</v>
      </c>
      <c r="C35" s="88">
        <v>75</v>
      </c>
      <c r="D35" s="88">
        <v>100</v>
      </c>
      <c r="E35" s="88">
        <v>25</v>
      </c>
      <c r="F35" s="162">
        <f>B35+C35+D35+E35</f>
        <v>295</v>
      </c>
      <c r="G35" s="88">
        <v>105</v>
      </c>
      <c r="H35" s="88">
        <v>140</v>
      </c>
      <c r="I35" s="88">
        <v>125</v>
      </c>
      <c r="J35" s="88">
        <v>135</v>
      </c>
      <c r="K35" s="88"/>
      <c r="L35" s="162">
        <f>G35+H35+I35+J35+K35</f>
        <v>505</v>
      </c>
      <c r="M35" s="194">
        <f>B35+C35+D35+E35+G35+H35+I35+J35</f>
        <v>800</v>
      </c>
      <c r="N35" s="192">
        <f>F35+L35</f>
        <v>800</v>
      </c>
    </row>
    <row r="36" spans="1:14" ht="15.75" customHeight="1" x14ac:dyDescent="0.25">
      <c r="A36" s="160" t="s">
        <v>422</v>
      </c>
      <c r="B36" s="88">
        <v>40</v>
      </c>
      <c r="C36" s="88">
        <v>0</v>
      </c>
      <c r="D36" s="88">
        <v>0</v>
      </c>
      <c r="E36" s="88">
        <v>0</v>
      </c>
      <c r="F36" s="162">
        <f>B36+C36+D36+E36</f>
        <v>40</v>
      </c>
      <c r="G36" s="88">
        <v>0</v>
      </c>
      <c r="H36" s="88">
        <v>0</v>
      </c>
      <c r="I36" s="88">
        <v>0</v>
      </c>
      <c r="J36" s="88">
        <v>0</v>
      </c>
      <c r="K36" s="88"/>
      <c r="L36" s="162">
        <f>G36+H36+I36+J36+K36</f>
        <v>0</v>
      </c>
      <c r="M36" s="194">
        <f>B36+C36+D36+E36+G36+H36+I36+J36</f>
        <v>40</v>
      </c>
      <c r="N36" s="192">
        <f>F36+L36</f>
        <v>40</v>
      </c>
    </row>
    <row r="37" spans="1:14" ht="15.75" customHeight="1" x14ac:dyDescent="0.25">
      <c r="A37" s="113" t="s">
        <v>224</v>
      </c>
      <c r="B37" s="88">
        <v>1</v>
      </c>
      <c r="C37" s="88">
        <v>1</v>
      </c>
      <c r="D37" s="88">
        <v>0</v>
      </c>
      <c r="E37" s="88">
        <v>1</v>
      </c>
      <c r="F37" s="162">
        <f>B37+C37+D37+E37</f>
        <v>3</v>
      </c>
      <c r="G37" s="88">
        <v>1</v>
      </c>
      <c r="H37" s="88">
        <v>2</v>
      </c>
      <c r="I37" s="88">
        <v>3</v>
      </c>
      <c r="J37" s="88">
        <v>5</v>
      </c>
      <c r="K37" s="88"/>
      <c r="L37" s="162">
        <f>G37+H37+I37+J37+K37</f>
        <v>11</v>
      </c>
      <c r="M37" s="194">
        <f>B37+C37+D37+E37+G37+H37+I37+J37</f>
        <v>14</v>
      </c>
      <c r="N37" s="192">
        <f>F37+L37</f>
        <v>14</v>
      </c>
    </row>
    <row r="38" spans="1:14" ht="15.75" customHeight="1" x14ac:dyDescent="0.25">
      <c r="A38" s="113" t="s">
        <v>147</v>
      </c>
      <c r="B38" s="88">
        <v>1</v>
      </c>
      <c r="C38" s="88">
        <v>0</v>
      </c>
      <c r="D38" s="88">
        <v>0</v>
      </c>
      <c r="E38" s="88">
        <v>0</v>
      </c>
      <c r="F38" s="162">
        <f>B38+C38+D38+E38</f>
        <v>1</v>
      </c>
      <c r="G38" s="88">
        <v>1</v>
      </c>
      <c r="H38" s="88">
        <v>1</v>
      </c>
      <c r="I38" s="88">
        <v>1</v>
      </c>
      <c r="J38" s="88">
        <v>2</v>
      </c>
      <c r="K38" s="88"/>
      <c r="L38" s="162">
        <f>G38+H38+I38+J38+K38</f>
        <v>5</v>
      </c>
      <c r="M38" s="194">
        <f>B38+C38+D38+E38+G38+H38+I38+J38</f>
        <v>6</v>
      </c>
      <c r="N38" s="192">
        <f>F38+L38</f>
        <v>6</v>
      </c>
    </row>
    <row r="39" spans="1:14" ht="15.75" customHeight="1" x14ac:dyDescent="0.25">
      <c r="A39" s="107" t="s">
        <v>401</v>
      </c>
      <c r="B39" s="108">
        <f t="shared" ref="B39:N39" si="3">B34+B35+B36</f>
        <v>275</v>
      </c>
      <c r="C39" s="108">
        <f t="shared" si="3"/>
        <v>275</v>
      </c>
      <c r="D39" s="108">
        <f t="shared" si="3"/>
        <v>300</v>
      </c>
      <c r="E39" s="108">
        <f t="shared" si="3"/>
        <v>165</v>
      </c>
      <c r="F39" s="108">
        <f t="shared" si="3"/>
        <v>1015</v>
      </c>
      <c r="G39" s="108">
        <f t="shared" si="3"/>
        <v>290</v>
      </c>
      <c r="H39" s="108">
        <f t="shared" si="3"/>
        <v>275</v>
      </c>
      <c r="I39" s="108">
        <f t="shared" si="3"/>
        <v>125</v>
      </c>
      <c r="J39" s="108">
        <f t="shared" si="3"/>
        <v>135</v>
      </c>
      <c r="K39" s="108">
        <f t="shared" si="3"/>
        <v>0</v>
      </c>
      <c r="L39" s="186">
        <f t="shared" si="3"/>
        <v>825</v>
      </c>
      <c r="M39" s="193">
        <f t="shared" si="3"/>
        <v>1840</v>
      </c>
      <c r="N39" s="193">
        <f t="shared" si="3"/>
        <v>1840</v>
      </c>
    </row>
    <row r="41" spans="1:14" ht="15.75" customHeight="1" x14ac:dyDescent="0.25">
      <c r="A41" s="534" t="s">
        <v>633</v>
      </c>
      <c r="B41" s="520"/>
      <c r="C41" s="520"/>
      <c r="D41" s="520"/>
      <c r="E41" s="520"/>
      <c r="F41" s="520"/>
      <c r="G41" s="520"/>
      <c r="H41" s="520"/>
      <c r="I41" s="520"/>
      <c r="J41" s="520"/>
      <c r="K41" s="520"/>
      <c r="L41" s="520"/>
      <c r="M41" s="520"/>
      <c r="N41" s="521"/>
    </row>
    <row r="42" spans="1:14" ht="15.75" customHeight="1" x14ac:dyDescent="0.25">
      <c r="A42" s="537" t="s">
        <v>402</v>
      </c>
      <c r="B42" s="535" t="s">
        <v>548</v>
      </c>
      <c r="C42" s="467"/>
      <c r="D42" s="467"/>
      <c r="E42" s="467"/>
      <c r="F42" s="469"/>
      <c r="G42" s="535" t="s">
        <v>388</v>
      </c>
      <c r="H42" s="467"/>
      <c r="I42" s="467"/>
      <c r="J42" s="467"/>
      <c r="K42" s="467"/>
      <c r="L42" s="469"/>
      <c r="M42" s="536" t="s">
        <v>634</v>
      </c>
      <c r="N42" s="533" t="s">
        <v>416</v>
      </c>
    </row>
    <row r="43" spans="1:14" ht="15.75" customHeight="1" x14ac:dyDescent="0.25">
      <c r="A43" s="523"/>
      <c r="B43" s="189">
        <v>45964</v>
      </c>
      <c r="C43" s="190">
        <v>45971</v>
      </c>
      <c r="D43" s="190">
        <v>45978</v>
      </c>
      <c r="E43" s="189">
        <v>45985</v>
      </c>
      <c r="F43" s="191" t="s">
        <v>129</v>
      </c>
      <c r="G43" s="189">
        <v>45992</v>
      </c>
      <c r="H43" s="190">
        <v>45999</v>
      </c>
      <c r="I43" s="190">
        <v>46006</v>
      </c>
      <c r="J43" s="190">
        <v>46013</v>
      </c>
      <c r="K43" s="189">
        <v>46020</v>
      </c>
      <c r="L43" s="191" t="s">
        <v>129</v>
      </c>
      <c r="M43" s="516"/>
      <c r="N43" s="518"/>
    </row>
    <row r="44" spans="1:14" ht="15.75" customHeight="1" x14ac:dyDescent="0.25">
      <c r="A44" s="160" t="s">
        <v>419</v>
      </c>
      <c r="B44" s="88">
        <v>100</v>
      </c>
      <c r="C44" s="88">
        <v>465</v>
      </c>
      <c r="D44" s="88">
        <v>785</v>
      </c>
      <c r="E44" s="88">
        <v>450</v>
      </c>
      <c r="F44" s="162">
        <f>B44+C44+D44+E44</f>
        <v>1800</v>
      </c>
      <c r="G44" s="88">
        <v>746</v>
      </c>
      <c r="H44" s="88">
        <v>229</v>
      </c>
      <c r="I44" s="88">
        <v>25</v>
      </c>
      <c r="J44" s="88">
        <v>0</v>
      </c>
      <c r="K44" s="88"/>
      <c r="L44" s="162">
        <f>G44+H44+I44+J44+K44</f>
        <v>1000</v>
      </c>
      <c r="M44" s="194">
        <f>B44+C44+D44+E44+G44+H44+I44+J44</f>
        <v>2800</v>
      </c>
      <c r="N44" s="192">
        <f>F44+L44</f>
        <v>2800</v>
      </c>
    </row>
    <row r="45" spans="1:14" ht="15.75" customHeight="1" x14ac:dyDescent="0.25">
      <c r="A45" s="160" t="s">
        <v>421</v>
      </c>
      <c r="B45" s="88">
        <v>57</v>
      </c>
      <c r="C45" s="88">
        <v>343</v>
      </c>
      <c r="D45" s="88">
        <v>0</v>
      </c>
      <c r="E45" s="88">
        <v>200</v>
      </c>
      <c r="F45" s="162">
        <f>B45+C45+D45+E45</f>
        <v>600</v>
      </c>
      <c r="G45" s="88">
        <v>282</v>
      </c>
      <c r="H45" s="88">
        <v>287</v>
      </c>
      <c r="I45" s="88">
        <v>565</v>
      </c>
      <c r="J45" s="88">
        <v>66</v>
      </c>
      <c r="K45" s="88"/>
      <c r="L45" s="162">
        <f>G45+H45+I45+J45+K45</f>
        <v>1200</v>
      </c>
      <c r="M45" s="194">
        <f>B45+C45+D45+E45+G45+H45+I45+J45</f>
        <v>1800</v>
      </c>
      <c r="N45" s="192">
        <f>F45+L45</f>
        <v>1800</v>
      </c>
    </row>
    <row r="46" spans="1:14" ht="15.75" customHeight="1" x14ac:dyDescent="0.25">
      <c r="A46" s="160" t="s">
        <v>422</v>
      </c>
      <c r="B46" s="88">
        <v>58</v>
      </c>
      <c r="C46" s="88">
        <v>0</v>
      </c>
      <c r="D46" s="88">
        <v>42</v>
      </c>
      <c r="E46" s="88">
        <v>0</v>
      </c>
      <c r="F46" s="162">
        <f>B46+C46+D46+E46</f>
        <v>100</v>
      </c>
      <c r="G46" s="88">
        <v>52</v>
      </c>
      <c r="H46" s="88">
        <v>38</v>
      </c>
      <c r="I46" s="88">
        <v>58</v>
      </c>
      <c r="J46" s="88">
        <v>52</v>
      </c>
      <c r="K46" s="88"/>
      <c r="L46" s="162">
        <f>G46+H46+I46+J46+K46</f>
        <v>200</v>
      </c>
      <c r="M46" s="194">
        <f>B46+C46+D46+E46+G46+H46+I46+J46</f>
        <v>300</v>
      </c>
      <c r="N46" s="192">
        <f>F46+L46</f>
        <v>300</v>
      </c>
    </row>
    <row r="47" spans="1:14" ht="15.75" customHeight="1" x14ac:dyDescent="0.25">
      <c r="A47" s="113" t="s">
        <v>224</v>
      </c>
      <c r="B47" s="88">
        <v>0</v>
      </c>
      <c r="C47" s="88">
        <v>0</v>
      </c>
      <c r="D47" s="88">
        <v>3</v>
      </c>
      <c r="E47" s="88">
        <v>2</v>
      </c>
      <c r="F47" s="162">
        <f>B47+C47+D47+E47</f>
        <v>5</v>
      </c>
      <c r="G47" s="88">
        <v>3</v>
      </c>
      <c r="H47" s="88">
        <v>2</v>
      </c>
      <c r="I47" s="88">
        <v>6</v>
      </c>
      <c r="J47" s="88">
        <v>7</v>
      </c>
      <c r="K47" s="88"/>
      <c r="L47" s="162">
        <f>G47+H47+I47+J47+K47</f>
        <v>18</v>
      </c>
      <c r="M47" s="194">
        <f>B47+C47+D47+E47+G47+H47+I47+J47</f>
        <v>23</v>
      </c>
      <c r="N47" s="192">
        <f>F47+L47</f>
        <v>23</v>
      </c>
    </row>
    <row r="48" spans="1:14" ht="15.75" customHeight="1" x14ac:dyDescent="0.25">
      <c r="A48" s="113" t="s">
        <v>147</v>
      </c>
      <c r="B48" s="88">
        <v>0</v>
      </c>
      <c r="C48" s="88">
        <v>0</v>
      </c>
      <c r="D48" s="88">
        <v>1</v>
      </c>
      <c r="E48" s="88">
        <v>3</v>
      </c>
      <c r="F48" s="162">
        <f>B48+C48+D48+E48</f>
        <v>4</v>
      </c>
      <c r="G48" s="88">
        <v>0</v>
      </c>
      <c r="H48" s="88">
        <v>1</v>
      </c>
      <c r="I48" s="88">
        <v>6</v>
      </c>
      <c r="J48" s="88">
        <v>1</v>
      </c>
      <c r="K48" s="88"/>
      <c r="L48" s="162">
        <f>G48+H48+I48+J48+K48</f>
        <v>8</v>
      </c>
      <c r="M48" s="194">
        <f>B48+C48+D48+E48+G48+H48+I48+J48</f>
        <v>12</v>
      </c>
      <c r="N48" s="192">
        <f>F48+L48</f>
        <v>12</v>
      </c>
    </row>
    <row r="49" spans="1:14" ht="15.75" customHeight="1" x14ac:dyDescent="0.25">
      <c r="A49" s="107" t="s">
        <v>401</v>
      </c>
      <c r="B49" s="108">
        <f t="shared" ref="B49:N49" si="4">B44+B45+B46</f>
        <v>215</v>
      </c>
      <c r="C49" s="108">
        <f t="shared" si="4"/>
        <v>808</v>
      </c>
      <c r="D49" s="108">
        <f t="shared" si="4"/>
        <v>827</v>
      </c>
      <c r="E49" s="108">
        <f t="shared" si="4"/>
        <v>650</v>
      </c>
      <c r="F49" s="108">
        <f t="shared" si="4"/>
        <v>2500</v>
      </c>
      <c r="G49" s="108">
        <f t="shared" si="4"/>
        <v>1080</v>
      </c>
      <c r="H49" s="108">
        <f t="shared" si="4"/>
        <v>554</v>
      </c>
      <c r="I49" s="108">
        <f t="shared" si="4"/>
        <v>648</v>
      </c>
      <c r="J49" s="108">
        <f t="shared" si="4"/>
        <v>118</v>
      </c>
      <c r="K49" s="108">
        <f t="shared" si="4"/>
        <v>0</v>
      </c>
      <c r="L49" s="186">
        <f t="shared" si="4"/>
        <v>2400</v>
      </c>
      <c r="M49" s="193">
        <f t="shared" si="4"/>
        <v>4900</v>
      </c>
      <c r="N49" s="193">
        <f t="shared" si="4"/>
        <v>4900</v>
      </c>
    </row>
    <row r="51" spans="1:14" ht="15.75" customHeight="1" x14ac:dyDescent="0.25">
      <c r="A51" s="534" t="s">
        <v>633</v>
      </c>
      <c r="B51" s="520"/>
      <c r="C51" s="520"/>
      <c r="D51" s="520"/>
      <c r="E51" s="520"/>
      <c r="F51" s="520"/>
      <c r="G51" s="520"/>
      <c r="H51" s="520"/>
      <c r="I51" s="520"/>
      <c r="J51" s="520"/>
      <c r="K51" s="520"/>
      <c r="L51" s="520"/>
      <c r="M51" s="520"/>
      <c r="N51" s="521"/>
    </row>
    <row r="52" spans="1:14" ht="15.75" customHeight="1" x14ac:dyDescent="0.25">
      <c r="A52" s="537" t="s">
        <v>244</v>
      </c>
      <c r="B52" s="535" t="s">
        <v>548</v>
      </c>
      <c r="C52" s="467"/>
      <c r="D52" s="467"/>
      <c r="E52" s="467"/>
      <c r="F52" s="469"/>
      <c r="G52" s="535" t="s">
        <v>388</v>
      </c>
      <c r="H52" s="467"/>
      <c r="I52" s="467"/>
      <c r="J52" s="467"/>
      <c r="K52" s="467"/>
      <c r="L52" s="469"/>
      <c r="M52" s="536" t="s">
        <v>634</v>
      </c>
      <c r="N52" s="533" t="s">
        <v>416</v>
      </c>
    </row>
    <row r="53" spans="1:14" ht="15.75" customHeight="1" x14ac:dyDescent="0.25">
      <c r="A53" s="523"/>
      <c r="B53" s="189">
        <v>45964</v>
      </c>
      <c r="C53" s="190">
        <v>45971</v>
      </c>
      <c r="D53" s="190">
        <v>45978</v>
      </c>
      <c r="E53" s="189">
        <v>45985</v>
      </c>
      <c r="F53" s="191" t="s">
        <v>129</v>
      </c>
      <c r="G53" s="189">
        <v>45992</v>
      </c>
      <c r="H53" s="190">
        <v>45999</v>
      </c>
      <c r="I53" s="190">
        <v>46006</v>
      </c>
      <c r="J53" s="190">
        <v>46013</v>
      </c>
      <c r="K53" s="189">
        <v>46020</v>
      </c>
      <c r="L53" s="191" t="s">
        <v>129</v>
      </c>
      <c r="M53" s="516"/>
      <c r="N53" s="518"/>
    </row>
    <row r="54" spans="1:14" ht="15.75" customHeight="1" x14ac:dyDescent="0.25">
      <c r="A54" s="160" t="s">
        <v>419</v>
      </c>
      <c r="B54" s="88">
        <v>0</v>
      </c>
      <c r="C54" s="88">
        <v>0</v>
      </c>
      <c r="D54" s="88">
        <v>85</v>
      </c>
      <c r="E54" s="88">
        <v>200</v>
      </c>
      <c r="F54" s="162">
        <f>B54+C54+D54+E54</f>
        <v>285</v>
      </c>
      <c r="G54" s="88">
        <v>315</v>
      </c>
      <c r="H54" s="88">
        <v>0</v>
      </c>
      <c r="I54" s="88">
        <v>0</v>
      </c>
      <c r="J54" s="88">
        <v>0</v>
      </c>
      <c r="K54" s="88"/>
      <c r="L54" s="162">
        <f>G54+H54+I54+J54+K54</f>
        <v>315</v>
      </c>
      <c r="M54" s="194">
        <f>B54+C54+D54+E54+G54+H54+I54+J54</f>
        <v>600</v>
      </c>
      <c r="N54" s="192">
        <f>F54+L54</f>
        <v>600</v>
      </c>
    </row>
    <row r="55" spans="1:14" ht="15.75" customHeight="1" x14ac:dyDescent="0.25">
      <c r="A55" s="160" t="s">
        <v>421</v>
      </c>
      <c r="B55" s="88">
        <v>0</v>
      </c>
      <c r="C55" s="88">
        <v>0</v>
      </c>
      <c r="D55" s="88">
        <v>100</v>
      </c>
      <c r="E55" s="88">
        <v>40</v>
      </c>
      <c r="F55" s="162">
        <f>B55+C55+D55+E55</f>
        <v>140</v>
      </c>
      <c r="G55" s="88">
        <v>60</v>
      </c>
      <c r="H55" s="88">
        <v>0</v>
      </c>
      <c r="I55" s="88">
        <v>100</v>
      </c>
      <c r="J55" s="88">
        <v>100</v>
      </c>
      <c r="K55" s="88"/>
      <c r="L55" s="162">
        <f>G55+H55+I55+J55+K55</f>
        <v>260</v>
      </c>
      <c r="M55" s="194">
        <f>B55+C55+D55+E55+G55+H55+I55+J55</f>
        <v>400</v>
      </c>
      <c r="N55" s="192">
        <f>F55+L55</f>
        <v>400</v>
      </c>
    </row>
    <row r="56" spans="1:14" ht="15.75" customHeight="1" x14ac:dyDescent="0.25">
      <c r="A56" s="160" t="s">
        <v>422</v>
      </c>
      <c r="B56" s="88">
        <v>0</v>
      </c>
      <c r="C56" s="88">
        <v>0</v>
      </c>
      <c r="D56" s="88">
        <v>3</v>
      </c>
      <c r="E56" s="88">
        <v>0</v>
      </c>
      <c r="F56" s="162">
        <f>B56+C56+D56+E56</f>
        <v>3</v>
      </c>
      <c r="G56" s="88">
        <v>0</v>
      </c>
      <c r="H56" s="88">
        <v>1</v>
      </c>
      <c r="I56" s="88">
        <v>3</v>
      </c>
      <c r="J56" s="88">
        <v>0</v>
      </c>
      <c r="K56" s="88"/>
      <c r="L56" s="162">
        <f>G56+H56+I56+J56+K56</f>
        <v>4</v>
      </c>
      <c r="M56" s="194">
        <f>B56+C56+D56+E56+G56+H56+I56+J56</f>
        <v>7</v>
      </c>
      <c r="N56" s="192">
        <f>F56+L56</f>
        <v>7</v>
      </c>
    </row>
    <row r="57" spans="1:14" ht="15.75" customHeight="1" x14ac:dyDescent="0.25">
      <c r="A57" s="113" t="s">
        <v>224</v>
      </c>
      <c r="B57" s="88">
        <v>1</v>
      </c>
      <c r="C57" s="88">
        <v>0</v>
      </c>
      <c r="D57" s="88">
        <v>0</v>
      </c>
      <c r="E57" s="88">
        <v>1</v>
      </c>
      <c r="F57" s="162">
        <f>B57+C57+D57+E57</f>
        <v>2</v>
      </c>
      <c r="G57" s="88">
        <v>1</v>
      </c>
      <c r="H57" s="88">
        <v>1</v>
      </c>
      <c r="I57" s="88">
        <v>0</v>
      </c>
      <c r="J57" s="88">
        <v>1</v>
      </c>
      <c r="K57" s="88"/>
      <c r="L57" s="162">
        <f>G57+H57+I57+J57+K57</f>
        <v>3</v>
      </c>
      <c r="M57" s="194">
        <f>B57+C57+D57+E57+G57+H57+I57+J57</f>
        <v>5</v>
      </c>
      <c r="N57" s="192">
        <f>F57+L57</f>
        <v>5</v>
      </c>
    </row>
    <row r="58" spans="1:14" ht="15.75" customHeight="1" x14ac:dyDescent="0.25">
      <c r="A58" s="113" t="s">
        <v>147</v>
      </c>
      <c r="B58" s="88">
        <v>0</v>
      </c>
      <c r="C58" s="88">
        <v>2</v>
      </c>
      <c r="D58" s="88">
        <v>0</v>
      </c>
      <c r="E58" s="88">
        <v>0</v>
      </c>
      <c r="F58" s="162">
        <f>B58+C58+D58+E58</f>
        <v>2</v>
      </c>
      <c r="G58" s="88">
        <v>0</v>
      </c>
      <c r="H58" s="88">
        <v>2</v>
      </c>
      <c r="I58" s="88">
        <v>0</v>
      </c>
      <c r="J58" s="88">
        <v>0</v>
      </c>
      <c r="K58" s="88"/>
      <c r="L58" s="162">
        <f>G58+H58+I58+J58+K58</f>
        <v>2</v>
      </c>
      <c r="M58" s="194">
        <f>B58+C58+D58+E58+G58+H58+I58+J58</f>
        <v>4</v>
      </c>
      <c r="N58" s="192">
        <f>F58+L58</f>
        <v>4</v>
      </c>
    </row>
    <row r="59" spans="1:14" ht="15.75" customHeight="1" x14ac:dyDescent="0.25">
      <c r="A59" s="107" t="s">
        <v>401</v>
      </c>
      <c r="B59" s="108">
        <f t="shared" ref="B59:N59" si="5">B54+B55+B56</f>
        <v>0</v>
      </c>
      <c r="C59" s="108">
        <f t="shared" si="5"/>
        <v>0</v>
      </c>
      <c r="D59" s="108">
        <f t="shared" si="5"/>
        <v>188</v>
      </c>
      <c r="E59" s="108">
        <f t="shared" si="5"/>
        <v>240</v>
      </c>
      <c r="F59" s="108">
        <f t="shared" si="5"/>
        <v>428</v>
      </c>
      <c r="G59" s="108">
        <f t="shared" si="5"/>
        <v>375</v>
      </c>
      <c r="H59" s="108">
        <f t="shared" si="5"/>
        <v>1</v>
      </c>
      <c r="I59" s="108">
        <f t="shared" si="5"/>
        <v>103</v>
      </c>
      <c r="J59" s="108">
        <f t="shared" si="5"/>
        <v>100</v>
      </c>
      <c r="K59" s="108">
        <f t="shared" si="5"/>
        <v>0</v>
      </c>
      <c r="L59" s="186">
        <f t="shared" si="5"/>
        <v>579</v>
      </c>
      <c r="M59" s="193">
        <f t="shared" si="5"/>
        <v>1007</v>
      </c>
      <c r="N59" s="193">
        <f t="shared" si="5"/>
        <v>1007</v>
      </c>
    </row>
    <row r="61" spans="1:14" ht="15.75" customHeight="1" x14ac:dyDescent="0.25">
      <c r="A61" s="534" t="s">
        <v>633</v>
      </c>
      <c r="B61" s="520"/>
      <c r="C61" s="520"/>
      <c r="D61" s="520"/>
      <c r="E61" s="520"/>
      <c r="F61" s="520"/>
      <c r="G61" s="520"/>
      <c r="H61" s="520"/>
      <c r="I61" s="520"/>
      <c r="J61" s="520"/>
      <c r="K61" s="520"/>
      <c r="L61" s="520"/>
      <c r="M61" s="520"/>
      <c r="N61" s="521"/>
    </row>
    <row r="62" spans="1:14" ht="15.75" customHeight="1" x14ac:dyDescent="0.25">
      <c r="A62" s="537" t="s">
        <v>248</v>
      </c>
      <c r="B62" s="535" t="s">
        <v>548</v>
      </c>
      <c r="C62" s="467"/>
      <c r="D62" s="467"/>
      <c r="E62" s="467"/>
      <c r="F62" s="469"/>
      <c r="G62" s="535" t="s">
        <v>388</v>
      </c>
      <c r="H62" s="467"/>
      <c r="I62" s="467"/>
      <c r="J62" s="467"/>
      <c r="K62" s="467"/>
      <c r="L62" s="469"/>
      <c r="M62" s="536" t="s">
        <v>634</v>
      </c>
      <c r="N62" s="533" t="s">
        <v>416</v>
      </c>
    </row>
    <row r="63" spans="1:14" ht="15.75" customHeight="1" x14ac:dyDescent="0.25">
      <c r="A63" s="523"/>
      <c r="B63" s="189">
        <v>45964</v>
      </c>
      <c r="C63" s="190">
        <v>45971</v>
      </c>
      <c r="D63" s="190">
        <v>45978</v>
      </c>
      <c r="E63" s="189">
        <v>45985</v>
      </c>
      <c r="F63" s="191" t="s">
        <v>129</v>
      </c>
      <c r="G63" s="189">
        <v>45992</v>
      </c>
      <c r="H63" s="190">
        <v>45999</v>
      </c>
      <c r="I63" s="190">
        <v>46006</v>
      </c>
      <c r="J63" s="190">
        <v>46013</v>
      </c>
      <c r="K63" s="189">
        <v>46020</v>
      </c>
      <c r="L63" s="191" t="s">
        <v>129</v>
      </c>
      <c r="M63" s="516"/>
      <c r="N63" s="518"/>
    </row>
    <row r="64" spans="1:14" ht="15.75" customHeight="1" x14ac:dyDescent="0.25">
      <c r="A64" s="160" t="s">
        <v>419</v>
      </c>
      <c r="B64" s="88">
        <v>200</v>
      </c>
      <c r="C64" s="88">
        <v>120</v>
      </c>
      <c r="D64" s="88">
        <v>0</v>
      </c>
      <c r="E64" s="88">
        <v>390</v>
      </c>
      <c r="F64" s="162">
        <f>B64+C64+D64+E64</f>
        <v>710</v>
      </c>
      <c r="G64" s="88">
        <v>0</v>
      </c>
      <c r="H64" s="88">
        <v>0</v>
      </c>
      <c r="I64" s="88">
        <v>0</v>
      </c>
      <c r="J64" s="88">
        <v>90</v>
      </c>
      <c r="K64" s="88"/>
      <c r="L64" s="162">
        <f>G64+H64+I64+J64+K64</f>
        <v>90</v>
      </c>
      <c r="M64" s="194">
        <f>B64+C64+D64+E64+G64+H64+I64+J64</f>
        <v>800</v>
      </c>
      <c r="N64" s="192">
        <f>F64+L64</f>
        <v>800</v>
      </c>
    </row>
    <row r="65" spans="1:14" ht="15.75" customHeight="1" x14ac:dyDescent="0.25">
      <c r="A65" s="160" t="s">
        <v>421</v>
      </c>
      <c r="B65" s="88">
        <v>120</v>
      </c>
      <c r="C65" s="88">
        <v>80</v>
      </c>
      <c r="D65" s="88">
        <v>20</v>
      </c>
      <c r="E65" s="88">
        <v>80</v>
      </c>
      <c r="F65" s="162">
        <f>B65+C65+D65+E65</f>
        <v>300</v>
      </c>
      <c r="G65" s="88">
        <v>300</v>
      </c>
      <c r="H65" s="88">
        <v>0</v>
      </c>
      <c r="I65" s="88">
        <v>0</v>
      </c>
      <c r="J65" s="88">
        <v>0</v>
      </c>
      <c r="K65" s="88"/>
      <c r="L65" s="162">
        <f>G65+H65+I65+J65+K65</f>
        <v>300</v>
      </c>
      <c r="M65" s="194">
        <f>B65+C65+D65+E65+G65+H65+I65+J65</f>
        <v>600</v>
      </c>
      <c r="N65" s="192">
        <f>F65+L65</f>
        <v>600</v>
      </c>
    </row>
    <row r="66" spans="1:14" ht="15.75" customHeight="1" x14ac:dyDescent="0.25">
      <c r="A66" s="160" t="s">
        <v>422</v>
      </c>
      <c r="B66" s="88">
        <v>140</v>
      </c>
      <c r="C66" s="88">
        <v>0</v>
      </c>
      <c r="D66" s="88">
        <v>0</v>
      </c>
      <c r="E66" s="88">
        <v>0</v>
      </c>
      <c r="F66" s="162">
        <f>B66+C66+D66+E66</f>
        <v>140</v>
      </c>
      <c r="G66" s="88">
        <v>60</v>
      </c>
      <c r="H66" s="88">
        <v>0</v>
      </c>
      <c r="I66" s="88">
        <v>0</v>
      </c>
      <c r="J66" s="88">
        <v>0</v>
      </c>
      <c r="K66" s="88"/>
      <c r="L66" s="162">
        <f>G66+H66+I66+J66+K66</f>
        <v>60</v>
      </c>
      <c r="M66" s="194">
        <f>B66+C66+D66+E66+G66+H66+I66+J66</f>
        <v>200</v>
      </c>
      <c r="N66" s="192">
        <f>F66+L66</f>
        <v>200</v>
      </c>
    </row>
    <row r="67" spans="1:14" ht="15.75" customHeight="1" x14ac:dyDescent="0.25">
      <c r="A67" s="113" t="s">
        <v>224</v>
      </c>
      <c r="B67" s="88">
        <v>1</v>
      </c>
      <c r="C67" s="88">
        <v>0</v>
      </c>
      <c r="D67" s="88">
        <v>1</v>
      </c>
      <c r="E67" s="88">
        <v>1</v>
      </c>
      <c r="F67" s="162">
        <f>B67+C67+D67+E67</f>
        <v>3</v>
      </c>
      <c r="G67" s="88">
        <v>1</v>
      </c>
      <c r="H67" s="88">
        <v>1</v>
      </c>
      <c r="I67" s="88">
        <v>3</v>
      </c>
      <c r="J67" s="88">
        <v>1</v>
      </c>
      <c r="K67" s="88"/>
      <c r="L67" s="162">
        <f>G67+H67+I67+J67+K67</f>
        <v>6</v>
      </c>
      <c r="M67" s="194">
        <f>B67+C67+D67+E67+G67+H67+I67+J67</f>
        <v>9</v>
      </c>
      <c r="N67" s="192">
        <f>F67+L67</f>
        <v>9</v>
      </c>
    </row>
    <row r="68" spans="1:14" ht="15.75" customHeight="1" x14ac:dyDescent="0.25">
      <c r="A68" s="113" t="s">
        <v>147</v>
      </c>
      <c r="B68" s="88">
        <v>0</v>
      </c>
      <c r="C68" s="88">
        <v>0</v>
      </c>
      <c r="D68" s="88">
        <v>1</v>
      </c>
      <c r="E68" s="88">
        <v>0</v>
      </c>
      <c r="F68" s="162">
        <f>B68+C68+D68+E68</f>
        <v>1</v>
      </c>
      <c r="G68" s="88">
        <v>1</v>
      </c>
      <c r="H68" s="88">
        <v>2</v>
      </c>
      <c r="I68" s="88">
        <v>1</v>
      </c>
      <c r="J68" s="88">
        <v>1</v>
      </c>
      <c r="K68" s="88"/>
      <c r="L68" s="162">
        <f>G68+H68+I68+J68+K68</f>
        <v>5</v>
      </c>
      <c r="M68" s="194">
        <f>B68+C68+D68+E68+G68+H68+I68+J68</f>
        <v>6</v>
      </c>
      <c r="N68" s="192">
        <f>F68+L68</f>
        <v>6</v>
      </c>
    </row>
    <row r="69" spans="1:14" ht="15.75" customHeight="1" x14ac:dyDescent="0.25">
      <c r="A69" s="107" t="s">
        <v>401</v>
      </c>
      <c r="B69" s="108">
        <f t="shared" ref="B69:N69" si="6">B64+B65+B66</f>
        <v>460</v>
      </c>
      <c r="C69" s="108">
        <f t="shared" si="6"/>
        <v>200</v>
      </c>
      <c r="D69" s="108">
        <f t="shared" si="6"/>
        <v>20</v>
      </c>
      <c r="E69" s="108">
        <f t="shared" si="6"/>
        <v>470</v>
      </c>
      <c r="F69" s="108">
        <f t="shared" si="6"/>
        <v>1150</v>
      </c>
      <c r="G69" s="108">
        <f t="shared" si="6"/>
        <v>360</v>
      </c>
      <c r="H69" s="108">
        <f t="shared" si="6"/>
        <v>0</v>
      </c>
      <c r="I69" s="108">
        <f t="shared" si="6"/>
        <v>0</v>
      </c>
      <c r="J69" s="108">
        <f t="shared" si="6"/>
        <v>90</v>
      </c>
      <c r="K69" s="108">
        <f t="shared" si="6"/>
        <v>0</v>
      </c>
      <c r="L69" s="186">
        <f t="shared" si="6"/>
        <v>450</v>
      </c>
      <c r="M69" s="193">
        <f t="shared" si="6"/>
        <v>1600</v>
      </c>
      <c r="N69" s="193">
        <f t="shared" si="6"/>
        <v>1600</v>
      </c>
    </row>
    <row r="71" spans="1:14" ht="15.75" customHeight="1" x14ac:dyDescent="0.25">
      <c r="A71" s="534" t="s">
        <v>633</v>
      </c>
      <c r="B71" s="520"/>
      <c r="C71" s="520"/>
      <c r="D71" s="520"/>
      <c r="E71" s="520"/>
      <c r="F71" s="520"/>
      <c r="G71" s="520"/>
      <c r="H71" s="520"/>
      <c r="I71" s="520"/>
      <c r="J71" s="520"/>
      <c r="K71" s="520"/>
      <c r="L71" s="520"/>
      <c r="M71" s="520"/>
      <c r="N71" s="521"/>
    </row>
    <row r="72" spans="1:14" ht="15.75" customHeight="1" x14ac:dyDescent="0.25">
      <c r="A72" s="537" t="s">
        <v>323</v>
      </c>
      <c r="B72" s="535" t="s">
        <v>548</v>
      </c>
      <c r="C72" s="467"/>
      <c r="D72" s="467"/>
      <c r="E72" s="467"/>
      <c r="F72" s="469"/>
      <c r="G72" s="535" t="s">
        <v>388</v>
      </c>
      <c r="H72" s="467"/>
      <c r="I72" s="467"/>
      <c r="J72" s="467"/>
      <c r="K72" s="467"/>
      <c r="L72" s="469"/>
      <c r="M72" s="536" t="s">
        <v>634</v>
      </c>
      <c r="N72" s="533" t="s">
        <v>416</v>
      </c>
    </row>
    <row r="73" spans="1:14" ht="15.75" customHeight="1" x14ac:dyDescent="0.25">
      <c r="A73" s="523"/>
      <c r="B73" s="189">
        <v>45964</v>
      </c>
      <c r="C73" s="190">
        <v>45971</v>
      </c>
      <c r="D73" s="190">
        <v>45978</v>
      </c>
      <c r="E73" s="189">
        <v>45985</v>
      </c>
      <c r="F73" s="191" t="s">
        <v>129</v>
      </c>
      <c r="G73" s="189">
        <v>45992</v>
      </c>
      <c r="H73" s="190">
        <v>45999</v>
      </c>
      <c r="I73" s="190">
        <v>46006</v>
      </c>
      <c r="J73" s="190">
        <v>46013</v>
      </c>
      <c r="K73" s="189">
        <v>46020</v>
      </c>
      <c r="L73" s="191" t="s">
        <v>129</v>
      </c>
      <c r="M73" s="516"/>
      <c r="N73" s="518"/>
    </row>
    <row r="74" spans="1:14" ht="15.75" customHeight="1" x14ac:dyDescent="0.25">
      <c r="A74" s="160" t="s">
        <v>419</v>
      </c>
      <c r="B74" s="88">
        <v>80</v>
      </c>
      <c r="C74" s="88">
        <v>65</v>
      </c>
      <c r="D74" s="88">
        <v>55</v>
      </c>
      <c r="E74" s="88">
        <v>85</v>
      </c>
      <c r="F74" s="162">
        <f>B74+C74+D74+E74</f>
        <v>285</v>
      </c>
      <c r="G74" s="88">
        <v>115</v>
      </c>
      <c r="H74" s="88">
        <v>70</v>
      </c>
      <c r="I74" s="88">
        <v>130</v>
      </c>
      <c r="J74" s="88">
        <v>0</v>
      </c>
      <c r="K74" s="88"/>
      <c r="L74" s="162">
        <f>G74+H74+I74+J74+K74</f>
        <v>315</v>
      </c>
      <c r="M74" s="194">
        <f>B74+C74+D74+E74+G74+H74+I74+J74</f>
        <v>600</v>
      </c>
      <c r="N74" s="192">
        <f>F74+L74</f>
        <v>600</v>
      </c>
    </row>
    <row r="75" spans="1:14" ht="15.75" customHeight="1" x14ac:dyDescent="0.25">
      <c r="A75" s="160" t="s">
        <v>421</v>
      </c>
      <c r="B75" s="88">
        <v>40</v>
      </c>
      <c r="C75" s="88">
        <v>30</v>
      </c>
      <c r="D75" s="88">
        <v>10</v>
      </c>
      <c r="E75" s="88">
        <v>40</v>
      </c>
      <c r="F75" s="162">
        <f>B75+C75+D75+E75</f>
        <v>120</v>
      </c>
      <c r="G75" s="88">
        <v>0</v>
      </c>
      <c r="H75" s="88">
        <v>130</v>
      </c>
      <c r="I75" s="88">
        <v>60</v>
      </c>
      <c r="J75" s="88">
        <v>90</v>
      </c>
      <c r="K75" s="88"/>
      <c r="L75" s="162">
        <f>G75+H75+I75+J75+K75</f>
        <v>280</v>
      </c>
      <c r="M75" s="194">
        <f>B75+C75+D75+E75+G75+H75+I75+J75</f>
        <v>400</v>
      </c>
      <c r="N75" s="192">
        <f>F75+L75</f>
        <v>400</v>
      </c>
    </row>
    <row r="76" spans="1:14" ht="15.75" customHeight="1" x14ac:dyDescent="0.25">
      <c r="A76" s="160" t="s">
        <v>422</v>
      </c>
      <c r="B76" s="88">
        <v>30</v>
      </c>
      <c r="C76" s="88">
        <v>0</v>
      </c>
      <c r="D76" s="88">
        <v>0</v>
      </c>
      <c r="E76" s="88">
        <v>0</v>
      </c>
      <c r="F76" s="162">
        <f>B76+C76+D76+E76</f>
        <v>30</v>
      </c>
      <c r="G76" s="88">
        <v>0</v>
      </c>
      <c r="H76" s="88">
        <v>0</v>
      </c>
      <c r="I76" s="88">
        <v>0</v>
      </c>
      <c r="J76" s="88">
        <v>70</v>
      </c>
      <c r="K76" s="88"/>
      <c r="L76" s="162">
        <f>G76+H76+I76+J76+K76</f>
        <v>70</v>
      </c>
      <c r="M76" s="194">
        <f>B76+C76+D76+E76+G76+H76+I76+J76</f>
        <v>100</v>
      </c>
      <c r="N76" s="192">
        <f>F76+L76</f>
        <v>100</v>
      </c>
    </row>
    <row r="77" spans="1:14" ht="15.75" customHeight="1" x14ac:dyDescent="0.25">
      <c r="A77" s="113" t="s">
        <v>224</v>
      </c>
      <c r="B77" s="88">
        <v>1</v>
      </c>
      <c r="C77" s="88">
        <v>0</v>
      </c>
      <c r="D77" s="88">
        <v>0</v>
      </c>
      <c r="E77" s="88">
        <v>0</v>
      </c>
      <c r="F77" s="162">
        <f>B77+C77+D77+E77</f>
        <v>1</v>
      </c>
      <c r="G77" s="88">
        <v>0</v>
      </c>
      <c r="H77" s="88">
        <v>1</v>
      </c>
      <c r="I77" s="88">
        <v>0</v>
      </c>
      <c r="J77" s="88">
        <v>2</v>
      </c>
      <c r="K77" s="88"/>
      <c r="L77" s="162">
        <f>G77+H77+I77+J77+K77</f>
        <v>3</v>
      </c>
      <c r="M77" s="194">
        <f>B77+C77+D77+E77+G77+H77+I77+J77</f>
        <v>4</v>
      </c>
      <c r="N77" s="192">
        <f>F77+L77</f>
        <v>4</v>
      </c>
    </row>
    <row r="78" spans="1:14" ht="15.75" customHeight="1" x14ac:dyDescent="0.25">
      <c r="A78" s="113" t="s">
        <v>147</v>
      </c>
      <c r="B78" s="88">
        <v>0</v>
      </c>
      <c r="C78" s="88">
        <v>0</v>
      </c>
      <c r="D78" s="88">
        <v>0</v>
      </c>
      <c r="E78" s="88">
        <v>0</v>
      </c>
      <c r="F78" s="162">
        <f>B78+C78+D78+E78</f>
        <v>0</v>
      </c>
      <c r="G78" s="88">
        <v>1</v>
      </c>
      <c r="H78" s="88">
        <v>0</v>
      </c>
      <c r="I78" s="88">
        <v>0</v>
      </c>
      <c r="J78" s="88">
        <v>2</v>
      </c>
      <c r="K78" s="88"/>
      <c r="L78" s="162">
        <f>G78+H78+I78+J78+K78</f>
        <v>3</v>
      </c>
      <c r="M78" s="194">
        <f>B78+C78+D78+E78+G78+H78+I78+J78</f>
        <v>3</v>
      </c>
      <c r="N78" s="192">
        <f>F78+L78</f>
        <v>3</v>
      </c>
    </row>
    <row r="79" spans="1:14" ht="15.75" customHeight="1" x14ac:dyDescent="0.25">
      <c r="A79" s="107" t="s">
        <v>401</v>
      </c>
      <c r="B79" s="108">
        <f t="shared" ref="B79:N79" si="7">B74+B75+B76</f>
        <v>150</v>
      </c>
      <c r="C79" s="108">
        <f t="shared" si="7"/>
        <v>95</v>
      </c>
      <c r="D79" s="108">
        <f t="shared" si="7"/>
        <v>65</v>
      </c>
      <c r="E79" s="108">
        <f t="shared" si="7"/>
        <v>125</v>
      </c>
      <c r="F79" s="108">
        <f t="shared" si="7"/>
        <v>435</v>
      </c>
      <c r="G79" s="108">
        <f t="shared" si="7"/>
        <v>115</v>
      </c>
      <c r="H79" s="108">
        <f t="shared" si="7"/>
        <v>200</v>
      </c>
      <c r="I79" s="108">
        <f t="shared" si="7"/>
        <v>190</v>
      </c>
      <c r="J79" s="108">
        <f t="shared" si="7"/>
        <v>160</v>
      </c>
      <c r="K79" s="108">
        <f t="shared" si="7"/>
        <v>0</v>
      </c>
      <c r="L79" s="186">
        <f t="shared" si="7"/>
        <v>665</v>
      </c>
      <c r="M79" s="193">
        <f t="shared" si="7"/>
        <v>1100</v>
      </c>
      <c r="N79" s="193">
        <f t="shared" si="7"/>
        <v>1100</v>
      </c>
    </row>
    <row r="81" spans="1:14" ht="15.75" customHeight="1" x14ac:dyDescent="0.25">
      <c r="A81" s="534" t="s">
        <v>633</v>
      </c>
      <c r="B81" s="520"/>
      <c r="C81" s="520"/>
      <c r="D81" s="520"/>
      <c r="E81" s="520"/>
      <c r="F81" s="520"/>
      <c r="G81" s="520"/>
      <c r="H81" s="520"/>
      <c r="I81" s="520"/>
      <c r="J81" s="520"/>
      <c r="K81" s="520"/>
      <c r="L81" s="520"/>
      <c r="M81" s="520"/>
      <c r="N81" s="521"/>
    </row>
    <row r="82" spans="1:14" ht="15.75" customHeight="1" x14ac:dyDescent="0.25">
      <c r="A82" s="537" t="s">
        <v>338</v>
      </c>
      <c r="B82" s="535" t="s">
        <v>548</v>
      </c>
      <c r="C82" s="467"/>
      <c r="D82" s="467"/>
      <c r="E82" s="467"/>
      <c r="F82" s="469"/>
      <c r="G82" s="535" t="s">
        <v>388</v>
      </c>
      <c r="H82" s="467"/>
      <c r="I82" s="467"/>
      <c r="J82" s="467"/>
      <c r="K82" s="467"/>
      <c r="L82" s="469"/>
      <c r="M82" s="536" t="s">
        <v>634</v>
      </c>
      <c r="N82" s="533" t="s">
        <v>416</v>
      </c>
    </row>
    <row r="83" spans="1:14" ht="15.75" customHeight="1" x14ac:dyDescent="0.25">
      <c r="A83" s="523"/>
      <c r="B83" s="189">
        <v>45964</v>
      </c>
      <c r="C83" s="190">
        <v>45971</v>
      </c>
      <c r="D83" s="190">
        <v>45978</v>
      </c>
      <c r="E83" s="189">
        <v>45985</v>
      </c>
      <c r="F83" s="191" t="s">
        <v>129</v>
      </c>
      <c r="G83" s="189">
        <v>45992</v>
      </c>
      <c r="H83" s="190">
        <v>45999</v>
      </c>
      <c r="I83" s="190">
        <v>46006</v>
      </c>
      <c r="J83" s="190">
        <v>46013</v>
      </c>
      <c r="K83" s="189">
        <v>46020</v>
      </c>
      <c r="L83" s="191" t="s">
        <v>129</v>
      </c>
      <c r="M83" s="516"/>
      <c r="N83" s="518"/>
    </row>
    <row r="84" spans="1:14" ht="15.75" customHeight="1" x14ac:dyDescent="0.25">
      <c r="A84" s="160" t="s">
        <v>419</v>
      </c>
      <c r="B84" s="88">
        <v>80</v>
      </c>
      <c r="C84" s="88">
        <v>120</v>
      </c>
      <c r="D84" s="88">
        <v>160</v>
      </c>
      <c r="E84" s="88">
        <v>180</v>
      </c>
      <c r="F84" s="162">
        <f>B84+C84+D84+E84</f>
        <v>540</v>
      </c>
      <c r="G84" s="88">
        <v>200</v>
      </c>
      <c r="H84" s="88">
        <v>60</v>
      </c>
      <c r="I84" s="88">
        <v>0</v>
      </c>
      <c r="J84" s="88">
        <v>0</v>
      </c>
      <c r="K84" s="88"/>
      <c r="L84" s="162">
        <f>G84+H84+I84+J84+K84</f>
        <v>260</v>
      </c>
      <c r="M84" s="194">
        <f>B84+C84+D84+E84+G84+H84+I84+J84</f>
        <v>800</v>
      </c>
      <c r="N84" s="192">
        <f>F84+L84</f>
        <v>800</v>
      </c>
    </row>
    <row r="85" spans="1:14" ht="15.75" customHeight="1" x14ac:dyDescent="0.25">
      <c r="A85" s="160" t="s">
        <v>421</v>
      </c>
      <c r="B85" s="88">
        <v>100</v>
      </c>
      <c r="C85" s="88">
        <v>20</v>
      </c>
      <c r="D85" s="88">
        <v>80</v>
      </c>
      <c r="E85" s="88">
        <v>100</v>
      </c>
      <c r="F85" s="162">
        <f>B85+C85+D85+E85</f>
        <v>300</v>
      </c>
      <c r="G85" s="88">
        <v>40</v>
      </c>
      <c r="H85" s="88">
        <v>140</v>
      </c>
      <c r="I85" s="88">
        <v>120</v>
      </c>
      <c r="J85" s="88">
        <v>0</v>
      </c>
      <c r="K85" s="88"/>
      <c r="L85" s="162">
        <f>G85+H85+I85+J85+K85</f>
        <v>300</v>
      </c>
      <c r="M85" s="194">
        <f>B85+C85+D85+E85+G85+H85+I85+J85</f>
        <v>600</v>
      </c>
      <c r="N85" s="192">
        <f>F85+L85</f>
        <v>600</v>
      </c>
    </row>
    <row r="86" spans="1:14" ht="15.75" customHeight="1" x14ac:dyDescent="0.25">
      <c r="A86" s="160" t="s">
        <v>422</v>
      </c>
      <c r="B86" s="88">
        <v>50</v>
      </c>
      <c r="C86" s="88">
        <v>0</v>
      </c>
      <c r="D86" s="88">
        <v>0</v>
      </c>
      <c r="E86" s="88">
        <v>0</v>
      </c>
      <c r="F86" s="162">
        <f>B86+C86+D86+E86</f>
        <v>50</v>
      </c>
      <c r="G86" s="88">
        <v>0</v>
      </c>
      <c r="H86" s="88">
        <v>50</v>
      </c>
      <c r="I86" s="88">
        <v>0</v>
      </c>
      <c r="J86" s="88">
        <v>0</v>
      </c>
      <c r="K86" s="88"/>
      <c r="L86" s="162">
        <f>G86+H86+I86+J86+K86</f>
        <v>50</v>
      </c>
      <c r="M86" s="194">
        <f>B86+C86+D86+E86+G86+H86+I86+J86</f>
        <v>100</v>
      </c>
      <c r="N86" s="192">
        <f>F86+L86</f>
        <v>100</v>
      </c>
    </row>
    <row r="87" spans="1:14" ht="15.75" customHeight="1" x14ac:dyDescent="0.25">
      <c r="A87" s="113" t="s">
        <v>224</v>
      </c>
      <c r="B87" s="88">
        <v>0</v>
      </c>
      <c r="C87" s="88">
        <v>0</v>
      </c>
      <c r="D87" s="88">
        <v>1</v>
      </c>
      <c r="E87" s="88">
        <v>0</v>
      </c>
      <c r="F87" s="162">
        <f>B87+C87+D87+E87</f>
        <v>1</v>
      </c>
      <c r="G87" s="88">
        <v>1</v>
      </c>
      <c r="H87" s="88">
        <v>2</v>
      </c>
      <c r="I87" s="88">
        <v>2</v>
      </c>
      <c r="J87" s="88">
        <v>3</v>
      </c>
      <c r="K87" s="88"/>
      <c r="L87" s="162">
        <f>G87+H87+I87+J87+K87</f>
        <v>8</v>
      </c>
      <c r="M87" s="194">
        <f>B87+C87+D87+E87+G87+H87+I87+J87</f>
        <v>9</v>
      </c>
      <c r="N87" s="192">
        <f>F87+L87</f>
        <v>9</v>
      </c>
    </row>
    <row r="88" spans="1:14" ht="15.75" customHeight="1" x14ac:dyDescent="0.25">
      <c r="A88" s="113" t="s">
        <v>147</v>
      </c>
      <c r="B88" s="88">
        <v>1</v>
      </c>
      <c r="C88" s="88">
        <v>0</v>
      </c>
      <c r="D88" s="88">
        <v>1</v>
      </c>
      <c r="E88" s="88">
        <v>0</v>
      </c>
      <c r="F88" s="162">
        <f>B88+C88+D88+E88</f>
        <v>2</v>
      </c>
      <c r="G88" s="88">
        <v>2</v>
      </c>
      <c r="H88" s="88">
        <v>2</v>
      </c>
      <c r="I88" s="88">
        <v>0</v>
      </c>
      <c r="J88" s="88">
        <v>1</v>
      </c>
      <c r="K88" s="88"/>
      <c r="L88" s="162">
        <f>G88+H88+I88+J88+K88</f>
        <v>5</v>
      </c>
      <c r="M88" s="194">
        <f>B88+C88+D88+E88+G88+H88+I88+J88</f>
        <v>7</v>
      </c>
      <c r="N88" s="192">
        <f>F88+L88</f>
        <v>7</v>
      </c>
    </row>
    <row r="89" spans="1:14" ht="15.75" customHeight="1" x14ac:dyDescent="0.25">
      <c r="A89" s="107" t="s">
        <v>401</v>
      </c>
      <c r="B89" s="108">
        <f t="shared" ref="B89:N89" si="8">B84+B85+B86</f>
        <v>230</v>
      </c>
      <c r="C89" s="108">
        <f t="shared" si="8"/>
        <v>140</v>
      </c>
      <c r="D89" s="108">
        <f t="shared" si="8"/>
        <v>240</v>
      </c>
      <c r="E89" s="108">
        <f t="shared" si="8"/>
        <v>280</v>
      </c>
      <c r="F89" s="108">
        <f t="shared" si="8"/>
        <v>890</v>
      </c>
      <c r="G89" s="108">
        <f t="shared" si="8"/>
        <v>240</v>
      </c>
      <c r="H89" s="108">
        <f t="shared" si="8"/>
        <v>250</v>
      </c>
      <c r="I89" s="108">
        <f t="shared" si="8"/>
        <v>120</v>
      </c>
      <c r="J89" s="108">
        <f t="shared" si="8"/>
        <v>0</v>
      </c>
      <c r="K89" s="108">
        <f t="shared" si="8"/>
        <v>0</v>
      </c>
      <c r="L89" s="186">
        <f t="shared" si="8"/>
        <v>610</v>
      </c>
      <c r="M89" s="193">
        <f t="shared" si="8"/>
        <v>1500</v>
      </c>
      <c r="N89" s="193">
        <f t="shared" si="8"/>
        <v>1500</v>
      </c>
    </row>
    <row r="92" spans="1:14" ht="15.75" customHeight="1" x14ac:dyDescent="0.25"/>
    <row r="103" ht="15.75" customHeight="1" x14ac:dyDescent="0.25"/>
    <row r="117" ht="15.75" customHeight="1" x14ac:dyDescent="0.25"/>
    <row r="125" ht="15.75" customHeight="1" x14ac:dyDescent="0.25"/>
  </sheetData>
  <mergeCells count="56">
    <mergeCell ref="A81:N81"/>
    <mergeCell ref="A82:A83"/>
    <mergeCell ref="M82:M83"/>
    <mergeCell ref="N72:N73"/>
    <mergeCell ref="S2:S3"/>
    <mergeCell ref="G82:L82"/>
    <mergeCell ref="B82:F82"/>
    <mergeCell ref="A32:A33"/>
    <mergeCell ref="M32:M33"/>
    <mergeCell ref="Q1:R1"/>
    <mergeCell ref="A22:A23"/>
    <mergeCell ref="G32:L32"/>
    <mergeCell ref="A42:A43"/>
    <mergeCell ref="N82:N83"/>
    <mergeCell ref="A21:N21"/>
    <mergeCell ref="G22:L22"/>
    <mergeCell ref="B32:F32"/>
    <mergeCell ref="A72:A73"/>
    <mergeCell ref="M42:M43"/>
    <mergeCell ref="A71:N71"/>
    <mergeCell ref="M72:M73"/>
    <mergeCell ref="G12:L12"/>
    <mergeCell ref="A1:N1"/>
    <mergeCell ref="B12:F12"/>
    <mergeCell ref="A61:N61"/>
    <mergeCell ref="M22:M23"/>
    <mergeCell ref="N52:N53"/>
    <mergeCell ref="B2:F2"/>
    <mergeCell ref="A12:A13"/>
    <mergeCell ref="B42:F42"/>
    <mergeCell ref="M12:M13"/>
    <mergeCell ref="A41:N41"/>
    <mergeCell ref="N42:N43"/>
    <mergeCell ref="A2:A3"/>
    <mergeCell ref="G52:L52"/>
    <mergeCell ref="G2:L2"/>
    <mergeCell ref="A52:A53"/>
    <mergeCell ref="G42:L42"/>
    <mergeCell ref="B72:F72"/>
    <mergeCell ref="N12:N13"/>
    <mergeCell ref="M2:M3"/>
    <mergeCell ref="A11:N11"/>
    <mergeCell ref="B22:F22"/>
    <mergeCell ref="N2:N3"/>
    <mergeCell ref="A51:N51"/>
    <mergeCell ref="N62:N63"/>
    <mergeCell ref="B52:F52"/>
    <mergeCell ref="A62:A63"/>
    <mergeCell ref="G72:L72"/>
    <mergeCell ref="M62:M63"/>
    <mergeCell ref="M52:M53"/>
    <mergeCell ref="N32:N33"/>
    <mergeCell ref="A31:N31"/>
    <mergeCell ref="N22:N23"/>
    <mergeCell ref="B62:F62"/>
    <mergeCell ref="G62:L62"/>
  </mergeCells>
  <pageMargins left="0.511811024" right="0.511811024" top="0.78740157499999996" bottom="0.78740157499999996" header="0.31496062000000002" footer="0.31496062000000002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23</vt:i4>
      </vt:variant>
      <vt:variant>
        <vt:lpstr>Intervalos Nomeados</vt:lpstr>
      </vt:variant>
      <vt:variant>
        <vt:i4>26</vt:i4>
      </vt:variant>
    </vt:vector>
  </HeadingPairs>
  <TitlesOfParts>
    <vt:vector size="49" baseType="lpstr">
      <vt:lpstr>AUXILIAR</vt:lpstr>
      <vt:lpstr>AUXILIAR VD'S</vt:lpstr>
      <vt:lpstr>JC 3822</vt:lpstr>
      <vt:lpstr>JD 14446</vt:lpstr>
      <vt:lpstr>BB 12066</vt:lpstr>
      <vt:lpstr>SM 23048</vt:lpstr>
      <vt:lpstr>Planilha1</vt:lpstr>
      <vt:lpstr>JSH 11722</vt:lpstr>
      <vt:lpstr>CONF 14553</vt:lpstr>
      <vt:lpstr>DC 7529</vt:lpstr>
      <vt:lpstr>IT 6942</vt:lpstr>
      <vt:lpstr>BR 6954</vt:lpstr>
      <vt:lpstr>TOTAL ITENS DOADOS NATAL.22</vt:lpstr>
      <vt:lpstr>TOTAL ITENS DOADOS MÃES</vt:lpstr>
      <vt:lpstr>CDJ 23091</vt:lpstr>
      <vt:lpstr>ERJ 22838</vt:lpstr>
      <vt:lpstr>ER SM 24137</vt:lpstr>
      <vt:lpstr>TOTAL ITENS DOADOS 2026</vt:lpstr>
      <vt:lpstr>TOTAL ITENS DOADOS NAMORADOS</vt:lpstr>
      <vt:lpstr>TOTAL ITENS DOADOS PAIS</vt:lpstr>
      <vt:lpstr>TOTAL ITENS DOADOS DISNEY</vt:lpstr>
      <vt:lpstr>LOJAS JAÚ</vt:lpstr>
      <vt:lpstr>TOTAL ITENS DOADOS NATAL</vt:lpstr>
      <vt:lpstr>__BACKUP_ANTES_DA_MACRO__!Area_de_impressao</vt:lpstr>
      <vt:lpstr>'__BKP__BB 12066'!Area_de_impressao</vt:lpstr>
      <vt:lpstr>'__BKP__BR 6954'!Area_de_impressao</vt:lpstr>
      <vt:lpstr>'__BKP__CDJ 23091'!Area_de_impressao</vt:lpstr>
      <vt:lpstr>'__BKP__CONF 14553'!Area_de_impressao</vt:lpstr>
      <vt:lpstr>'__BKP__DC 7529'!Area_de_impressao</vt:lpstr>
      <vt:lpstr>'__BKP__ER SM 24137'!Area_de_impressao</vt:lpstr>
      <vt:lpstr>'__BKP__ERJ 22838'!Area_de_impressao</vt:lpstr>
      <vt:lpstr>'__BKP__IT 6942'!Area_de_impressao</vt:lpstr>
      <vt:lpstr>'__BKP__JC 3822'!Area_de_impressao</vt:lpstr>
      <vt:lpstr>'__BKP__JD 14446'!Area_de_impressao</vt:lpstr>
      <vt:lpstr>'__BKP__JSH 11722'!Area_de_impressao</vt:lpstr>
      <vt:lpstr>'__BKP__SM 23048'!Area_de_impressao</vt:lpstr>
      <vt:lpstr>'BB 12066'!Area_de_impressao</vt:lpstr>
      <vt:lpstr>'BR 6954'!Area_de_impressao</vt:lpstr>
      <vt:lpstr>'CDJ 23091'!Area_de_impressao</vt:lpstr>
      <vt:lpstr>'CONF 14553'!Area_de_impressao</vt:lpstr>
      <vt:lpstr>'DC 7529'!Area_de_impressao</vt:lpstr>
      <vt:lpstr>'ER SM 24137'!Area_de_impressao</vt:lpstr>
      <vt:lpstr>'ERJ 22838'!Area_de_impressao</vt:lpstr>
      <vt:lpstr>'IT 6942'!Area_de_impressao</vt:lpstr>
      <vt:lpstr>'JC 3822'!Area_de_impressao</vt:lpstr>
      <vt:lpstr>'JD 14446'!Area_de_impressao</vt:lpstr>
      <vt:lpstr>'JSH 11722'!Area_de_impressao</vt:lpstr>
      <vt:lpstr>'LOJAS JAÚ'!Area_de_impressao</vt:lpstr>
      <vt:lpstr>'SM 23048'!Area_de_impressao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Parronchi</dc:creator>
  <cp:lastModifiedBy>Marcus Vinicius</cp:lastModifiedBy>
  <cp:lastPrinted>2026-05-07T12:17:18Z</cp:lastPrinted>
  <dcterms:created xsi:type="dcterms:W3CDTF">2019-03-11T11:12:00Z</dcterms:created>
  <dcterms:modified xsi:type="dcterms:W3CDTF">2026-05-19T14:37:43Z</dcterms:modified>
</cp:coreProperties>
</file>